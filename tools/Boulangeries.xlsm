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" yWindow="-10" windowWidth="18830" windowHeight="7510" tabRatio="790" activeTab="7"/>
  </bookViews>
  <sheets>
    <sheet name="Accueil" sheetId="1" r:id="rId1"/>
    <sheet name="Notes" sheetId="8" r:id="rId2"/>
    <sheet name="Contacts" sheetId="31" r:id="rId3"/>
    <sheet name="Planning" sheetId="18" r:id="rId4"/>
    <sheet name="Cmd Resto" sheetId="38" r:id="rId5"/>
    <sheet name="Cmd Resto S." sheetId="45" r:id="rId6"/>
    <sheet name="Cmd Resto M." sheetId="44" r:id="rId7"/>
    <sheet name="Frm facture" sheetId="41" r:id="rId8"/>
    <sheet name="Factures" sheetId="22" r:id="rId9"/>
    <sheet name="Factures fournisseur" sheetId="7" r:id="rId10"/>
    <sheet name="TCD FF" sheetId="24" r:id="rId11"/>
    <sheet name="Pdts fournisseurs" sheetId="47" r:id="rId12"/>
    <sheet name="Produits" sheetId="11" r:id="rId13"/>
    <sheet name="Exp produits" sheetId="42" r:id="rId14"/>
    <sheet name="Exp produits (2)" sheetId="46" r:id="rId15"/>
    <sheet name="Exp famille" sheetId="43" r:id="rId16"/>
    <sheet name="Entrants restants" sheetId="35" r:id="rId17"/>
    <sheet name="Caisse" sheetId="33" r:id="rId18"/>
    <sheet name="Simu Caisse" sheetId="39" r:id="rId19"/>
    <sheet name="Etiquettes petites" sheetId="30" r:id="rId20"/>
    <sheet name="Commandes" sheetId="20" r:id="rId21"/>
    <sheet name="CRA" sheetId="15" r:id="rId22"/>
    <sheet name="Congés" sheetId="14" r:id="rId23"/>
    <sheet name="Paramètres" sheetId="27" r:id="rId24"/>
    <sheet name="Contrats" sheetId="10" r:id="rId25"/>
    <sheet name="Caisses" sheetId="16" r:id="rId26"/>
    <sheet name="Feuil1" sheetId="48" r:id="rId27"/>
  </sheets>
  <functionGroups builtInGroupCount="17"/>
  <definedNames>
    <definedName name="_xlnm._FilterDatabase" localSheetId="25" hidden="1">Caisses!$A$1:$D$1</definedName>
    <definedName name="_xlnm._FilterDatabase" localSheetId="20" hidden="1">Commandes!$A$1:$S$19</definedName>
    <definedName name="_xlnm._FilterDatabase" localSheetId="22" hidden="1">Congés!$A$1:$F$1</definedName>
    <definedName name="_xlnm._FilterDatabase" localSheetId="2" hidden="1">Contacts!$A$1:$T$1</definedName>
    <definedName name="_xlnm._FilterDatabase" localSheetId="24" hidden="1">Contrats!$A$1:$G$1</definedName>
    <definedName name="_xlnm._FilterDatabase" localSheetId="21" hidden="1">CRA!$A$1:$E$1</definedName>
    <definedName name="_xlnm._FilterDatabase" localSheetId="15" hidden="1">'Exp famille'!$A$1:$B$9</definedName>
    <definedName name="_xlnm._FilterDatabase" localSheetId="8" hidden="1">Factures!$A$1:$V$1</definedName>
    <definedName name="_xlnm._FilterDatabase" localSheetId="9" hidden="1">'Factures fournisseur'!$A$1:$T$191</definedName>
    <definedName name="_xlnm._FilterDatabase" localSheetId="1" hidden="1">Notes!$A$1:$J$17</definedName>
    <definedName name="_xlnm._FilterDatabase" localSheetId="23">Paramètres!$A$1:$D$1</definedName>
    <definedName name="_xlnm._FilterDatabase" localSheetId="11" hidden="1">'Pdts fournisseurs'!$A$1:$O$1</definedName>
    <definedName name="_xlnm._FilterDatabase" localSheetId="12" hidden="1">Produits!$A$1:$Y$224</definedName>
    <definedName name="BDCClient" localSheetId="14">#REF!</definedName>
    <definedName name="BDCClient">#REF!</definedName>
    <definedName name="BDCDate" localSheetId="14">#REF!</definedName>
    <definedName name="BDCDate">#REF!</definedName>
    <definedName name="BDCReference" localSheetId="14">#REF!</definedName>
    <definedName name="BDCReference">#REF!</definedName>
    <definedName name="BDCTitre" localSheetId="14">#REF!</definedName>
    <definedName name="BDCTitre">#REF!</definedName>
    <definedName name="BLPaysClient" localSheetId="14">#REF!</definedName>
    <definedName name="BLPaysClient">#REF!</definedName>
    <definedName name="CaisseBoutonGroupe1">Caisse!$B$2</definedName>
    <definedName name="CaisseBoutonGroupe2">Caisse!$G$2</definedName>
    <definedName name="CaisseBoutonGroupe3">Caisse!$L$2</definedName>
    <definedName name="CaisseBoutonGroupe4">Caisse!$Q$2</definedName>
    <definedName name="CaisseBoutonGroupe5">Caisse!$V$2</definedName>
    <definedName name="CaisseBoutonGroupe6">Caisse!$AA$2</definedName>
    <definedName name="CaisseCategorie">Caisse!$AG$3</definedName>
    <definedName name="CaisseGroupe">Caisse!$AG$3</definedName>
    <definedName name="CaisseGroupe6">Caisse!$AA$2</definedName>
    <definedName name="CaisseTouchesCaisse">Caisse!$B$7:$AT$36</definedName>
    <definedName name="CaisseTouchesCaisse1">Caisse!$B$7:$AT$36</definedName>
    <definedName name="CaisseTouchesCaisse2">Caisse!$B$43:$AT$72</definedName>
    <definedName name="CmdRestoBoulangerie">'Cmd Resto'!$A$2</definedName>
    <definedName name="CmdRestoCommandesJour">'Cmd Resto'!$F$4:$AK$27</definedName>
    <definedName name="CmdRestoDate">'Cmd Resto'!$A$3</definedName>
    <definedName name="CmdRestoTotalMois">'Cmd Resto'!$B$4:$B$25</definedName>
    <definedName name="CmdRestoTotalMoisSelection">'Cmd Resto'!$C$4</definedName>
    <definedName name="ContactsColAdresse1">Contacts!$H$1</definedName>
    <definedName name="ContactsColAdresse2">Contacts!$I$1</definedName>
    <definedName name="ContactsColCedex">Contacts!$L$1</definedName>
    <definedName name="ContactsColCP">Contacts!$J$1</definedName>
    <definedName name="ContactsColEmail">Contacts!$Q:$Q</definedName>
    <definedName name="ContactsColPays">Contacts!$M$1</definedName>
    <definedName name="ContactsColSociete">Contacts!$E$1</definedName>
    <definedName name="ContactsColTel1">Contacts!$N$1</definedName>
    <definedName name="ContactsColVille">Contacts!$K$1</definedName>
    <definedName name="ContactsRef">Contacts!$A$2:$A$312</definedName>
    <definedName name="ContactsSociete">Contacts!$E$2:$E$312</definedName>
    <definedName name="DossierCommandesClients">Paramètres!$B$3</definedName>
    <definedName name="DossierDocuments">Paramètres!$B$7</definedName>
    <definedName name="DossierDocumentsFournisseurs">Paramètres!$B$8</definedName>
    <definedName name="DossierDocumentsFournisseursBilan">Paramètres!$B$9</definedName>
    <definedName name="DossierFacturesClients">Paramètres!$B$5</definedName>
    <definedName name="FactureAdresse1Client" localSheetId="14">#REF!</definedName>
    <definedName name="FactureAdresse1Client">#REF!</definedName>
    <definedName name="FactureClient" localSheetId="14">#REF!</definedName>
    <definedName name="FactureClient">#REF!</definedName>
    <definedName name="FactureColMontantHT" localSheetId="14">#REF!</definedName>
    <definedName name="FactureColMontantHT">#REF!</definedName>
    <definedName name="FactureColProduit" localSheetId="14">#REF!</definedName>
    <definedName name="FactureColProduit">#REF!</definedName>
    <definedName name="FactureColPUBrut" localSheetId="14">#REF!</definedName>
    <definedName name="FactureColPUBrut">#REF!</definedName>
    <definedName name="FactureColPUNet" localSheetId="14">#REF!</definedName>
    <definedName name="FactureColPUNet">#REF!</definedName>
    <definedName name="FactureColQuantite" localSheetId="14">#REF!</definedName>
    <definedName name="FactureColQuantite">#REF!</definedName>
    <definedName name="FactureColReference" localSheetId="14">#REF!</definedName>
    <definedName name="FactureColReference">#REF!</definedName>
    <definedName name="FactureColRemiseUnitaire" localSheetId="14">#REF!</definedName>
    <definedName name="FactureColRemiseUnitaire">#REF!</definedName>
    <definedName name="FactureColTVA" localSheetId="14">#REF!</definedName>
    <definedName name="FactureColTVA">#REF!</definedName>
    <definedName name="FactureCPVilleClient" localSheetId="14">#REF!</definedName>
    <definedName name="FactureCPVilleClient">#REF!</definedName>
    <definedName name="FactureDate" localSheetId="14">#REF!</definedName>
    <definedName name="FactureDate">#REF!</definedName>
    <definedName name="FactureMontantHT" localSheetId="14">#REF!</definedName>
    <definedName name="FactureMontantHT">#REF!</definedName>
    <definedName name="FactureMontantTTC" localSheetId="14">#REF!</definedName>
    <definedName name="FactureMontantTTC">#REF!</definedName>
    <definedName name="FactureMontantTVA" localSheetId="14">#REF!</definedName>
    <definedName name="FactureMontantTVA">#REF!</definedName>
    <definedName name="FactureNomClient" localSheetId="14">#REF!</definedName>
    <definedName name="FactureNomClient">#REF!</definedName>
    <definedName name="FacturePaysClient" localSheetId="14">#REF!</definedName>
    <definedName name="FacturePaysClient">#REF!</definedName>
    <definedName name="FactureReference" localSheetId="14">#REF!</definedName>
    <definedName name="FactureReference">#REF!</definedName>
    <definedName name="FactureTitre" localSheetId="14">#REF!</definedName>
    <definedName name="FactureTitre">#REF!</definedName>
    <definedName name="FactureTVA" localSheetId="14">#REF!</definedName>
    <definedName name="FactureTVA">#REF!</definedName>
    <definedName name="FrmFactureBoulangerie">'Frm facture'!$D$12</definedName>
    <definedName name="FrmFactureBoulangerieAdresse1">'Frm facture'!$D$15</definedName>
    <definedName name="FrmFactureBoulangerieAdresse2">'Frm facture'!$D$17</definedName>
    <definedName name="FrmFactureBoulangerieCP">'Frm facture'!#REF!</definedName>
    <definedName name="FrmFactureBoulangerieEmail">'Frm facture'!$D$21</definedName>
    <definedName name="FrmFactureBoulangerieNom">'Frm facture'!$D$14</definedName>
    <definedName name="FrmFactureBoulangerieTel1">'Frm facture'!$D$20</definedName>
    <definedName name="FrmFactureBoulangerieVille">'Frm facture'!$D$19</definedName>
    <definedName name="FrmFactureBtnAujourdhui">'Frm facture'!$H$5</definedName>
    <definedName name="FrmFactureBtnClientsPrincipaux">'Frm facture'!$C$35:$F$39</definedName>
    <definedName name="FrmFactureBtnDerniereFacture">'Frm facture'!$O$5</definedName>
    <definedName name="FrmFactureBtnEffacerListeProduits">'Frm facture'!$AA$5</definedName>
    <definedName name="FrmFactureBtnEffacerListeProsuitsBrut">'Frm facture'!$H$45</definedName>
    <definedName name="FrmFactureBtnEffacerPanier">'Frm facture'!$N$5</definedName>
    <definedName name="FrmFactureBtnEnregistrer">'Frm facture'!$U$4</definedName>
    <definedName name="FrmFactureBtnExporterPDF">'Frm facture'!$U$6</definedName>
    <definedName name="FrmFactureBtnGenererBDC">'Frm facture'!$U$12</definedName>
    <definedName name="FrmFactureBtnGenererBL">'Frm facture'!$U$14</definedName>
    <definedName name="FrmFactureBtnImprimer">'Frm facture'!$U$8</definedName>
    <definedName name="FrmFactureBtnListeProduitsBrutVersPanier">'Frm facture'!$H$43</definedName>
    <definedName name="FrmFactureBtnListeProduitsVersPanier">'Frm facture'!$Y$5</definedName>
    <definedName name="FrmFactureBtnListeProduitsVersPanierPlus">'Frm facture'!$Z$5</definedName>
    <definedName name="FrmFactureBtnLOL">'Frm facture'!$H$12</definedName>
    <definedName name="FrmFactureBtnMAJ" localSheetId="14">'Frm facture'!#REF!</definedName>
    <definedName name="FrmFactureBtnMAJ">'Frm facture'!#REF!</definedName>
    <definedName name="FrmFactureBtnMAR">'Frm facture'!$H$13</definedName>
    <definedName name="FrmFactureBtnNouveauNoFacture">'Frm facture'!$H$6</definedName>
    <definedName name="FrmFactureBtnReinitFacture">'Frm facture'!$AB$2</definedName>
    <definedName name="FrmFactureClientAdresse1">'Frm facture'!$D$25</definedName>
    <definedName name="FrmFactureClientAdresse2">'Frm facture'!$D$27</definedName>
    <definedName name="FrmFactureClientCP">'Frm facture'!$D$28</definedName>
    <definedName name="FrmFactureClientEmail">'Frm facture'!$D$31</definedName>
    <definedName name="FrmFactureClientNom">'Frm facture'!$D$24</definedName>
    <definedName name="FrmFactureClientTel1">'Frm facture'!$D$30</definedName>
    <definedName name="FrmFactureClientVille">'Frm facture'!$D$29</definedName>
    <definedName name="FrmFactureColCategorie" localSheetId="14">#REF!</definedName>
    <definedName name="FrmFactureColCategorie">#REF!</definedName>
    <definedName name="FrmFactureColPanierProduit" localSheetId="14">#REF!</definedName>
    <definedName name="FrmFactureColPanierProduit">#REF!</definedName>
    <definedName name="FrmFactureColPrixUnitaire" localSheetId="14">#REF!</definedName>
    <definedName name="FrmFactureColPrixUnitaire">#REF!</definedName>
    <definedName name="FrmFactureColProduit" localSheetId="14">#REF!</definedName>
    <definedName name="FrmFactureColProduit">#REF!</definedName>
    <definedName name="FrmFactureColPUNet" localSheetId="14">#REF!</definedName>
    <definedName name="FrmFactureColPUNet">#REF!</definedName>
    <definedName name="FrmFactureColQuantite" localSheetId="14">#REF!</definedName>
    <definedName name="FrmFactureColQuantite">#REF!</definedName>
    <definedName name="FrmFactureColRemiseUnitaire" localSheetId="14">#REF!</definedName>
    <definedName name="FrmFactureColRemiseUnitaire">#REF!</definedName>
    <definedName name="FrmFactureCoProduit" localSheetId="14">#REF!</definedName>
    <definedName name="FrmFactureCoProduit">#REF!</definedName>
    <definedName name="FrmFactureCoPUBrut" localSheetId="14">#REF!</definedName>
    <definedName name="FrmFactureCoPUBrut">#REF!</definedName>
    <definedName name="FrmFactureCoQuantite" localSheetId="14">#REF!</definedName>
    <definedName name="FrmFactureCoQuantite">#REF!</definedName>
    <definedName name="FrmFactureCoReference" localSheetId="14">#REF!</definedName>
    <definedName name="FrmFactureCoReference">#REF!</definedName>
    <definedName name="FrmFactureCoRemiseUunitaire" localSheetId="14">#REF!</definedName>
    <definedName name="FrmFactureCoRemiseUunitaire">#REF!</definedName>
    <definedName name="FrmFactureDate">'Frm facture'!$D$5</definedName>
    <definedName name="FrmFactureDerniereLigneFacture">'Frm facture'!$AF$46:$AR$46</definedName>
    <definedName name="FrmFactureEcheance">'Frm facture'!$D$7</definedName>
    <definedName name="FrmFactureEscompte">'Frm facture'!$D$8</definedName>
    <definedName name="FrmFactureLignesFacture">'Frm facture'!$AF$21:$AR$46</definedName>
    <definedName name="FrmFactureListeProduits">'Frm facture'!$X$8:$AB$200</definedName>
    <definedName name="FrmFactureListeProduitsAnalysee">'Frm facture'!$D$58</definedName>
    <definedName name="FrmFactureListeProduitsBrut">'Frm facture'!$D$43</definedName>
    <definedName name="FrmFactureListeProduitsFacture">'Frm facture'!$AF$21:$AR$47</definedName>
    <definedName name="FrmFactureListeProduitsPanier">'Frm facture'!$L$8:$R$81</definedName>
    <definedName name="FrmFactureListeProduitsQuantite">'Frm facture'!$Z$8:$Z$200</definedName>
    <definedName name="FrmFactureNoFacture">'Frm facture'!$D$6</definedName>
    <definedName name="FrmFactureNom">'Frm facture'!$D$14</definedName>
    <definedName name="FrmFacturePanier" localSheetId="14">#REF!</definedName>
    <definedName name="FrmFacturePanier">#REF!</definedName>
    <definedName name="FrmFactureQuantites" localSheetId="14">#REF!</definedName>
    <definedName name="FrmFactureQuantites">#REF!</definedName>
    <definedName name="FrmFactureTitre">'Frm facture'!$D$13</definedName>
    <definedName name="FrmFactureTotal">'Frm facture'!$AP$51</definedName>
    <definedName name="_xlnm.Print_Titles" localSheetId="4">'Cmd Resto'!$A:$E</definedName>
    <definedName name="_xlnm.Print_Titles" localSheetId="9">'Factures fournisseur'!$1:$1</definedName>
    <definedName name="_xlnm.Print_Titles" localSheetId="12">Produits!$1:$1</definedName>
    <definedName name="_xlnm.Print_Titles" localSheetId="10">'TCD FF'!$7:$8</definedName>
    <definedName name="ListeProduitsCatégories">'Entrants restants'!$AE$4:$AE$8</definedName>
    <definedName name="ListeProduitsCategrorie">'Entrants restants'!$A$2</definedName>
    <definedName name="ListeProduitsColProduit">'Entrants restants'!$C$3</definedName>
    <definedName name="ListeProduitsListeProduitsJour">'Entrants restants'!$C$4:$C$96</definedName>
    <definedName name="ListeProduitsListeProduitsSemaine">'Entrants restants'!$H$4:$H$96</definedName>
    <definedName name="NomFichierCommandeClient">Paramètres!$B$2</definedName>
    <definedName name="NomFichierFactureClient">Paramètres!$B$4</definedName>
    <definedName name="NomFichierProduits">Paramètres!$B$6</definedName>
    <definedName name="NomFichierStatsFacturesFournisseurs">Paramètres!$B$10</definedName>
    <definedName name="ProduitsColAbbreviation">Produits!$W$1</definedName>
    <definedName name="ProduitsColBoutonCaisse">Produits!$P$1</definedName>
    <definedName name="ProduitsColEntrantsSortants">Produits!$Q$1</definedName>
    <definedName name="ProduitsColEtiquette1">Produits!$T$1</definedName>
    <definedName name="ProduitsColEtiquette2">Produits!$U$1</definedName>
    <definedName name="ProduitsColEtiquettePrix">Produits!$V$1</definedName>
    <definedName name="ProduitsColFamille">Produits!$I$1</definedName>
    <definedName name="ProduitsColFormat">Produits!$S$1</definedName>
    <definedName name="ProduitsColGroupe">Produits!$F$1</definedName>
    <definedName name="ProduitsColNoFamille">Produits!$J$1</definedName>
    <definedName name="ProduitsColNoGroupe">Produits!$G$1</definedName>
    <definedName name="ProduitsColNomCourt">Produits!$M$1</definedName>
    <definedName name="ProduitsColOrdre">Produits!$O$1</definedName>
    <definedName name="ProduitsColPrix">Produits!$B$1</definedName>
    <definedName name="ProduitsColPrixFormate">Produits!$N$1</definedName>
    <definedName name="ProduitsColPrixHT">Produits!$C$1</definedName>
    <definedName name="ProduitsColProduit">Produits!$A$1</definedName>
    <definedName name="ProduitsColRef">Produits!$X$1</definedName>
    <definedName name="ProduitsColSousFamille">Produits!$L$1</definedName>
    <definedName name="ProduitsNomCourt">Produits!$M$2:$M$268</definedName>
    <definedName name="SimuCaisseTouchesCaisse">'Simu Caisse'!$B$7:$AT$36</definedName>
    <definedName name="TableProduits">Produits!$A:$Y</definedName>
    <definedName name="_xlnm.Print_Area" localSheetId="17">Caisse!$B:$AT</definedName>
    <definedName name="_xlnm.Print_Area" localSheetId="4">'Cmd Resto'!$A$1:$AK$26</definedName>
    <definedName name="_xlnm.Print_Area" localSheetId="6">'Cmd Resto M.'!$A$1:$K$36</definedName>
    <definedName name="_xlnm.Print_Area" localSheetId="5">'Cmd Resto S.'!$A$1:$H$10</definedName>
    <definedName name="_xlnm.Print_Area" localSheetId="2">Contacts!$A:$T</definedName>
    <definedName name="_xlnm.Print_Area" localSheetId="16">'Entrants restants'!$H:$AA</definedName>
    <definedName name="_xlnm.Print_Area" localSheetId="19">'Etiquettes petites'!$D:$BG</definedName>
    <definedName name="_xlnm.Print_Area" localSheetId="9">'Factures fournisseur'!$A:$L</definedName>
    <definedName name="_xlnm.Print_Area" localSheetId="7">'Frm facture'!$AF$1:$AR$57</definedName>
    <definedName name="_xlnm.Print_Area" localSheetId="23">Paramètres!$A:$D</definedName>
    <definedName name="_xlnm.Print_Area" localSheetId="11">'Pdts fournisseurs'!$A:$D</definedName>
    <definedName name="_xlnm.Print_Area" localSheetId="3">Planning!$A$1:$Y$62</definedName>
    <definedName name="_xlnm.Print_Area" localSheetId="12">Produits!$A:$Q</definedName>
    <definedName name="_xlnm.Print_Area" localSheetId="10">'TCD FF'!$B$136</definedName>
  </definedNames>
  <calcPr calcId="145621" concurrentCalc="0"/>
  <pivotCaches>
    <pivotCache cacheId="0" r:id="rId28"/>
  </pivotCaches>
</workbook>
</file>

<file path=xl/calcChain.xml><?xml version="1.0" encoding="utf-8"?>
<calcChain xmlns="http://schemas.openxmlformats.org/spreadsheetml/2006/main">
  <c r="K927" i="7" l="1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2" i="7"/>
  <c r="K993" i="7"/>
  <c r="K994" i="7"/>
  <c r="K995" i="7"/>
  <c r="K996" i="7"/>
  <c r="K997" i="7"/>
  <c r="K998" i="7"/>
  <c r="K999" i="7"/>
  <c r="K1000" i="7"/>
  <c r="K1001" i="7"/>
  <c r="K1002" i="7"/>
  <c r="K1003" i="7"/>
  <c r="K1004" i="7"/>
  <c r="K1005" i="7"/>
  <c r="K1006" i="7"/>
  <c r="K1007" i="7"/>
  <c r="K1008" i="7"/>
  <c r="K1009" i="7"/>
  <c r="K1010" i="7"/>
  <c r="K1011" i="7"/>
  <c r="K1012" i="7"/>
  <c r="K1013" i="7"/>
  <c r="K1014" i="7"/>
  <c r="K1015" i="7"/>
  <c r="K1016" i="7"/>
  <c r="K1017" i="7"/>
  <c r="K1018" i="7"/>
  <c r="K1019" i="7"/>
  <c r="K1020" i="7"/>
  <c r="K1021" i="7"/>
  <c r="K1022" i="7"/>
  <c r="K1023" i="7"/>
  <c r="K1024" i="7"/>
  <c r="K1025" i="7"/>
  <c r="K1026" i="7"/>
  <c r="K1027" i="7"/>
  <c r="K1028" i="7"/>
  <c r="K1029" i="7"/>
  <c r="K1030" i="7"/>
  <c r="K1031" i="7"/>
  <c r="K1032" i="7"/>
  <c r="K1033" i="7"/>
  <c r="K1034" i="7"/>
  <c r="K1035" i="7"/>
  <c r="K1036" i="7"/>
  <c r="K1037" i="7"/>
  <c r="K1038" i="7"/>
  <c r="K1039" i="7"/>
  <c r="K1040" i="7"/>
  <c r="K1041" i="7"/>
  <c r="K1042" i="7"/>
  <c r="K1043" i="7"/>
  <c r="K1044" i="7"/>
  <c r="K1045" i="7"/>
  <c r="K1046" i="7"/>
  <c r="K1047" i="7"/>
  <c r="K1048" i="7"/>
  <c r="K1049" i="7"/>
  <c r="K1050" i="7"/>
  <c r="K1051" i="7"/>
  <c r="K1052" i="7"/>
  <c r="K1053" i="7"/>
  <c r="K1054" i="7"/>
  <c r="K1055" i="7"/>
  <c r="K1056" i="7"/>
  <c r="K1057" i="7"/>
  <c r="K1058" i="7"/>
  <c r="K1059" i="7"/>
  <c r="K1060" i="7"/>
  <c r="K1061" i="7"/>
  <c r="K1062" i="7"/>
  <c r="K1063" i="7"/>
  <c r="K1064" i="7"/>
  <c r="K1065" i="7"/>
  <c r="K1066" i="7"/>
  <c r="K1067" i="7"/>
  <c r="K1068" i="7"/>
  <c r="K1069" i="7"/>
  <c r="K1070" i="7"/>
  <c r="K1071" i="7"/>
  <c r="K1072" i="7"/>
  <c r="K1073" i="7"/>
  <c r="K1074" i="7"/>
  <c r="K1075" i="7"/>
  <c r="K1076" i="7"/>
  <c r="K1077" i="7"/>
  <c r="K1078" i="7"/>
  <c r="K1079" i="7"/>
  <c r="K1080" i="7"/>
  <c r="K1081" i="7"/>
  <c r="K1082" i="7"/>
  <c r="K1083" i="7"/>
  <c r="K1084" i="7"/>
  <c r="K1085" i="7"/>
  <c r="K1086" i="7"/>
  <c r="K1087" i="7"/>
  <c r="K1088" i="7"/>
  <c r="K1089" i="7"/>
  <c r="K1090" i="7"/>
  <c r="K1091" i="7"/>
  <c r="K1092" i="7"/>
  <c r="K1093" i="7"/>
  <c r="K1094" i="7"/>
  <c r="K1095" i="7"/>
  <c r="K1096" i="7"/>
  <c r="K1097" i="7"/>
  <c r="K1098" i="7"/>
  <c r="K1099" i="7"/>
  <c r="K1100" i="7"/>
  <c r="K1101" i="7"/>
  <c r="K1102" i="7"/>
  <c r="K1103" i="7"/>
  <c r="K1104" i="7"/>
  <c r="K1105" i="7"/>
  <c r="K1106" i="7"/>
  <c r="K1107" i="7"/>
  <c r="K1108" i="7"/>
  <c r="K1109" i="7"/>
  <c r="K1110" i="7"/>
  <c r="K1111" i="7"/>
  <c r="K1112" i="7"/>
  <c r="K1113" i="7"/>
  <c r="K1114" i="7"/>
  <c r="K1115" i="7"/>
  <c r="K1116" i="7"/>
  <c r="K1117" i="7"/>
  <c r="K1118" i="7"/>
  <c r="K1119" i="7"/>
  <c r="K1120" i="7"/>
  <c r="K1121" i="7"/>
  <c r="K1122" i="7"/>
  <c r="K1123" i="7"/>
  <c r="K1124" i="7"/>
  <c r="K1125" i="7"/>
  <c r="K1126" i="7"/>
  <c r="K1127" i="7"/>
  <c r="K1128" i="7"/>
  <c r="K1129" i="7"/>
  <c r="K1130" i="7"/>
  <c r="K1131" i="7"/>
  <c r="K1132" i="7"/>
  <c r="K1133" i="7"/>
  <c r="K1134" i="7"/>
  <c r="K1135" i="7"/>
  <c r="K1136" i="7"/>
  <c r="K1137" i="7"/>
  <c r="K1138" i="7"/>
  <c r="K1139" i="7"/>
  <c r="K1140" i="7"/>
  <c r="K1141" i="7"/>
  <c r="K1142" i="7"/>
  <c r="K1143" i="7"/>
  <c r="K1144" i="7"/>
  <c r="K1145" i="7"/>
  <c r="K1146" i="7"/>
  <c r="K1147" i="7"/>
  <c r="K1148" i="7"/>
  <c r="K1149" i="7"/>
  <c r="K1150" i="7"/>
  <c r="K1151" i="7"/>
  <c r="K1152" i="7"/>
  <c r="K1153" i="7"/>
  <c r="K1154" i="7"/>
  <c r="K1155" i="7"/>
  <c r="K1156" i="7"/>
  <c r="K1157" i="7"/>
  <c r="K1158" i="7"/>
  <c r="K1159" i="7"/>
  <c r="K1160" i="7"/>
  <c r="K1161" i="7"/>
  <c r="K1162" i="7"/>
  <c r="K1163" i="7"/>
  <c r="K1164" i="7"/>
  <c r="K1165" i="7"/>
  <c r="K1166" i="7"/>
  <c r="K1167" i="7"/>
  <c r="K1168" i="7"/>
  <c r="K1169" i="7"/>
  <c r="K1170" i="7"/>
  <c r="K1171" i="7"/>
  <c r="K1172" i="7"/>
  <c r="K1173" i="7"/>
  <c r="K1174" i="7"/>
  <c r="K1175" i="7"/>
  <c r="K1176" i="7"/>
  <c r="K1177" i="7"/>
  <c r="K1178" i="7"/>
  <c r="K1179" i="7"/>
  <c r="K1180" i="7"/>
  <c r="K1181" i="7"/>
  <c r="K1182" i="7"/>
  <c r="K1183" i="7"/>
  <c r="K1184" i="7"/>
  <c r="K1185" i="7"/>
  <c r="K1186" i="7"/>
  <c r="K1187" i="7"/>
  <c r="K1188" i="7"/>
  <c r="K1189" i="7"/>
  <c r="K1190" i="7"/>
  <c r="K1191" i="7"/>
  <c r="K1192" i="7"/>
  <c r="K1193" i="7"/>
  <c r="K1194" i="7"/>
  <c r="K1195" i="7"/>
  <c r="K1196" i="7"/>
  <c r="K1197" i="7"/>
  <c r="K1198" i="7"/>
  <c r="K1199" i="7"/>
  <c r="K1200" i="7"/>
  <c r="K1201" i="7"/>
  <c r="K1202" i="7"/>
  <c r="K1203" i="7"/>
  <c r="K1204" i="7"/>
  <c r="K1205" i="7"/>
  <c r="K1206" i="7"/>
  <c r="K1207" i="7"/>
  <c r="K1208" i="7"/>
  <c r="K1209" i="7"/>
  <c r="K1210" i="7"/>
  <c r="K1211" i="7"/>
  <c r="K1212" i="7"/>
  <c r="K1213" i="7"/>
  <c r="K1214" i="7"/>
  <c r="K1215" i="7"/>
  <c r="K1216" i="7"/>
  <c r="K1217" i="7"/>
  <c r="K1218" i="7"/>
  <c r="K1219" i="7"/>
  <c r="K1220" i="7"/>
  <c r="K1221" i="7"/>
  <c r="K1222" i="7"/>
  <c r="K1223" i="7"/>
  <c r="K1224" i="7"/>
  <c r="K1225" i="7"/>
  <c r="K1226" i="7"/>
  <c r="K1227" i="7"/>
  <c r="K1228" i="7"/>
  <c r="K1229" i="7"/>
  <c r="K1230" i="7"/>
  <c r="K1231" i="7"/>
  <c r="K1232" i="7"/>
  <c r="K1233" i="7"/>
  <c r="K1234" i="7"/>
  <c r="K1235" i="7"/>
  <c r="K1236" i="7"/>
  <c r="K1237" i="7"/>
  <c r="K1238" i="7"/>
  <c r="K1239" i="7"/>
  <c r="K1240" i="7"/>
  <c r="K1241" i="7"/>
  <c r="K1242" i="7"/>
  <c r="K1243" i="7"/>
  <c r="K1244" i="7"/>
  <c r="K1245" i="7"/>
  <c r="K1246" i="7"/>
  <c r="K1247" i="7"/>
  <c r="K1248" i="7"/>
  <c r="K1249" i="7"/>
  <c r="K1250" i="7"/>
  <c r="K1251" i="7"/>
  <c r="K1252" i="7"/>
  <c r="K1253" i="7"/>
  <c r="K1254" i="7"/>
  <c r="K1255" i="7"/>
  <c r="K1256" i="7"/>
  <c r="K1257" i="7"/>
  <c r="K1258" i="7"/>
  <c r="K1259" i="7"/>
  <c r="K1260" i="7"/>
  <c r="K1261" i="7"/>
  <c r="K1262" i="7"/>
  <c r="K1263" i="7"/>
  <c r="K1264" i="7"/>
  <c r="K1265" i="7"/>
  <c r="K1266" i="7"/>
  <c r="K1267" i="7"/>
  <c r="K1268" i="7"/>
  <c r="K1269" i="7"/>
  <c r="K1270" i="7"/>
  <c r="K1271" i="7"/>
  <c r="K1272" i="7"/>
  <c r="K1273" i="7"/>
  <c r="K1274" i="7"/>
  <c r="K1275" i="7"/>
  <c r="K1276" i="7"/>
  <c r="K1277" i="7"/>
  <c r="K1278" i="7"/>
  <c r="K1279" i="7"/>
  <c r="K1280" i="7"/>
  <c r="K1281" i="7"/>
  <c r="K1282" i="7"/>
  <c r="K1283" i="7"/>
  <c r="K1284" i="7"/>
  <c r="K1285" i="7"/>
  <c r="K1286" i="7"/>
  <c r="K1287" i="7"/>
  <c r="K1288" i="7"/>
  <c r="K1289" i="7"/>
  <c r="K1290" i="7"/>
  <c r="K1291" i="7"/>
  <c r="K1292" i="7"/>
  <c r="K1293" i="7"/>
  <c r="K1294" i="7"/>
  <c r="K1295" i="7"/>
  <c r="K1296" i="7"/>
  <c r="K1297" i="7"/>
  <c r="K1298" i="7"/>
  <c r="K1299" i="7"/>
  <c r="K1300" i="7"/>
  <c r="K1301" i="7"/>
  <c r="K1302" i="7"/>
  <c r="K1303" i="7"/>
  <c r="K1304" i="7"/>
  <c r="K1305" i="7"/>
  <c r="K1306" i="7"/>
  <c r="K1307" i="7"/>
  <c r="K1308" i="7"/>
  <c r="K1309" i="7"/>
  <c r="K1310" i="7"/>
  <c r="K1311" i="7"/>
  <c r="K1312" i="7"/>
  <c r="K1313" i="7"/>
  <c r="K1314" i="7"/>
  <c r="K1315" i="7"/>
  <c r="K1316" i="7"/>
  <c r="K1317" i="7"/>
  <c r="K1318" i="7"/>
  <c r="K1319" i="7"/>
  <c r="K1320" i="7"/>
  <c r="K1321" i="7"/>
  <c r="K1322" i="7"/>
  <c r="K1323" i="7"/>
  <c r="K1324" i="7"/>
  <c r="K1325" i="7"/>
  <c r="K1326" i="7"/>
  <c r="K1327" i="7"/>
  <c r="K1328" i="7"/>
  <c r="K1329" i="7"/>
  <c r="K1330" i="7"/>
  <c r="K1331" i="7"/>
  <c r="K1332" i="7"/>
  <c r="K1333" i="7"/>
  <c r="K1334" i="7"/>
  <c r="K1335" i="7"/>
  <c r="K1336" i="7"/>
  <c r="K1337" i="7"/>
  <c r="K1338" i="7"/>
  <c r="K1339" i="7"/>
  <c r="K1340" i="7"/>
  <c r="K1341" i="7"/>
  <c r="K1342" i="7"/>
  <c r="K1343" i="7"/>
  <c r="K1344" i="7"/>
  <c r="K1345" i="7"/>
  <c r="K1346" i="7"/>
  <c r="K1347" i="7"/>
  <c r="K1348" i="7"/>
  <c r="K1349" i="7"/>
  <c r="K1350" i="7"/>
  <c r="K1351" i="7"/>
  <c r="K1352" i="7"/>
  <c r="K1353" i="7"/>
  <c r="K1354" i="7"/>
  <c r="K1355" i="7"/>
  <c r="K1356" i="7"/>
  <c r="K1357" i="7"/>
  <c r="K1358" i="7"/>
  <c r="K1359" i="7"/>
  <c r="K1360" i="7"/>
  <c r="K1361" i="7"/>
  <c r="K1362" i="7"/>
  <c r="K1363" i="7"/>
  <c r="K1364" i="7"/>
  <c r="K1365" i="7"/>
  <c r="K1366" i="7"/>
  <c r="K1367" i="7"/>
  <c r="K1368" i="7"/>
  <c r="K1369" i="7"/>
  <c r="K1370" i="7"/>
  <c r="K1371" i="7"/>
  <c r="K1372" i="7"/>
  <c r="K1373" i="7"/>
  <c r="K1374" i="7"/>
  <c r="K1375" i="7"/>
  <c r="K1376" i="7"/>
  <c r="K1377" i="7"/>
  <c r="K1378" i="7"/>
  <c r="K1379" i="7"/>
  <c r="K1380" i="7"/>
  <c r="K1381" i="7"/>
  <c r="K1382" i="7"/>
  <c r="K1383" i="7"/>
  <c r="K1384" i="7"/>
  <c r="K1385" i="7"/>
  <c r="K1386" i="7"/>
  <c r="K1387" i="7"/>
  <c r="K1388" i="7"/>
  <c r="K1389" i="7"/>
  <c r="K1390" i="7"/>
  <c r="K1391" i="7"/>
  <c r="K1392" i="7"/>
  <c r="K1393" i="7"/>
  <c r="K1394" i="7"/>
  <c r="K1395" i="7"/>
  <c r="K1396" i="7"/>
  <c r="K1397" i="7"/>
  <c r="K1398" i="7"/>
  <c r="K1399" i="7"/>
  <c r="K1400" i="7"/>
  <c r="K1401" i="7"/>
  <c r="K1402" i="7"/>
  <c r="K1403" i="7"/>
  <c r="K1404" i="7"/>
  <c r="K1405" i="7"/>
  <c r="K1406" i="7"/>
  <c r="K1407" i="7"/>
  <c r="K1408" i="7"/>
  <c r="K1409" i="7"/>
  <c r="K1410" i="7"/>
  <c r="K1411" i="7"/>
  <c r="K1412" i="7"/>
  <c r="K1413" i="7"/>
  <c r="K1414" i="7"/>
  <c r="K1415" i="7"/>
  <c r="K1416" i="7"/>
  <c r="K1417" i="7"/>
  <c r="K1418" i="7"/>
  <c r="K1419" i="7"/>
  <c r="K1420" i="7"/>
  <c r="K1421" i="7"/>
  <c r="K1422" i="7"/>
  <c r="K1423" i="7"/>
  <c r="K1424" i="7"/>
  <c r="K1425" i="7"/>
  <c r="K1426" i="7"/>
  <c r="K1427" i="7"/>
  <c r="K1428" i="7"/>
  <c r="K1429" i="7"/>
  <c r="K1430" i="7"/>
  <c r="K1431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14" i="7"/>
  <c r="AM35" i="41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494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29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7" i="7"/>
  <c r="K768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7" i="7"/>
  <c r="K788" i="7"/>
  <c r="K789" i="7"/>
  <c r="K790" i="7"/>
  <c r="K791" i="7"/>
  <c r="K792" i="7"/>
  <c r="K793" i="7"/>
  <c r="K794" i="7"/>
  <c r="K795" i="7"/>
  <c r="K796" i="7"/>
  <c r="K797" i="7"/>
  <c r="K799" i="7"/>
  <c r="K800" i="7"/>
  <c r="K801" i="7"/>
  <c r="K802" i="7"/>
  <c r="K766" i="7"/>
  <c r="K806" i="7"/>
  <c r="K811" i="7"/>
  <c r="K817" i="7"/>
  <c r="K818" i="7"/>
  <c r="K812" i="7"/>
  <c r="K813" i="7"/>
  <c r="K814" i="7"/>
  <c r="K807" i="7"/>
  <c r="K819" i="7"/>
  <c r="K769" i="7"/>
  <c r="K753" i="7"/>
  <c r="K805" i="7"/>
  <c r="K808" i="7"/>
  <c r="K815" i="7"/>
  <c r="K804" i="7"/>
  <c r="K786" i="7"/>
  <c r="K809" i="7"/>
  <c r="K810" i="7"/>
  <c r="K823" i="7"/>
  <c r="K824" i="7"/>
  <c r="K821" i="7"/>
  <c r="K825" i="7"/>
  <c r="K826" i="7"/>
  <c r="K827" i="7"/>
  <c r="K828" i="7"/>
  <c r="K822" i="7"/>
  <c r="K831" i="7"/>
  <c r="K816" i="7"/>
  <c r="K835" i="7"/>
  <c r="K836" i="7"/>
  <c r="K837" i="7"/>
  <c r="K838" i="7"/>
  <c r="K839" i="7"/>
  <c r="K830" i="7"/>
  <c r="K858" i="7"/>
  <c r="K850" i="7"/>
  <c r="K851" i="7"/>
  <c r="K852" i="7"/>
  <c r="K849" i="7"/>
  <c r="K859" i="7"/>
  <c r="K863" i="7"/>
  <c r="K864" i="7"/>
  <c r="K861" i="7"/>
  <c r="K847" i="7"/>
  <c r="K853" i="7"/>
  <c r="K854" i="7"/>
  <c r="K855" i="7"/>
  <c r="K832" i="7"/>
  <c r="K803" i="7"/>
  <c r="K820" i="7"/>
  <c r="K843" i="7"/>
  <c r="K840" i="7"/>
  <c r="K844" i="7"/>
  <c r="K798" i="7"/>
  <c r="K875" i="7"/>
  <c r="K876" i="7"/>
  <c r="K868" i="7"/>
  <c r="K862" i="7"/>
  <c r="K856" i="7"/>
  <c r="K841" i="7"/>
  <c r="K829" i="7"/>
  <c r="K865" i="7"/>
  <c r="K866" i="7"/>
  <c r="K869" i="7"/>
  <c r="K870" i="7"/>
  <c r="K833" i="7"/>
  <c r="K834" i="7"/>
  <c r="K877" i="7"/>
  <c r="K873" i="7"/>
  <c r="K848" i="7"/>
  <c r="K845" i="7"/>
  <c r="K857" i="7"/>
  <c r="K842" i="7"/>
  <c r="K881" i="7"/>
  <c r="K879" i="7"/>
  <c r="K884" i="7"/>
  <c r="K885" i="7"/>
  <c r="K886" i="7"/>
  <c r="K887" i="7"/>
  <c r="K888" i="7"/>
  <c r="K874" i="7"/>
  <c r="K871" i="7"/>
  <c r="K880" i="7"/>
  <c r="K882" i="7"/>
  <c r="K883" i="7"/>
  <c r="K846" i="7"/>
  <c r="K878" i="7"/>
  <c r="K896" i="7"/>
  <c r="K890" i="7"/>
  <c r="K891" i="7"/>
  <c r="K892" i="7"/>
  <c r="K897" i="7"/>
  <c r="K898" i="7"/>
  <c r="K899" i="7"/>
  <c r="K872" i="7"/>
  <c r="K893" i="7"/>
  <c r="K901" i="7"/>
  <c r="K902" i="7"/>
  <c r="K867" i="7"/>
  <c r="K860" i="7"/>
  <c r="K894" i="7"/>
  <c r="K909" i="7"/>
  <c r="K910" i="7"/>
  <c r="K911" i="7"/>
  <c r="K912" i="7"/>
  <c r="K903" i="7"/>
  <c r="K904" i="7"/>
  <c r="K905" i="7"/>
  <c r="K900" i="7"/>
  <c r="K895" i="7"/>
  <c r="K889" i="7"/>
  <c r="K906" i="7"/>
  <c r="K913" i="7"/>
  <c r="K907" i="7"/>
  <c r="AM24" i="41"/>
  <c r="AM25" i="41"/>
  <c r="AM26" i="41"/>
  <c r="AM27" i="41"/>
  <c r="AL27" i="41"/>
  <c r="AM28" i="41"/>
  <c r="AL28" i="41"/>
  <c r="AM29" i="41"/>
  <c r="AL29" i="41"/>
  <c r="AM30" i="41"/>
  <c r="AM31" i="41"/>
  <c r="AL31" i="41"/>
  <c r="AM32" i="41"/>
  <c r="AL32" i="41"/>
  <c r="AM33" i="41"/>
  <c r="AL33" i="41"/>
  <c r="AM34" i="41"/>
  <c r="AL34" i="41"/>
  <c r="R18" i="41"/>
  <c r="R19" i="41"/>
  <c r="R20" i="41"/>
  <c r="AM22" i="41"/>
  <c r="AM23" i="41"/>
  <c r="AM36" i="41"/>
  <c r="AL36" i="41"/>
  <c r="AM37" i="41"/>
  <c r="AL37" i="41"/>
  <c r="AM38" i="41"/>
  <c r="AM39" i="41"/>
  <c r="AL39" i="41"/>
  <c r="AM40" i="41"/>
  <c r="AL40" i="41"/>
  <c r="AM41" i="41"/>
  <c r="AM42" i="41"/>
  <c r="K366" i="7"/>
  <c r="K367" i="7"/>
  <c r="K368" i="7"/>
  <c r="K369" i="7"/>
  <c r="K370" i="7"/>
  <c r="K371" i="7"/>
  <c r="K355" i="7"/>
  <c r="K356" i="7"/>
  <c r="K357" i="7"/>
  <c r="K358" i="7"/>
  <c r="K359" i="7"/>
  <c r="K360" i="7"/>
  <c r="K361" i="7"/>
  <c r="K362" i="7"/>
  <c r="K363" i="7"/>
  <c r="K364" i="7"/>
  <c r="K365" i="7"/>
  <c r="K343" i="7"/>
  <c r="R13" i="41"/>
  <c r="R14" i="41"/>
  <c r="R15" i="41"/>
  <c r="R16" i="41"/>
  <c r="R17" i="41"/>
  <c r="R21" i="41"/>
  <c r="R9" i="41"/>
  <c r="R10" i="41"/>
  <c r="R11" i="41"/>
  <c r="R12" i="41"/>
  <c r="R34" i="41"/>
  <c r="R35" i="41"/>
  <c r="R36" i="41"/>
  <c r="R37" i="41"/>
  <c r="R38" i="41"/>
  <c r="R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23" i="41"/>
  <c r="R24" i="41"/>
  <c r="R25" i="41"/>
  <c r="R26" i="41"/>
  <c r="R27" i="41"/>
  <c r="R28" i="41"/>
  <c r="R29" i="41"/>
  <c r="R30" i="41"/>
  <c r="R31" i="41"/>
  <c r="R32" i="41"/>
  <c r="R33" i="41"/>
  <c r="R22" i="41"/>
  <c r="X22" i="41"/>
  <c r="Y22" i="41"/>
  <c r="AA22" i="41"/>
  <c r="AB22" i="41"/>
  <c r="X23" i="41"/>
  <c r="Y23" i="41"/>
  <c r="AA23" i="41"/>
  <c r="AB23" i="41"/>
  <c r="X24" i="41"/>
  <c r="Y24" i="41"/>
  <c r="AA24" i="41"/>
  <c r="AB24" i="41"/>
  <c r="X25" i="41"/>
  <c r="Y25" i="41"/>
  <c r="AA25" i="41"/>
  <c r="AB25" i="41"/>
  <c r="X26" i="41"/>
  <c r="Y26" i="41"/>
  <c r="AA26" i="41"/>
  <c r="AB26" i="41"/>
  <c r="X27" i="41"/>
  <c r="Y27" i="41"/>
  <c r="AA27" i="41"/>
  <c r="AB27" i="41"/>
  <c r="X28" i="41"/>
  <c r="Y28" i="41"/>
  <c r="AA28" i="41"/>
  <c r="AB28" i="41"/>
  <c r="X29" i="41"/>
  <c r="Y29" i="41"/>
  <c r="AA29" i="41"/>
  <c r="AB29" i="41"/>
  <c r="X30" i="41"/>
  <c r="Y30" i="41"/>
  <c r="AA30" i="41"/>
  <c r="AB30" i="41"/>
  <c r="X31" i="41"/>
  <c r="Y31" i="41"/>
  <c r="AA31" i="41"/>
  <c r="AB31" i="41"/>
  <c r="X32" i="41"/>
  <c r="Y32" i="41"/>
  <c r="AA32" i="41"/>
  <c r="AB32" i="41"/>
  <c r="X33" i="41"/>
  <c r="Y33" i="41"/>
  <c r="AA33" i="41"/>
  <c r="AB33" i="41"/>
  <c r="X34" i="41"/>
  <c r="Y34" i="41"/>
  <c r="AA34" i="41"/>
  <c r="AB34" i="41"/>
  <c r="X35" i="41"/>
  <c r="Y35" i="41"/>
  <c r="AA35" i="41"/>
  <c r="AB35" i="41"/>
  <c r="X36" i="41"/>
  <c r="Y36" i="41"/>
  <c r="AB36" i="41"/>
  <c r="X37" i="41"/>
  <c r="Y37" i="41"/>
  <c r="AA37" i="41"/>
  <c r="AB37" i="41"/>
  <c r="X38" i="41"/>
  <c r="Y38" i="41"/>
  <c r="AA38" i="41"/>
  <c r="AB38" i="41"/>
  <c r="X39" i="41"/>
  <c r="Y39" i="41"/>
  <c r="AA39" i="41"/>
  <c r="AB39" i="41"/>
  <c r="X40" i="41"/>
  <c r="Y40" i="41"/>
  <c r="AA40" i="41"/>
  <c r="AB40" i="41"/>
  <c r="X41" i="41"/>
  <c r="Y41" i="41"/>
  <c r="AA41" i="41"/>
  <c r="AB41" i="41"/>
  <c r="X42" i="41"/>
  <c r="Y42" i="41"/>
  <c r="AA42" i="41"/>
  <c r="AB42" i="41"/>
  <c r="X43" i="41"/>
  <c r="Y43" i="41"/>
  <c r="AA43" i="41"/>
  <c r="AB43" i="41"/>
  <c r="X44" i="41"/>
  <c r="Y44" i="41"/>
  <c r="AA44" i="41"/>
  <c r="AB44" i="41"/>
  <c r="X45" i="41"/>
  <c r="Y45" i="41"/>
  <c r="AA45" i="41"/>
  <c r="AB45" i="41"/>
  <c r="X46" i="41"/>
  <c r="Y46" i="41"/>
  <c r="AA46" i="41"/>
  <c r="AB46" i="41"/>
  <c r="X47" i="41"/>
  <c r="Y47" i="41"/>
  <c r="AA47" i="41"/>
  <c r="AB47" i="41"/>
  <c r="X48" i="41"/>
  <c r="Y48" i="41"/>
  <c r="AA48" i="41"/>
  <c r="AB48" i="41"/>
  <c r="X49" i="41"/>
  <c r="Y49" i="41"/>
  <c r="AA49" i="41"/>
  <c r="AB49" i="41"/>
  <c r="X50" i="41"/>
  <c r="Y50" i="41"/>
  <c r="AA50" i="41"/>
  <c r="AB50" i="41"/>
  <c r="X51" i="41"/>
  <c r="Y51" i="41"/>
  <c r="AA51" i="41"/>
  <c r="AB51" i="41"/>
  <c r="X52" i="41"/>
  <c r="Y52" i="41"/>
  <c r="AA52" i="41"/>
  <c r="AB52" i="41"/>
  <c r="X53" i="41"/>
  <c r="Y53" i="41"/>
  <c r="AA53" i="41"/>
  <c r="AB53" i="41"/>
  <c r="X54" i="41"/>
  <c r="Y54" i="41"/>
  <c r="AA54" i="41"/>
  <c r="AB54" i="41"/>
  <c r="X55" i="41"/>
  <c r="Y55" i="41"/>
  <c r="AA55" i="41"/>
  <c r="AB55" i="41"/>
  <c r="X56" i="41"/>
  <c r="Y56" i="41"/>
  <c r="AA56" i="41"/>
  <c r="AB56" i="41"/>
  <c r="X57" i="41"/>
  <c r="Y57" i="41"/>
  <c r="AA57" i="41"/>
  <c r="AB57" i="41"/>
  <c r="X58" i="41"/>
  <c r="Y58" i="41"/>
  <c r="AA58" i="41"/>
  <c r="AB58" i="41"/>
  <c r="X59" i="41"/>
  <c r="Y59" i="41"/>
  <c r="AA59" i="41"/>
  <c r="AB59" i="41"/>
  <c r="X60" i="41"/>
  <c r="Y60" i="41"/>
  <c r="AA60" i="41"/>
  <c r="AB60" i="41"/>
  <c r="X61" i="41"/>
  <c r="Y61" i="41"/>
  <c r="AA61" i="41"/>
  <c r="AB61" i="41"/>
  <c r="X62" i="41"/>
  <c r="Y62" i="41"/>
  <c r="AA62" i="41"/>
  <c r="AB62" i="41"/>
  <c r="X63" i="41"/>
  <c r="Y63" i="41"/>
  <c r="AA63" i="41"/>
  <c r="AB63" i="41"/>
  <c r="X64" i="41"/>
  <c r="Y64" i="41"/>
  <c r="AA64" i="41"/>
  <c r="AB64" i="41"/>
  <c r="X65" i="41"/>
  <c r="Y65" i="41"/>
  <c r="AA65" i="41"/>
  <c r="AB65" i="41"/>
  <c r="X66" i="41"/>
  <c r="Y66" i="41"/>
  <c r="AA66" i="41"/>
  <c r="AB66" i="41"/>
  <c r="X67" i="41"/>
  <c r="Y67" i="41"/>
  <c r="AA67" i="41"/>
  <c r="AB67" i="41"/>
  <c r="X68" i="41"/>
  <c r="Y68" i="41"/>
  <c r="AA68" i="41"/>
  <c r="AB68" i="41"/>
  <c r="X69" i="41"/>
  <c r="Y69" i="41"/>
  <c r="AA69" i="41"/>
  <c r="AB69" i="41"/>
  <c r="X70" i="41"/>
  <c r="Y70" i="41"/>
  <c r="AA70" i="41"/>
  <c r="AB70" i="41"/>
  <c r="X71" i="41"/>
  <c r="Y71" i="41"/>
  <c r="AA71" i="41"/>
  <c r="AB71" i="41"/>
  <c r="X72" i="41"/>
  <c r="Y72" i="41"/>
  <c r="AA72" i="41"/>
  <c r="AB72" i="41"/>
  <c r="X73" i="41"/>
  <c r="Y73" i="41"/>
  <c r="AA73" i="41"/>
  <c r="AB73" i="41"/>
  <c r="X74" i="41"/>
  <c r="Y74" i="41"/>
  <c r="AA74" i="41"/>
  <c r="AB74" i="41"/>
  <c r="X75" i="41"/>
  <c r="Y75" i="41"/>
  <c r="AA75" i="41"/>
  <c r="AB75" i="41"/>
  <c r="X76" i="41"/>
  <c r="Y76" i="41"/>
  <c r="AA76" i="41"/>
  <c r="AB76" i="41"/>
  <c r="X77" i="41"/>
  <c r="Y77" i="41"/>
  <c r="AA77" i="41"/>
  <c r="AB77" i="41"/>
  <c r="X78" i="41"/>
  <c r="Y78" i="41"/>
  <c r="AA78" i="41"/>
  <c r="AB78" i="41"/>
  <c r="X79" i="41"/>
  <c r="Y79" i="41"/>
  <c r="AA79" i="41"/>
  <c r="AB79" i="41"/>
  <c r="X80" i="41"/>
  <c r="Y80" i="41"/>
  <c r="AA80" i="41"/>
  <c r="AB80" i="41"/>
  <c r="X81" i="41"/>
  <c r="Y81" i="41"/>
  <c r="AA81" i="41"/>
  <c r="AB81" i="41"/>
  <c r="X82" i="41"/>
  <c r="Y82" i="41"/>
  <c r="AA82" i="41"/>
  <c r="AB82" i="41"/>
  <c r="X83" i="41"/>
  <c r="Y83" i="41"/>
  <c r="AA83" i="41"/>
  <c r="AB83" i="41"/>
  <c r="X84" i="41"/>
  <c r="Y84" i="41"/>
  <c r="AA84" i="41"/>
  <c r="AB84" i="41"/>
  <c r="X85" i="41"/>
  <c r="Y85" i="41"/>
  <c r="AA85" i="41"/>
  <c r="AB85" i="41"/>
  <c r="X86" i="41"/>
  <c r="Y86" i="41"/>
  <c r="AA86" i="41"/>
  <c r="AB86" i="41"/>
  <c r="X87" i="41"/>
  <c r="Y87" i="41"/>
  <c r="AA87" i="41"/>
  <c r="AB87" i="41"/>
  <c r="X88" i="41"/>
  <c r="Y88" i="41"/>
  <c r="AA88" i="41"/>
  <c r="AB88" i="41"/>
  <c r="X89" i="41"/>
  <c r="Y89" i="41"/>
  <c r="AA89" i="41"/>
  <c r="AB89" i="41"/>
  <c r="X90" i="41"/>
  <c r="Y90" i="41"/>
  <c r="AA90" i="41"/>
  <c r="AB90" i="41"/>
  <c r="X91" i="41"/>
  <c r="Y91" i="41"/>
  <c r="AA91" i="41"/>
  <c r="AB91" i="41"/>
  <c r="X92" i="41"/>
  <c r="Y92" i="41"/>
  <c r="AA92" i="41"/>
  <c r="AB92" i="41"/>
  <c r="X93" i="41"/>
  <c r="Y93" i="41"/>
  <c r="AA93" i="41"/>
  <c r="AB93" i="41"/>
  <c r="X94" i="41"/>
  <c r="Y94" i="41"/>
  <c r="AA94" i="41"/>
  <c r="AB94" i="41"/>
  <c r="X95" i="41"/>
  <c r="Y95" i="41"/>
  <c r="AA95" i="41"/>
  <c r="AB95" i="41"/>
  <c r="X96" i="41"/>
  <c r="Y96" i="41"/>
  <c r="AA96" i="41"/>
  <c r="AB96" i="41"/>
  <c r="X97" i="41"/>
  <c r="Y97" i="41"/>
  <c r="AA97" i="41"/>
  <c r="AB97" i="41"/>
  <c r="X98" i="41"/>
  <c r="Y98" i="41"/>
  <c r="AA98" i="41"/>
  <c r="AB98" i="41"/>
  <c r="X99" i="41"/>
  <c r="Y99" i="41"/>
  <c r="AA99" i="41"/>
  <c r="AB99" i="41"/>
  <c r="X100" i="41"/>
  <c r="Y100" i="41"/>
  <c r="AA100" i="41"/>
  <c r="AB100" i="41"/>
  <c r="X101" i="41"/>
  <c r="Y101" i="41"/>
  <c r="AA101" i="41"/>
  <c r="AB101" i="41"/>
  <c r="X102" i="41"/>
  <c r="Y102" i="41"/>
  <c r="AA102" i="41"/>
  <c r="AB102" i="41"/>
  <c r="X103" i="41"/>
  <c r="Y103" i="41"/>
  <c r="AA103" i="41"/>
  <c r="AB103" i="41"/>
  <c r="X104" i="41"/>
  <c r="Y104" i="41"/>
  <c r="AA104" i="41"/>
  <c r="AB104" i="41"/>
  <c r="X105" i="41"/>
  <c r="Y105" i="41"/>
  <c r="AA105" i="41"/>
  <c r="AB105" i="41"/>
  <c r="X106" i="41"/>
  <c r="Y106" i="41"/>
  <c r="AA106" i="41"/>
  <c r="AB106" i="41"/>
  <c r="X107" i="41"/>
  <c r="Y107" i="41"/>
  <c r="AA107" i="41"/>
  <c r="AB107" i="41"/>
  <c r="X108" i="41"/>
  <c r="Y108" i="41"/>
  <c r="AA108" i="41"/>
  <c r="AB108" i="41"/>
  <c r="X109" i="41"/>
  <c r="Y109" i="41"/>
  <c r="AA109" i="41"/>
  <c r="AB109" i="41"/>
  <c r="X110" i="41"/>
  <c r="Y110" i="41"/>
  <c r="AA110" i="41"/>
  <c r="AB110" i="41"/>
  <c r="X111" i="41"/>
  <c r="Y111" i="41"/>
  <c r="AA111" i="41"/>
  <c r="AB111" i="41"/>
  <c r="X112" i="41"/>
  <c r="Y112" i="41"/>
  <c r="AA112" i="41"/>
  <c r="AB112" i="41"/>
  <c r="X113" i="41"/>
  <c r="Y113" i="41"/>
  <c r="AA113" i="41"/>
  <c r="AB113" i="41"/>
  <c r="X114" i="41"/>
  <c r="Y114" i="41"/>
  <c r="AA114" i="41"/>
  <c r="AB114" i="41"/>
  <c r="X115" i="41"/>
  <c r="Y115" i="41"/>
  <c r="AA115" i="41"/>
  <c r="AB115" i="41"/>
  <c r="X116" i="41"/>
  <c r="Y116" i="41"/>
  <c r="AA116" i="41"/>
  <c r="AB116" i="41"/>
  <c r="X117" i="41"/>
  <c r="Y117" i="41"/>
  <c r="AA117" i="41"/>
  <c r="AB117" i="41"/>
  <c r="X118" i="41"/>
  <c r="Y118" i="41"/>
  <c r="AA118" i="41"/>
  <c r="AB118" i="41"/>
  <c r="X119" i="41"/>
  <c r="Y119" i="41"/>
  <c r="AA119" i="41"/>
  <c r="AB119" i="41"/>
  <c r="X120" i="41"/>
  <c r="Y120" i="41"/>
  <c r="AA120" i="41"/>
  <c r="AB120" i="41"/>
  <c r="X121" i="41"/>
  <c r="Y121" i="41"/>
  <c r="AA121" i="41"/>
  <c r="AB121" i="41"/>
  <c r="X122" i="41"/>
  <c r="Y122" i="41"/>
  <c r="AA122" i="41"/>
  <c r="AB122" i="41"/>
  <c r="X123" i="41"/>
  <c r="Y123" i="41"/>
  <c r="AA123" i="41"/>
  <c r="AB123" i="41"/>
  <c r="X124" i="41"/>
  <c r="Y124" i="41"/>
  <c r="AA124" i="41"/>
  <c r="AB124" i="41"/>
  <c r="X125" i="41"/>
  <c r="Y125" i="41"/>
  <c r="AA125" i="41"/>
  <c r="AB125" i="41"/>
  <c r="X126" i="41"/>
  <c r="Y126" i="41"/>
  <c r="AA126" i="41"/>
  <c r="AB126" i="41"/>
  <c r="X127" i="41"/>
  <c r="Y127" i="41"/>
  <c r="AA127" i="41"/>
  <c r="AB127" i="41"/>
  <c r="X128" i="41"/>
  <c r="Y128" i="41"/>
  <c r="AA128" i="41"/>
  <c r="AB128" i="41"/>
  <c r="X129" i="41"/>
  <c r="Y129" i="41"/>
  <c r="AA129" i="41"/>
  <c r="AB129" i="41"/>
  <c r="X130" i="41"/>
  <c r="Y130" i="41"/>
  <c r="AA130" i="41"/>
  <c r="AB130" i="41"/>
  <c r="X131" i="41"/>
  <c r="Y131" i="41"/>
  <c r="AA131" i="41"/>
  <c r="AB131" i="41"/>
  <c r="X132" i="41"/>
  <c r="Y132" i="41"/>
  <c r="AA132" i="41"/>
  <c r="AB132" i="41"/>
  <c r="X133" i="41"/>
  <c r="Y133" i="41"/>
  <c r="AA133" i="41"/>
  <c r="AB133" i="41"/>
  <c r="X134" i="41"/>
  <c r="Y134" i="41"/>
  <c r="AA134" i="41"/>
  <c r="AB134" i="41"/>
  <c r="X135" i="41"/>
  <c r="Y135" i="41"/>
  <c r="AA135" i="41"/>
  <c r="AB135" i="41"/>
  <c r="X136" i="41"/>
  <c r="Y136" i="41"/>
  <c r="AA136" i="41"/>
  <c r="AB136" i="41"/>
  <c r="X137" i="41"/>
  <c r="Y137" i="41"/>
  <c r="AA137" i="41"/>
  <c r="AB137" i="41"/>
  <c r="X138" i="41"/>
  <c r="Y138" i="41"/>
  <c r="AA138" i="41"/>
  <c r="AB138" i="41"/>
  <c r="X139" i="41"/>
  <c r="Y139" i="41"/>
  <c r="AA139" i="41"/>
  <c r="AB139" i="41"/>
  <c r="X140" i="41"/>
  <c r="Y140" i="41"/>
  <c r="AA140" i="41"/>
  <c r="AB140" i="41"/>
  <c r="X141" i="41"/>
  <c r="Y141" i="41"/>
  <c r="AA141" i="41"/>
  <c r="AB141" i="41"/>
  <c r="X142" i="41"/>
  <c r="Y142" i="41"/>
  <c r="AA142" i="41"/>
  <c r="AB142" i="41"/>
  <c r="X143" i="41"/>
  <c r="Y143" i="41"/>
  <c r="AA143" i="41"/>
  <c r="AB143" i="41"/>
  <c r="X144" i="41"/>
  <c r="Y144" i="41"/>
  <c r="AA144" i="41"/>
  <c r="AB144" i="41"/>
  <c r="X145" i="41"/>
  <c r="Y145" i="41"/>
  <c r="AA145" i="41"/>
  <c r="AB145" i="41"/>
  <c r="X146" i="41"/>
  <c r="Y146" i="41"/>
  <c r="AA146" i="41"/>
  <c r="AB146" i="41"/>
  <c r="X147" i="41"/>
  <c r="Y147" i="41"/>
  <c r="AA147" i="41"/>
  <c r="AB147" i="41"/>
  <c r="X148" i="41"/>
  <c r="Y148" i="41"/>
  <c r="AA148" i="41"/>
  <c r="AB148" i="41"/>
  <c r="X149" i="41"/>
  <c r="Y149" i="41"/>
  <c r="AA149" i="41"/>
  <c r="AB149" i="41"/>
  <c r="X150" i="41"/>
  <c r="Y150" i="41"/>
  <c r="AA150" i="41"/>
  <c r="AB150" i="41"/>
  <c r="X151" i="41"/>
  <c r="Y151" i="41"/>
  <c r="AA151" i="41"/>
  <c r="AB151" i="41"/>
  <c r="X152" i="41"/>
  <c r="Y152" i="41"/>
  <c r="AA152" i="41"/>
  <c r="AB152" i="41"/>
  <c r="X153" i="41"/>
  <c r="Y153" i="41"/>
  <c r="AA153" i="41"/>
  <c r="AB153" i="41"/>
  <c r="X154" i="41"/>
  <c r="Y154" i="41"/>
  <c r="AA154" i="41"/>
  <c r="AB154" i="41"/>
  <c r="X155" i="41"/>
  <c r="Y155" i="41"/>
  <c r="AA155" i="41"/>
  <c r="AB155" i="41"/>
  <c r="X156" i="41"/>
  <c r="Y156" i="41"/>
  <c r="AA156" i="41"/>
  <c r="AB156" i="41"/>
  <c r="X157" i="41"/>
  <c r="Y157" i="41"/>
  <c r="AA157" i="41"/>
  <c r="AB157" i="41"/>
  <c r="X158" i="41"/>
  <c r="Y158" i="41"/>
  <c r="AA158" i="41"/>
  <c r="AB158" i="41"/>
  <c r="X159" i="41"/>
  <c r="Y159" i="41"/>
  <c r="AA159" i="41"/>
  <c r="AB159" i="41"/>
  <c r="X160" i="41"/>
  <c r="Y160" i="41"/>
  <c r="AA160" i="41"/>
  <c r="AB160" i="41"/>
  <c r="X161" i="41"/>
  <c r="Y161" i="41"/>
  <c r="AA161" i="41"/>
  <c r="AB161" i="41"/>
  <c r="X162" i="41"/>
  <c r="Y162" i="41"/>
  <c r="AA162" i="41"/>
  <c r="AB162" i="41"/>
  <c r="X163" i="41"/>
  <c r="Y163" i="41"/>
  <c r="AA163" i="41"/>
  <c r="AB163" i="41"/>
  <c r="X164" i="41"/>
  <c r="Y164" i="41"/>
  <c r="AA164" i="41"/>
  <c r="AB164" i="41"/>
  <c r="X165" i="41"/>
  <c r="Y165" i="41"/>
  <c r="AA165" i="41"/>
  <c r="AB165" i="41"/>
  <c r="X166" i="41"/>
  <c r="Y166" i="41"/>
  <c r="AA166" i="41"/>
  <c r="AB166" i="41"/>
  <c r="X167" i="41"/>
  <c r="Y167" i="41"/>
  <c r="AA167" i="41"/>
  <c r="AB167" i="41"/>
  <c r="X168" i="41"/>
  <c r="Y168" i="41"/>
  <c r="AA168" i="41"/>
  <c r="AB168" i="41"/>
  <c r="X169" i="41"/>
  <c r="Y169" i="41"/>
  <c r="AA169" i="41"/>
  <c r="AB169" i="41"/>
  <c r="X170" i="41"/>
  <c r="Y170" i="41"/>
  <c r="AA170" i="41"/>
  <c r="AB170" i="41"/>
  <c r="X171" i="41"/>
  <c r="Y171" i="41"/>
  <c r="AA171" i="41"/>
  <c r="AB171" i="41"/>
  <c r="X172" i="41"/>
  <c r="Y172" i="41"/>
  <c r="AA172" i="41"/>
  <c r="AB172" i="41"/>
  <c r="X173" i="41"/>
  <c r="Y173" i="41"/>
  <c r="AA173" i="41"/>
  <c r="AB173" i="41"/>
  <c r="X174" i="41"/>
  <c r="Y174" i="41"/>
  <c r="AA174" i="41"/>
  <c r="AB174" i="41"/>
  <c r="X175" i="41"/>
  <c r="Y175" i="41"/>
  <c r="AA175" i="41"/>
  <c r="AB175" i="41"/>
  <c r="X176" i="41"/>
  <c r="Y176" i="41"/>
  <c r="AA176" i="41"/>
  <c r="AB176" i="41"/>
  <c r="X177" i="41"/>
  <c r="Y177" i="41"/>
  <c r="AA177" i="41"/>
  <c r="AB177" i="41"/>
  <c r="X178" i="41"/>
  <c r="Y178" i="41"/>
  <c r="AA178" i="41"/>
  <c r="AB178" i="41"/>
  <c r="X179" i="41"/>
  <c r="Y179" i="41"/>
  <c r="AA179" i="41"/>
  <c r="AB179" i="41"/>
  <c r="X180" i="41"/>
  <c r="Y180" i="41"/>
  <c r="AA180" i="41"/>
  <c r="AB180" i="41"/>
  <c r="X181" i="41"/>
  <c r="Y181" i="41"/>
  <c r="AA181" i="41"/>
  <c r="AB181" i="41"/>
  <c r="X182" i="41"/>
  <c r="Y182" i="41"/>
  <c r="AA182" i="41"/>
  <c r="AB182" i="41"/>
  <c r="X183" i="41"/>
  <c r="Y183" i="41"/>
  <c r="AA183" i="41"/>
  <c r="AB183" i="41"/>
  <c r="X184" i="41"/>
  <c r="Y184" i="41"/>
  <c r="AA184" i="41"/>
  <c r="AB184" i="41"/>
  <c r="X185" i="41"/>
  <c r="Y185" i="41"/>
  <c r="AA185" i="41"/>
  <c r="AB185" i="41"/>
  <c r="X186" i="41"/>
  <c r="Y186" i="41"/>
  <c r="AA186" i="41"/>
  <c r="AB186" i="41"/>
  <c r="X187" i="41"/>
  <c r="Y187" i="41"/>
  <c r="AA187" i="41"/>
  <c r="AB187" i="41"/>
  <c r="X188" i="41"/>
  <c r="Y188" i="41"/>
  <c r="AA188" i="41"/>
  <c r="AB188" i="41"/>
  <c r="X189" i="41"/>
  <c r="Y189" i="41"/>
  <c r="AA189" i="41"/>
  <c r="AB189" i="41"/>
  <c r="X190" i="41"/>
  <c r="Y190" i="41"/>
  <c r="AA190" i="41"/>
  <c r="AB190" i="41"/>
  <c r="X191" i="41"/>
  <c r="Y191" i="41"/>
  <c r="AA191" i="41"/>
  <c r="AB191" i="41"/>
  <c r="X192" i="41"/>
  <c r="Y192" i="41"/>
  <c r="AA192" i="41"/>
  <c r="AB192" i="41"/>
  <c r="X193" i="41"/>
  <c r="Y193" i="41"/>
  <c r="AA193" i="41"/>
  <c r="AB193" i="41"/>
  <c r="X194" i="41"/>
  <c r="Y194" i="41"/>
  <c r="AA194" i="41"/>
  <c r="AB194" i="41"/>
  <c r="X195" i="41"/>
  <c r="Y195" i="41"/>
  <c r="AA195" i="41"/>
  <c r="AB195" i="41"/>
  <c r="X196" i="41"/>
  <c r="Y196" i="41"/>
  <c r="AA196" i="41"/>
  <c r="AB196" i="41"/>
  <c r="X197" i="41"/>
  <c r="Y197" i="41"/>
  <c r="AA197" i="41"/>
  <c r="AB197" i="41"/>
  <c r="X198" i="41"/>
  <c r="Y198" i="41"/>
  <c r="AA198" i="41"/>
  <c r="AB198" i="41"/>
  <c r="X199" i="41"/>
  <c r="Y199" i="41"/>
  <c r="AA199" i="41"/>
  <c r="AB199" i="41"/>
  <c r="X200" i="41"/>
  <c r="Y200" i="41"/>
  <c r="AA200" i="41"/>
  <c r="AB200" i="41"/>
  <c r="X9" i="41"/>
  <c r="Y9" i="41"/>
  <c r="AA9" i="41"/>
  <c r="AB9" i="41"/>
  <c r="X10" i="41"/>
  <c r="Y10" i="41"/>
  <c r="AA10" i="41"/>
  <c r="AB10" i="41"/>
  <c r="X11" i="41"/>
  <c r="Y11" i="41"/>
  <c r="AA11" i="41"/>
  <c r="AB11" i="41"/>
  <c r="X12" i="41"/>
  <c r="Y12" i="41"/>
  <c r="AA12" i="41"/>
  <c r="AB12" i="41"/>
  <c r="X13" i="41"/>
  <c r="Y13" i="41"/>
  <c r="AA13" i="41"/>
  <c r="AB13" i="41"/>
  <c r="X14" i="41"/>
  <c r="Y14" i="41"/>
  <c r="AA14" i="41"/>
  <c r="AB14" i="41"/>
  <c r="X15" i="41"/>
  <c r="Y15" i="41"/>
  <c r="AA15" i="41"/>
  <c r="AB15" i="41"/>
  <c r="X16" i="41"/>
  <c r="Y16" i="41"/>
  <c r="AA16" i="41"/>
  <c r="AB16" i="41"/>
  <c r="X17" i="41"/>
  <c r="Y17" i="41"/>
  <c r="AA17" i="41"/>
  <c r="AB17" i="41"/>
  <c r="X18" i="41"/>
  <c r="Y18" i="41"/>
  <c r="AA18" i="41"/>
  <c r="AB18" i="41"/>
  <c r="X19" i="41"/>
  <c r="Y19" i="41"/>
  <c r="AA19" i="41"/>
  <c r="AB19" i="41"/>
  <c r="X20" i="41"/>
  <c r="Y20" i="41"/>
  <c r="AA20" i="41"/>
  <c r="AB20" i="41"/>
  <c r="X21" i="41"/>
  <c r="Y21" i="41"/>
  <c r="AA21" i="41"/>
  <c r="AB21" i="41"/>
  <c r="AF10" i="41"/>
  <c r="AF12" i="41"/>
  <c r="AK31" i="41"/>
  <c r="AP31" i="41"/>
  <c r="AF31" i="41"/>
  <c r="AK30" i="41"/>
  <c r="AF30" i="41"/>
  <c r="AK29" i="41"/>
  <c r="AF29" i="41"/>
  <c r="AK28" i="41"/>
  <c r="AP28" i="41"/>
  <c r="AF28" i="41"/>
  <c r="AK27" i="41"/>
  <c r="AF27" i="41"/>
  <c r="AN28" i="41"/>
  <c r="X67" i="11"/>
  <c r="T67" i="11"/>
  <c r="N67" i="11"/>
  <c r="V67" i="11"/>
  <c r="M67" i="11"/>
  <c r="C67" i="11"/>
  <c r="X66" i="11"/>
  <c r="T66" i="11"/>
  <c r="N66" i="11"/>
  <c r="V66" i="11"/>
  <c r="M66" i="11"/>
  <c r="C66" i="11"/>
  <c r="X65" i="11"/>
  <c r="T65" i="11"/>
  <c r="N65" i="11"/>
  <c r="V65" i="11"/>
  <c r="M65" i="11"/>
  <c r="C65" i="11"/>
  <c r="X68" i="11"/>
  <c r="T68" i="11"/>
  <c r="N68" i="11"/>
  <c r="V68" i="11"/>
  <c r="M68" i="11"/>
  <c r="C68" i="11"/>
  <c r="X69" i="11"/>
  <c r="T69" i="11"/>
  <c r="N69" i="11"/>
  <c r="V69" i="11"/>
  <c r="M69" i="11"/>
  <c r="C69" i="11"/>
  <c r="R67" i="11"/>
  <c r="R66" i="11"/>
  <c r="R65" i="11"/>
  <c r="R68" i="11"/>
  <c r="R69" i="11"/>
  <c r="X203" i="11"/>
  <c r="V203" i="11"/>
  <c r="T203" i="11"/>
  <c r="N203" i="11"/>
  <c r="M203" i="11"/>
  <c r="C203" i="11"/>
  <c r="X64" i="11"/>
  <c r="T64" i="11"/>
  <c r="N64" i="11"/>
  <c r="V64" i="11"/>
  <c r="M64" i="11"/>
  <c r="C64" i="11"/>
  <c r="X81" i="11"/>
  <c r="T81" i="11"/>
  <c r="N81" i="11"/>
  <c r="V81" i="11"/>
  <c r="C81" i="11"/>
  <c r="R64" i="11"/>
  <c r="R81" i="11"/>
  <c r="R203" i="11"/>
  <c r="K12" i="7"/>
  <c r="K15" i="7"/>
  <c r="K17" i="7"/>
  <c r="K20" i="7"/>
  <c r="K21" i="7"/>
  <c r="K26" i="7"/>
  <c r="K28" i="7"/>
  <c r="K29" i="7"/>
  <c r="K31" i="7"/>
  <c r="K32" i="7"/>
  <c r="K34" i="7"/>
  <c r="K36" i="7"/>
  <c r="K40" i="7"/>
  <c r="K41" i="7"/>
  <c r="K42" i="7"/>
  <c r="K43" i="7"/>
  <c r="K44" i="7"/>
  <c r="K47" i="7"/>
  <c r="K48" i="7"/>
  <c r="K51" i="7"/>
  <c r="K53" i="7"/>
  <c r="K54" i="7"/>
  <c r="K56" i="7"/>
  <c r="K57" i="7"/>
  <c r="K59" i="7"/>
  <c r="K60" i="7"/>
  <c r="K63" i="7"/>
  <c r="K64" i="7"/>
  <c r="K65" i="7"/>
  <c r="K67" i="7"/>
  <c r="K70" i="7"/>
  <c r="K72" i="7"/>
  <c r="K74" i="7"/>
  <c r="K75" i="7"/>
  <c r="K76" i="7"/>
  <c r="K81" i="7"/>
  <c r="K83" i="7"/>
  <c r="K84" i="7"/>
  <c r="K85" i="7"/>
  <c r="K87" i="7"/>
  <c r="K89" i="7"/>
  <c r="K91" i="7"/>
  <c r="K92" i="7"/>
  <c r="K96" i="7"/>
  <c r="K97" i="7"/>
  <c r="K98" i="7"/>
  <c r="K101" i="7"/>
  <c r="K105" i="7"/>
  <c r="K106" i="7"/>
  <c r="K108" i="7"/>
  <c r="K111" i="7"/>
  <c r="K112" i="7"/>
  <c r="K113" i="7"/>
  <c r="K115" i="7"/>
  <c r="K116" i="7"/>
  <c r="K118" i="7"/>
  <c r="K120" i="7"/>
  <c r="K124" i="7"/>
  <c r="K127" i="7"/>
  <c r="K128" i="7"/>
  <c r="K129" i="7"/>
  <c r="K130" i="7"/>
  <c r="K132" i="7"/>
  <c r="K134" i="7"/>
  <c r="K136" i="7"/>
  <c r="K137" i="7"/>
  <c r="K140" i="7"/>
  <c r="K142" i="7"/>
  <c r="K144" i="7"/>
  <c r="K147" i="7"/>
  <c r="K149" i="7"/>
  <c r="K151" i="7"/>
  <c r="K153" i="7"/>
  <c r="K154" i="7"/>
  <c r="K156" i="7"/>
  <c r="K158" i="7"/>
  <c r="K160" i="7"/>
  <c r="K161" i="7"/>
  <c r="K164" i="7"/>
  <c r="K166" i="7"/>
  <c r="K168" i="7"/>
  <c r="K170" i="7"/>
  <c r="K171" i="7"/>
  <c r="K173" i="7"/>
  <c r="K174" i="7"/>
  <c r="K175" i="7"/>
  <c r="K177" i="7"/>
  <c r="K181" i="7"/>
  <c r="K182" i="7"/>
  <c r="K185" i="7"/>
  <c r="K187" i="7"/>
  <c r="K188" i="7"/>
  <c r="K190" i="7"/>
  <c r="K192" i="7"/>
  <c r="K194" i="7"/>
  <c r="K195" i="7"/>
  <c r="K197" i="7"/>
  <c r="K198" i="7"/>
  <c r="K199" i="7"/>
  <c r="K200" i="7"/>
  <c r="K204" i="7"/>
  <c r="K205" i="7"/>
  <c r="K209" i="7"/>
  <c r="K211" i="7"/>
  <c r="K213" i="7"/>
  <c r="K214" i="7"/>
  <c r="K218" i="7"/>
  <c r="K224" i="7"/>
  <c r="K225" i="7"/>
  <c r="K227" i="7"/>
  <c r="K229" i="7"/>
  <c r="K230" i="7"/>
  <c r="K231" i="7"/>
  <c r="K232" i="7"/>
  <c r="K233" i="7"/>
  <c r="K236" i="7"/>
  <c r="K237" i="7"/>
  <c r="K240" i="7"/>
  <c r="K242" i="7"/>
  <c r="K246" i="7"/>
  <c r="K248" i="7"/>
  <c r="K250" i="7"/>
  <c r="K252" i="7"/>
  <c r="K253" i="7"/>
  <c r="K254" i="7"/>
  <c r="K256" i="7"/>
  <c r="K257" i="7"/>
  <c r="K266" i="7"/>
  <c r="K269" i="7"/>
  <c r="K270" i="7"/>
  <c r="K272" i="7"/>
  <c r="K274" i="7"/>
  <c r="K277" i="7"/>
  <c r="K278" i="7"/>
  <c r="K279" i="7"/>
  <c r="K281" i="7"/>
  <c r="K282" i="7"/>
  <c r="K283" i="7"/>
  <c r="K289" i="7"/>
  <c r="K291" i="7"/>
  <c r="K293" i="7"/>
  <c r="K295" i="7"/>
  <c r="K298" i="7"/>
  <c r="K300" i="7"/>
  <c r="K304" i="7"/>
  <c r="K307" i="7"/>
  <c r="K310" i="7"/>
  <c r="K312" i="7"/>
  <c r="K313" i="7"/>
  <c r="K314" i="7"/>
  <c r="K315" i="7"/>
  <c r="K318" i="7"/>
  <c r="K319" i="7"/>
  <c r="K320" i="7"/>
  <c r="K321" i="7"/>
  <c r="K323" i="7"/>
  <c r="K324" i="7"/>
  <c r="K327" i="7"/>
  <c r="K328" i="7"/>
  <c r="K329" i="7"/>
  <c r="K332" i="7"/>
  <c r="K333" i="7"/>
  <c r="K334" i="7"/>
  <c r="K336" i="7"/>
  <c r="K337" i="7"/>
  <c r="K339" i="7"/>
  <c r="K340" i="7"/>
  <c r="K342" i="7"/>
  <c r="K345" i="7"/>
  <c r="K347" i="7"/>
  <c r="K349" i="7"/>
  <c r="K350" i="7"/>
  <c r="K352" i="7"/>
  <c r="AA8" i="41"/>
  <c r="Y8" i="41"/>
  <c r="X8" i="41"/>
  <c r="AB8" i="41"/>
  <c r="AK46" i="41"/>
  <c r="AR46" i="41"/>
  <c r="AM46" i="41"/>
  <c r="AL46" i="41"/>
  <c r="AF46" i="41"/>
  <c r="AK45" i="41"/>
  <c r="AR45" i="41"/>
  <c r="AM45" i="41"/>
  <c r="AL45" i="41"/>
  <c r="AF45" i="41"/>
  <c r="AK44" i="41"/>
  <c r="AP44" i="41"/>
  <c r="AM44" i="41"/>
  <c r="AL44" i="41"/>
  <c r="AF44" i="41"/>
  <c r="AK43" i="41"/>
  <c r="AR43" i="41"/>
  <c r="AM43" i="41"/>
  <c r="AL43" i="41"/>
  <c r="AF43" i="41"/>
  <c r="AK42" i="41"/>
  <c r="AR42" i="41"/>
  <c r="AL42" i="41"/>
  <c r="AF42" i="41"/>
  <c r="AK41" i="41"/>
  <c r="AR41" i="41"/>
  <c r="AL41" i="41"/>
  <c r="AF41" i="41"/>
  <c r="AK40" i="41"/>
  <c r="AP40" i="41"/>
  <c r="AF40" i="41"/>
  <c r="AK39" i="41"/>
  <c r="AN39" i="41"/>
  <c r="AF39" i="41"/>
  <c r="AK38" i="41"/>
  <c r="AR38" i="41"/>
  <c r="AL38" i="41"/>
  <c r="AF38" i="41"/>
  <c r="AK37" i="41"/>
  <c r="AF37" i="41"/>
  <c r="AK36" i="41"/>
  <c r="AP36" i="41"/>
  <c r="AF36" i="41"/>
  <c r="AK32" i="41"/>
  <c r="AN32" i="41"/>
  <c r="AF32" i="41"/>
  <c r="AK35" i="41"/>
  <c r="AN35" i="41"/>
  <c r="AL35" i="41"/>
  <c r="AF35" i="41"/>
  <c r="AK22" i="41"/>
  <c r="AR22" i="41"/>
  <c r="A214" i="46"/>
  <c r="B214" i="46"/>
  <c r="C214" i="46"/>
  <c r="A183" i="46"/>
  <c r="B183" i="46"/>
  <c r="C183" i="46"/>
  <c r="A184" i="46"/>
  <c r="B184" i="46"/>
  <c r="C184" i="46"/>
  <c r="A185" i="46"/>
  <c r="B185" i="46"/>
  <c r="C185" i="46"/>
  <c r="A186" i="46"/>
  <c r="B186" i="46"/>
  <c r="C186" i="46"/>
  <c r="A187" i="46"/>
  <c r="B187" i="46"/>
  <c r="C187" i="46"/>
  <c r="A188" i="46"/>
  <c r="B188" i="46"/>
  <c r="C188" i="46"/>
  <c r="A189" i="46"/>
  <c r="B189" i="46"/>
  <c r="C189" i="46"/>
  <c r="A190" i="46"/>
  <c r="B190" i="46"/>
  <c r="C190" i="46"/>
  <c r="A191" i="46"/>
  <c r="B191" i="46"/>
  <c r="C191" i="46"/>
  <c r="A192" i="46"/>
  <c r="B192" i="46"/>
  <c r="C192" i="46"/>
  <c r="A193" i="46"/>
  <c r="B193" i="46"/>
  <c r="C193" i="46"/>
  <c r="A194" i="46"/>
  <c r="B194" i="46"/>
  <c r="C194" i="46"/>
  <c r="A195" i="46"/>
  <c r="B195" i="46"/>
  <c r="C195" i="46"/>
  <c r="A196" i="46"/>
  <c r="B196" i="46"/>
  <c r="C196" i="46"/>
  <c r="A197" i="46"/>
  <c r="B197" i="46"/>
  <c r="C197" i="46"/>
  <c r="A198" i="46"/>
  <c r="B198" i="46"/>
  <c r="C198" i="46"/>
  <c r="A199" i="46"/>
  <c r="B199" i="46"/>
  <c r="C199" i="46"/>
  <c r="A200" i="46"/>
  <c r="B200" i="46"/>
  <c r="C200" i="46"/>
  <c r="A201" i="46"/>
  <c r="B201" i="46"/>
  <c r="C201" i="46"/>
  <c r="A202" i="46"/>
  <c r="B202" i="46"/>
  <c r="C202" i="46"/>
  <c r="A203" i="46"/>
  <c r="B203" i="46"/>
  <c r="C203" i="46"/>
  <c r="A204" i="46"/>
  <c r="B204" i="46"/>
  <c r="C204" i="46"/>
  <c r="A205" i="46"/>
  <c r="B205" i="46"/>
  <c r="C205" i="46"/>
  <c r="A206" i="46"/>
  <c r="B206" i="46"/>
  <c r="C206" i="46"/>
  <c r="A207" i="46"/>
  <c r="B207" i="46"/>
  <c r="C207" i="46"/>
  <c r="A208" i="46"/>
  <c r="B208" i="46"/>
  <c r="C208" i="46"/>
  <c r="A209" i="46"/>
  <c r="B209" i="46"/>
  <c r="C209" i="46"/>
  <c r="A210" i="46"/>
  <c r="B210" i="46"/>
  <c r="C210" i="46"/>
  <c r="A211" i="46"/>
  <c r="B211" i="46"/>
  <c r="C211" i="46"/>
  <c r="A212" i="46"/>
  <c r="B212" i="46"/>
  <c r="C212" i="46"/>
  <c r="A213" i="46"/>
  <c r="B213" i="46"/>
  <c r="C213" i="46"/>
  <c r="A3" i="46"/>
  <c r="B3" i="46"/>
  <c r="C3" i="46"/>
  <c r="A4" i="46"/>
  <c r="B4" i="46"/>
  <c r="C4" i="46"/>
  <c r="A5" i="46"/>
  <c r="B5" i="46"/>
  <c r="C5" i="46"/>
  <c r="A6" i="46"/>
  <c r="B6" i="46"/>
  <c r="C6" i="46"/>
  <c r="A7" i="46"/>
  <c r="B7" i="46"/>
  <c r="C7" i="46"/>
  <c r="A8" i="46"/>
  <c r="B8" i="46"/>
  <c r="C8" i="46"/>
  <c r="A9" i="46"/>
  <c r="B9" i="46"/>
  <c r="C9" i="46"/>
  <c r="A10" i="46"/>
  <c r="B10" i="46"/>
  <c r="C10" i="46"/>
  <c r="A11" i="46"/>
  <c r="B11" i="46"/>
  <c r="C11" i="46"/>
  <c r="A12" i="46"/>
  <c r="B12" i="46"/>
  <c r="C12" i="46"/>
  <c r="A13" i="46"/>
  <c r="B13" i="46"/>
  <c r="C13" i="46"/>
  <c r="A14" i="46"/>
  <c r="B14" i="46"/>
  <c r="C14" i="46"/>
  <c r="A15" i="46"/>
  <c r="B15" i="46"/>
  <c r="C15" i="46"/>
  <c r="A16" i="46"/>
  <c r="B16" i="46"/>
  <c r="C16" i="46"/>
  <c r="A17" i="46"/>
  <c r="B17" i="46"/>
  <c r="C17" i="46"/>
  <c r="A18" i="46"/>
  <c r="B18" i="46"/>
  <c r="C18" i="46"/>
  <c r="A19" i="46"/>
  <c r="B19" i="46"/>
  <c r="C19" i="46"/>
  <c r="A20" i="46"/>
  <c r="B20" i="46"/>
  <c r="C20" i="46"/>
  <c r="A21" i="46"/>
  <c r="B21" i="46"/>
  <c r="C21" i="46"/>
  <c r="A22" i="46"/>
  <c r="B22" i="46"/>
  <c r="C22" i="46"/>
  <c r="A23" i="46"/>
  <c r="B23" i="46"/>
  <c r="C23" i="46"/>
  <c r="A24" i="46"/>
  <c r="B24" i="46"/>
  <c r="C24" i="46"/>
  <c r="A25" i="46"/>
  <c r="B25" i="46"/>
  <c r="C25" i="46"/>
  <c r="A26" i="46"/>
  <c r="B26" i="46"/>
  <c r="C26" i="46"/>
  <c r="A27" i="46"/>
  <c r="B27" i="46"/>
  <c r="C27" i="46"/>
  <c r="A28" i="46"/>
  <c r="B28" i="46"/>
  <c r="C28" i="46"/>
  <c r="A29" i="46"/>
  <c r="B29" i="46"/>
  <c r="C29" i="46"/>
  <c r="A30" i="46"/>
  <c r="B30" i="46"/>
  <c r="C30" i="46"/>
  <c r="A31" i="46"/>
  <c r="B31" i="46"/>
  <c r="C31" i="46"/>
  <c r="A32" i="46"/>
  <c r="B32" i="46"/>
  <c r="C32" i="46"/>
  <c r="A33" i="46"/>
  <c r="B33" i="46"/>
  <c r="C33" i="46"/>
  <c r="A34" i="46"/>
  <c r="B34" i="46"/>
  <c r="C34" i="46"/>
  <c r="A35" i="46"/>
  <c r="B35" i="46"/>
  <c r="C35" i="46"/>
  <c r="A36" i="46"/>
  <c r="B36" i="46"/>
  <c r="C36" i="46"/>
  <c r="A37" i="46"/>
  <c r="B37" i="46"/>
  <c r="C37" i="46"/>
  <c r="A38" i="46"/>
  <c r="B38" i="46"/>
  <c r="C38" i="46"/>
  <c r="A39" i="46"/>
  <c r="B39" i="46"/>
  <c r="C39" i="46"/>
  <c r="A40" i="46"/>
  <c r="B40" i="46"/>
  <c r="C40" i="46"/>
  <c r="A41" i="46"/>
  <c r="B41" i="46"/>
  <c r="C41" i="46"/>
  <c r="A42" i="46"/>
  <c r="B42" i="46"/>
  <c r="C42" i="46"/>
  <c r="A43" i="46"/>
  <c r="B43" i="46"/>
  <c r="C43" i="46"/>
  <c r="A44" i="46"/>
  <c r="B44" i="46"/>
  <c r="C44" i="46"/>
  <c r="A45" i="46"/>
  <c r="B45" i="46"/>
  <c r="C45" i="46"/>
  <c r="A46" i="46"/>
  <c r="B46" i="46"/>
  <c r="C46" i="46"/>
  <c r="A47" i="46"/>
  <c r="B47" i="46"/>
  <c r="C47" i="46"/>
  <c r="A48" i="46"/>
  <c r="B48" i="46"/>
  <c r="C48" i="46"/>
  <c r="A49" i="46"/>
  <c r="B49" i="46"/>
  <c r="C49" i="46"/>
  <c r="A50" i="46"/>
  <c r="B50" i="46"/>
  <c r="C50" i="46"/>
  <c r="A51" i="46"/>
  <c r="B51" i="46"/>
  <c r="C51" i="46"/>
  <c r="A52" i="46"/>
  <c r="B52" i="46"/>
  <c r="C52" i="46"/>
  <c r="A53" i="46"/>
  <c r="B53" i="46"/>
  <c r="C53" i="46"/>
  <c r="A54" i="46"/>
  <c r="B54" i="46"/>
  <c r="C54" i="46"/>
  <c r="A55" i="46"/>
  <c r="B55" i="46"/>
  <c r="C55" i="46"/>
  <c r="A56" i="46"/>
  <c r="B56" i="46"/>
  <c r="C56" i="46"/>
  <c r="A57" i="46"/>
  <c r="B57" i="46"/>
  <c r="C57" i="46"/>
  <c r="A58" i="46"/>
  <c r="B58" i="46"/>
  <c r="C58" i="46"/>
  <c r="A59" i="46"/>
  <c r="B59" i="46"/>
  <c r="C59" i="46"/>
  <c r="A60" i="46"/>
  <c r="B60" i="46"/>
  <c r="C60" i="46"/>
  <c r="A61" i="46"/>
  <c r="B61" i="46"/>
  <c r="C61" i="46"/>
  <c r="A62" i="46"/>
  <c r="B62" i="46"/>
  <c r="C62" i="46"/>
  <c r="A63" i="46"/>
  <c r="B63" i="46"/>
  <c r="C63" i="46"/>
  <c r="A64" i="46"/>
  <c r="B64" i="46"/>
  <c r="C64" i="46"/>
  <c r="A65" i="46"/>
  <c r="B65" i="46"/>
  <c r="C65" i="46"/>
  <c r="A66" i="46"/>
  <c r="B66" i="46"/>
  <c r="C66" i="46"/>
  <c r="A67" i="46"/>
  <c r="B67" i="46"/>
  <c r="C67" i="46"/>
  <c r="A68" i="46"/>
  <c r="B68" i="46"/>
  <c r="C68" i="46"/>
  <c r="A69" i="46"/>
  <c r="B69" i="46"/>
  <c r="C69" i="46"/>
  <c r="A70" i="46"/>
  <c r="B70" i="46"/>
  <c r="C70" i="46"/>
  <c r="A71" i="46"/>
  <c r="B71" i="46"/>
  <c r="C71" i="46"/>
  <c r="A72" i="46"/>
  <c r="B72" i="46"/>
  <c r="C72" i="46"/>
  <c r="A73" i="46"/>
  <c r="B73" i="46"/>
  <c r="C73" i="46"/>
  <c r="A74" i="46"/>
  <c r="B74" i="46"/>
  <c r="C74" i="46"/>
  <c r="A75" i="46"/>
  <c r="B75" i="46"/>
  <c r="C75" i="46"/>
  <c r="A76" i="46"/>
  <c r="B76" i="46"/>
  <c r="C76" i="46"/>
  <c r="A77" i="46"/>
  <c r="B77" i="46"/>
  <c r="C77" i="46"/>
  <c r="A78" i="46"/>
  <c r="B78" i="46"/>
  <c r="C78" i="46"/>
  <c r="A79" i="46"/>
  <c r="B79" i="46"/>
  <c r="C79" i="46"/>
  <c r="A80" i="46"/>
  <c r="B80" i="46"/>
  <c r="C80" i="46"/>
  <c r="A81" i="46"/>
  <c r="B81" i="46"/>
  <c r="C81" i="46"/>
  <c r="A82" i="46"/>
  <c r="B82" i="46"/>
  <c r="C82" i="46"/>
  <c r="A83" i="46"/>
  <c r="B83" i="46"/>
  <c r="C83" i="46"/>
  <c r="A84" i="46"/>
  <c r="B84" i="46"/>
  <c r="C84" i="46"/>
  <c r="A85" i="46"/>
  <c r="B85" i="46"/>
  <c r="C85" i="46"/>
  <c r="A86" i="46"/>
  <c r="B86" i="46"/>
  <c r="C86" i="46"/>
  <c r="A87" i="46"/>
  <c r="B87" i="46"/>
  <c r="C87" i="46"/>
  <c r="A88" i="46"/>
  <c r="B88" i="46"/>
  <c r="C88" i="46"/>
  <c r="A89" i="46"/>
  <c r="B89" i="46"/>
  <c r="C89" i="46"/>
  <c r="A90" i="46"/>
  <c r="B90" i="46"/>
  <c r="C90" i="46"/>
  <c r="A91" i="46"/>
  <c r="B91" i="46"/>
  <c r="C91" i="46"/>
  <c r="A92" i="46"/>
  <c r="B92" i="46"/>
  <c r="C92" i="46"/>
  <c r="A93" i="46"/>
  <c r="B93" i="46"/>
  <c r="C93" i="46"/>
  <c r="A94" i="46"/>
  <c r="B94" i="46"/>
  <c r="C94" i="46"/>
  <c r="A95" i="46"/>
  <c r="B95" i="46"/>
  <c r="C95" i="46"/>
  <c r="A96" i="46"/>
  <c r="B96" i="46"/>
  <c r="C96" i="46"/>
  <c r="A97" i="46"/>
  <c r="B97" i="46"/>
  <c r="C97" i="46"/>
  <c r="A98" i="46"/>
  <c r="B98" i="46"/>
  <c r="C98" i="46"/>
  <c r="A99" i="46"/>
  <c r="B99" i="46"/>
  <c r="C99" i="46"/>
  <c r="A100" i="46"/>
  <c r="B100" i="46"/>
  <c r="C100" i="46"/>
  <c r="A101" i="46"/>
  <c r="B101" i="46"/>
  <c r="C101" i="46"/>
  <c r="A102" i="46"/>
  <c r="B102" i="46"/>
  <c r="C102" i="46"/>
  <c r="A103" i="46"/>
  <c r="B103" i="46"/>
  <c r="C103" i="46"/>
  <c r="A104" i="46"/>
  <c r="B104" i="46"/>
  <c r="C104" i="46"/>
  <c r="A105" i="46"/>
  <c r="B105" i="46"/>
  <c r="C105" i="46"/>
  <c r="A106" i="46"/>
  <c r="B106" i="46"/>
  <c r="C106" i="46"/>
  <c r="A107" i="46"/>
  <c r="B107" i="46"/>
  <c r="C107" i="46"/>
  <c r="A108" i="46"/>
  <c r="B108" i="46"/>
  <c r="C108" i="46"/>
  <c r="A109" i="46"/>
  <c r="B109" i="46"/>
  <c r="C109" i="46"/>
  <c r="A110" i="46"/>
  <c r="B110" i="46"/>
  <c r="C110" i="46"/>
  <c r="A111" i="46"/>
  <c r="B111" i="46"/>
  <c r="C111" i="46"/>
  <c r="A112" i="46"/>
  <c r="B112" i="46"/>
  <c r="C112" i="46"/>
  <c r="A113" i="46"/>
  <c r="B113" i="46"/>
  <c r="C113" i="46"/>
  <c r="A114" i="46"/>
  <c r="B114" i="46"/>
  <c r="C114" i="46"/>
  <c r="A115" i="46"/>
  <c r="B115" i="46"/>
  <c r="C115" i="46"/>
  <c r="A116" i="46"/>
  <c r="B116" i="46"/>
  <c r="C116" i="46"/>
  <c r="A117" i="46"/>
  <c r="B117" i="46"/>
  <c r="C117" i="46"/>
  <c r="A118" i="46"/>
  <c r="B118" i="46"/>
  <c r="C118" i="46"/>
  <c r="A119" i="46"/>
  <c r="B119" i="46"/>
  <c r="C119" i="46"/>
  <c r="A120" i="46"/>
  <c r="B120" i="46"/>
  <c r="C120" i="46"/>
  <c r="A121" i="46"/>
  <c r="B121" i="46"/>
  <c r="C121" i="46"/>
  <c r="A122" i="46"/>
  <c r="B122" i="46"/>
  <c r="C122" i="46"/>
  <c r="A123" i="46"/>
  <c r="B123" i="46"/>
  <c r="C123" i="46"/>
  <c r="A124" i="46"/>
  <c r="B124" i="46"/>
  <c r="C124" i="46"/>
  <c r="A125" i="46"/>
  <c r="B125" i="46"/>
  <c r="C125" i="46"/>
  <c r="A126" i="46"/>
  <c r="B126" i="46"/>
  <c r="C126" i="46"/>
  <c r="A127" i="46"/>
  <c r="B127" i="46"/>
  <c r="C127" i="46"/>
  <c r="A128" i="46"/>
  <c r="B128" i="46"/>
  <c r="C128" i="46"/>
  <c r="A129" i="46"/>
  <c r="B129" i="46"/>
  <c r="C129" i="46"/>
  <c r="A130" i="46"/>
  <c r="B130" i="46"/>
  <c r="C130" i="46"/>
  <c r="A131" i="46"/>
  <c r="B131" i="46"/>
  <c r="C131" i="46"/>
  <c r="A132" i="46"/>
  <c r="B132" i="46"/>
  <c r="C132" i="46"/>
  <c r="A133" i="46"/>
  <c r="B133" i="46"/>
  <c r="C133" i="46"/>
  <c r="A134" i="46"/>
  <c r="B134" i="46"/>
  <c r="C134" i="46"/>
  <c r="A135" i="46"/>
  <c r="B135" i="46"/>
  <c r="C135" i="46"/>
  <c r="A136" i="46"/>
  <c r="B136" i="46"/>
  <c r="C136" i="46"/>
  <c r="A137" i="46"/>
  <c r="B137" i="46"/>
  <c r="C137" i="46"/>
  <c r="A138" i="46"/>
  <c r="B138" i="46"/>
  <c r="C138" i="46"/>
  <c r="A139" i="46"/>
  <c r="B139" i="46"/>
  <c r="C139" i="46"/>
  <c r="A140" i="46"/>
  <c r="B140" i="46"/>
  <c r="C140" i="46"/>
  <c r="A141" i="46"/>
  <c r="B141" i="46"/>
  <c r="C141" i="46"/>
  <c r="A142" i="46"/>
  <c r="B142" i="46"/>
  <c r="C142" i="46"/>
  <c r="A143" i="46"/>
  <c r="B143" i="46"/>
  <c r="C143" i="46"/>
  <c r="A144" i="46"/>
  <c r="B144" i="46"/>
  <c r="C144" i="46"/>
  <c r="A145" i="46"/>
  <c r="B145" i="46"/>
  <c r="C145" i="46"/>
  <c r="A146" i="46"/>
  <c r="B146" i="46"/>
  <c r="C146" i="46"/>
  <c r="A147" i="46"/>
  <c r="B147" i="46"/>
  <c r="C147" i="46"/>
  <c r="A148" i="46"/>
  <c r="B148" i="46"/>
  <c r="C148" i="46"/>
  <c r="A149" i="46"/>
  <c r="B149" i="46"/>
  <c r="C149" i="46"/>
  <c r="A150" i="46"/>
  <c r="B150" i="46"/>
  <c r="C150" i="46"/>
  <c r="A151" i="46"/>
  <c r="B151" i="46"/>
  <c r="C151" i="46"/>
  <c r="A152" i="46"/>
  <c r="B152" i="46"/>
  <c r="C152" i="46"/>
  <c r="A153" i="46"/>
  <c r="B153" i="46"/>
  <c r="C153" i="46"/>
  <c r="A154" i="46"/>
  <c r="B154" i="46"/>
  <c r="C154" i="46"/>
  <c r="A155" i="46"/>
  <c r="B155" i="46"/>
  <c r="C155" i="46"/>
  <c r="A156" i="46"/>
  <c r="B156" i="46"/>
  <c r="C156" i="46"/>
  <c r="A157" i="46"/>
  <c r="B157" i="46"/>
  <c r="C157" i="46"/>
  <c r="A158" i="46"/>
  <c r="B158" i="46"/>
  <c r="C158" i="46"/>
  <c r="A159" i="46"/>
  <c r="B159" i="46"/>
  <c r="C159" i="46"/>
  <c r="A160" i="46"/>
  <c r="B160" i="46"/>
  <c r="C160" i="46"/>
  <c r="A161" i="46"/>
  <c r="B161" i="46"/>
  <c r="C161" i="46"/>
  <c r="A162" i="46"/>
  <c r="B162" i="46"/>
  <c r="C162" i="46"/>
  <c r="A163" i="46"/>
  <c r="B163" i="46"/>
  <c r="C163" i="46"/>
  <c r="A164" i="46"/>
  <c r="B164" i="46"/>
  <c r="C164" i="46"/>
  <c r="A165" i="46"/>
  <c r="B165" i="46"/>
  <c r="C165" i="46"/>
  <c r="A166" i="46"/>
  <c r="B166" i="46"/>
  <c r="C166" i="46"/>
  <c r="A167" i="46"/>
  <c r="B167" i="46"/>
  <c r="C167" i="46"/>
  <c r="A168" i="46"/>
  <c r="B168" i="46"/>
  <c r="C168" i="46"/>
  <c r="A169" i="46"/>
  <c r="B169" i="46"/>
  <c r="C169" i="46"/>
  <c r="A170" i="46"/>
  <c r="B170" i="46"/>
  <c r="C170" i="46"/>
  <c r="A171" i="46"/>
  <c r="B171" i="46"/>
  <c r="C171" i="46"/>
  <c r="A172" i="46"/>
  <c r="B172" i="46"/>
  <c r="C172" i="46"/>
  <c r="A173" i="46"/>
  <c r="B173" i="46"/>
  <c r="C173" i="46"/>
  <c r="A174" i="46"/>
  <c r="B174" i="46"/>
  <c r="C174" i="46"/>
  <c r="A175" i="46"/>
  <c r="B175" i="46"/>
  <c r="C175" i="46"/>
  <c r="A176" i="46"/>
  <c r="B176" i="46"/>
  <c r="C176" i="46"/>
  <c r="A177" i="46"/>
  <c r="B177" i="46"/>
  <c r="C177" i="46"/>
  <c r="A178" i="46"/>
  <c r="B178" i="46"/>
  <c r="C178" i="46"/>
  <c r="A179" i="46"/>
  <c r="B179" i="46"/>
  <c r="C179" i="46"/>
  <c r="A180" i="46"/>
  <c r="B180" i="46"/>
  <c r="C180" i="46"/>
  <c r="A181" i="46"/>
  <c r="B181" i="46"/>
  <c r="C181" i="46"/>
  <c r="A182" i="46"/>
  <c r="B182" i="46"/>
  <c r="C182" i="46"/>
  <c r="K353" i="7"/>
  <c r="K335" i="7"/>
  <c r="K354" i="7"/>
  <c r="K351" i="7"/>
  <c r="K346" i="7"/>
  <c r="K341" i="7"/>
  <c r="K338" i="7"/>
  <c r="K331" i="7"/>
  <c r="K326" i="7"/>
  <c r="K325" i="7"/>
  <c r="K317" i="7"/>
  <c r="K316" i="7"/>
  <c r="K311" i="7"/>
  <c r="K308" i="7"/>
  <c r="K306" i="7"/>
  <c r="K305" i="7"/>
  <c r="K302" i="7"/>
  <c r="K301" i="7"/>
  <c r="K299" i="7"/>
  <c r="K296" i="7"/>
  <c r="K294" i="7"/>
  <c r="K290" i="7"/>
  <c r="K288" i="7"/>
  <c r="K287" i="7"/>
  <c r="K286" i="7"/>
  <c r="K285" i="7"/>
  <c r="K284" i="7"/>
  <c r="K280" i="7"/>
  <c r="K276" i="7"/>
  <c r="K275" i="7"/>
  <c r="K273" i="7"/>
  <c r="K271" i="7"/>
  <c r="K268" i="7"/>
  <c r="K265" i="7"/>
  <c r="K262" i="7"/>
  <c r="K261" i="7"/>
  <c r="K260" i="7"/>
  <c r="K259" i="7"/>
  <c r="K258" i="7"/>
  <c r="K255" i="7"/>
  <c r="K251" i="7"/>
  <c r="K249" i="7"/>
  <c r="K247" i="7"/>
  <c r="K245" i="7"/>
  <c r="K244" i="7"/>
  <c r="K243" i="7"/>
  <c r="K241" i="7"/>
  <c r="X168" i="11"/>
  <c r="N168" i="11"/>
  <c r="V168" i="11"/>
  <c r="T168" i="11"/>
  <c r="M168" i="11"/>
  <c r="C168" i="11"/>
  <c r="X121" i="11"/>
  <c r="N121" i="11"/>
  <c r="V121" i="11"/>
  <c r="C121" i="11"/>
  <c r="X120" i="11"/>
  <c r="N120" i="11"/>
  <c r="V120" i="11"/>
  <c r="C120" i="11"/>
  <c r="X119" i="11"/>
  <c r="N119" i="11"/>
  <c r="V119" i="11"/>
  <c r="C119" i="11"/>
  <c r="X118" i="11"/>
  <c r="N118" i="11"/>
  <c r="V118" i="11"/>
  <c r="C118" i="11"/>
  <c r="X175" i="11"/>
  <c r="N175" i="11"/>
  <c r="V175" i="11"/>
  <c r="C175" i="11"/>
  <c r="C169" i="11"/>
  <c r="C170" i="11"/>
  <c r="C171" i="11"/>
  <c r="C172" i="11"/>
  <c r="C173" i="11"/>
  <c r="C174" i="11"/>
  <c r="C176" i="11"/>
  <c r="C177" i="11"/>
  <c r="C178" i="11"/>
  <c r="C179" i="11"/>
  <c r="C180" i="11"/>
  <c r="C181" i="11"/>
  <c r="C182" i="11"/>
  <c r="C183" i="11"/>
  <c r="C184" i="11"/>
  <c r="C185" i="11"/>
  <c r="X133" i="11"/>
  <c r="N133" i="11"/>
  <c r="V133" i="11"/>
  <c r="C133" i="11"/>
  <c r="X132" i="11"/>
  <c r="N132" i="11"/>
  <c r="V132" i="11"/>
  <c r="C132" i="11"/>
  <c r="X131" i="11"/>
  <c r="N131" i="11"/>
  <c r="V131" i="11"/>
  <c r="C131" i="11"/>
  <c r="X103" i="11"/>
  <c r="N103" i="11"/>
  <c r="V103" i="11"/>
  <c r="T103" i="11"/>
  <c r="C103" i="11"/>
  <c r="X102" i="11"/>
  <c r="N102" i="11"/>
  <c r="V102" i="11"/>
  <c r="T102" i="11"/>
  <c r="C102" i="11"/>
  <c r="X101" i="11"/>
  <c r="N101" i="11"/>
  <c r="V101" i="11"/>
  <c r="T101" i="11"/>
  <c r="C101" i="11"/>
  <c r="X100" i="11"/>
  <c r="N100" i="11"/>
  <c r="V100" i="11"/>
  <c r="T100" i="11"/>
  <c r="C100" i="11"/>
  <c r="X99" i="11"/>
  <c r="N99" i="11"/>
  <c r="V99" i="11"/>
  <c r="T99" i="11"/>
  <c r="C99" i="11"/>
  <c r="X98" i="11"/>
  <c r="N98" i="11"/>
  <c r="V98" i="11"/>
  <c r="T98" i="11"/>
  <c r="C98" i="11"/>
  <c r="X97" i="11"/>
  <c r="N97" i="11"/>
  <c r="V97" i="11"/>
  <c r="T97" i="11"/>
  <c r="C97" i="11"/>
  <c r="X96" i="11"/>
  <c r="N96" i="11"/>
  <c r="V96" i="11"/>
  <c r="T96" i="11"/>
  <c r="C96" i="11"/>
  <c r="X95" i="11"/>
  <c r="N95" i="11"/>
  <c r="V95" i="11"/>
  <c r="T95" i="11"/>
  <c r="C95" i="11"/>
  <c r="X114" i="11"/>
  <c r="N114" i="11"/>
  <c r="V114" i="11"/>
  <c r="T114" i="11"/>
  <c r="C114" i="11"/>
  <c r="X113" i="11"/>
  <c r="N113" i="11"/>
  <c r="V113" i="11"/>
  <c r="T113" i="11"/>
  <c r="C113" i="11"/>
  <c r="X154" i="11"/>
  <c r="N154" i="11"/>
  <c r="V154" i="11"/>
  <c r="C154" i="11"/>
  <c r="X153" i="11"/>
  <c r="N153" i="11"/>
  <c r="V153" i="11"/>
  <c r="C153" i="11"/>
  <c r="X152" i="11"/>
  <c r="N152" i="11"/>
  <c r="V152" i="11"/>
  <c r="C152" i="11"/>
  <c r="X151" i="11"/>
  <c r="N151" i="11"/>
  <c r="V151" i="11"/>
  <c r="C151" i="11"/>
  <c r="X150" i="11"/>
  <c r="N150" i="11"/>
  <c r="V150" i="11"/>
  <c r="C150" i="11"/>
  <c r="X149" i="11"/>
  <c r="N149" i="11"/>
  <c r="V149" i="11"/>
  <c r="C149" i="11"/>
  <c r="X148" i="11"/>
  <c r="N148" i="11"/>
  <c r="V148" i="11"/>
  <c r="C148" i="11"/>
  <c r="X147" i="11"/>
  <c r="N147" i="11"/>
  <c r="V147" i="11"/>
  <c r="C147" i="11"/>
  <c r="X146" i="11"/>
  <c r="N146" i="11"/>
  <c r="V146" i="11"/>
  <c r="C146" i="11"/>
  <c r="X145" i="11"/>
  <c r="N145" i="11"/>
  <c r="V145" i="11"/>
  <c r="C145" i="11"/>
  <c r="X144" i="11"/>
  <c r="N144" i="11"/>
  <c r="V144" i="11"/>
  <c r="C144" i="11"/>
  <c r="X143" i="11"/>
  <c r="N143" i="11"/>
  <c r="V143" i="11"/>
  <c r="C143" i="11"/>
  <c r="X142" i="11"/>
  <c r="N142" i="11"/>
  <c r="V142" i="11"/>
  <c r="C142" i="11"/>
  <c r="X141" i="11"/>
  <c r="N141" i="11"/>
  <c r="V141" i="11"/>
  <c r="C141" i="11"/>
  <c r="X140" i="11"/>
  <c r="N140" i="11"/>
  <c r="V140" i="11"/>
  <c r="C140" i="11"/>
  <c r="X139" i="11"/>
  <c r="N139" i="11"/>
  <c r="V139" i="11"/>
  <c r="C139" i="11"/>
  <c r="X138" i="11"/>
  <c r="N138" i="11"/>
  <c r="V138" i="11"/>
  <c r="C138" i="11"/>
  <c r="X137" i="11"/>
  <c r="N137" i="11"/>
  <c r="V137" i="11"/>
  <c r="C137" i="11"/>
  <c r="X136" i="11"/>
  <c r="N136" i="11"/>
  <c r="V136" i="11"/>
  <c r="C136" i="11"/>
  <c r="X135" i="11"/>
  <c r="N135" i="11"/>
  <c r="V135" i="11"/>
  <c r="C135" i="11"/>
  <c r="X134" i="11"/>
  <c r="N134" i="11"/>
  <c r="V134" i="11"/>
  <c r="C134" i="11"/>
  <c r="X130" i="11"/>
  <c r="N130" i="11"/>
  <c r="V130" i="11"/>
  <c r="C130" i="11"/>
  <c r="M204" i="11"/>
  <c r="M202" i="11"/>
  <c r="M201" i="11"/>
  <c r="T201" i="11"/>
  <c r="T202" i="11"/>
  <c r="T204" i="11"/>
  <c r="T200" i="11"/>
  <c r="X202" i="11"/>
  <c r="N202" i="11"/>
  <c r="V202" i="11"/>
  <c r="C202" i="11"/>
  <c r="X201" i="11"/>
  <c r="N201" i="11"/>
  <c r="V201" i="11"/>
  <c r="C201" i="11"/>
  <c r="X204" i="11"/>
  <c r="N204" i="11"/>
  <c r="V204" i="11"/>
  <c r="C204" i="11"/>
  <c r="X200" i="11"/>
  <c r="N200" i="11"/>
  <c r="V200" i="11"/>
  <c r="C200" i="11"/>
  <c r="T11" i="11"/>
  <c r="T12" i="11"/>
  <c r="T10" i="11"/>
  <c r="M11" i="11"/>
  <c r="M12" i="11"/>
  <c r="M10" i="11"/>
  <c r="N10" i="11"/>
  <c r="X11" i="11"/>
  <c r="N11" i="11"/>
  <c r="V11" i="11"/>
  <c r="C11" i="11"/>
  <c r="X10" i="11"/>
  <c r="V10" i="11"/>
  <c r="C10" i="11"/>
  <c r="X12" i="11"/>
  <c r="N12" i="11"/>
  <c r="V12" i="11"/>
  <c r="C12" i="11"/>
  <c r="M187" i="11"/>
  <c r="X187" i="11"/>
  <c r="T187" i="11"/>
  <c r="N187" i="11"/>
  <c r="V187" i="11"/>
  <c r="C187" i="11"/>
  <c r="X45" i="11"/>
  <c r="T45" i="11"/>
  <c r="N45" i="11"/>
  <c r="V45" i="11"/>
  <c r="C45" i="11"/>
  <c r="N171" i="11"/>
  <c r="V171" i="11"/>
  <c r="X171" i="11"/>
  <c r="N172" i="11"/>
  <c r="V172" i="11"/>
  <c r="X172" i="11"/>
  <c r="N173" i="11"/>
  <c r="V173" i="11"/>
  <c r="X173" i="11"/>
  <c r="N174" i="11"/>
  <c r="V174" i="11"/>
  <c r="X174" i="11"/>
  <c r="N176" i="11"/>
  <c r="V176" i="11"/>
  <c r="X176" i="11"/>
  <c r="N177" i="11"/>
  <c r="V177" i="11"/>
  <c r="X177" i="11"/>
  <c r="N178" i="11"/>
  <c r="V178" i="11"/>
  <c r="X178" i="11"/>
  <c r="N179" i="11"/>
  <c r="V179" i="11"/>
  <c r="X179" i="11"/>
  <c r="N180" i="11"/>
  <c r="V180" i="11"/>
  <c r="X180" i="11"/>
  <c r="N181" i="11"/>
  <c r="V181" i="11"/>
  <c r="X181" i="11"/>
  <c r="N182" i="11"/>
  <c r="V182" i="11"/>
  <c r="X182" i="11"/>
  <c r="N183" i="11"/>
  <c r="V183" i="11"/>
  <c r="X183" i="11"/>
  <c r="N184" i="11"/>
  <c r="V184" i="11"/>
  <c r="X184" i="11"/>
  <c r="N185" i="11"/>
  <c r="V185" i="11"/>
  <c r="X185" i="11"/>
  <c r="C2" i="46"/>
  <c r="B2" i="46"/>
  <c r="A2" i="46"/>
  <c r="C4" i="38"/>
  <c r="R52" i="41"/>
  <c r="R53" i="41"/>
  <c r="R54" i="41"/>
  <c r="R55" i="41"/>
  <c r="R56" i="41"/>
  <c r="R57" i="41"/>
  <c r="R58" i="41"/>
  <c r="R59" i="41"/>
  <c r="R60" i="41"/>
  <c r="R61" i="41"/>
  <c r="R62" i="41"/>
  <c r="R63" i="41"/>
  <c r="R64" i="41"/>
  <c r="R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" i="41"/>
  <c r="AK34" i="41"/>
  <c r="AR34" i="41"/>
  <c r="AF34" i="41"/>
  <c r="AK33" i="41"/>
  <c r="AR33" i="41"/>
  <c r="AF33" i="41"/>
  <c r="AK26" i="41"/>
  <c r="AF26" i="41"/>
  <c r="AK25" i="41"/>
  <c r="AR25" i="41"/>
  <c r="AF25" i="41"/>
  <c r="AK24" i="41"/>
  <c r="AR24" i="41"/>
  <c r="AF24" i="41"/>
  <c r="AK23" i="41"/>
  <c r="AR23" i="41"/>
  <c r="AF23" i="41"/>
  <c r="AF22" i="41"/>
  <c r="K239" i="7"/>
  <c r="K238" i="7"/>
  <c r="K235" i="7"/>
  <c r="K234" i="7"/>
  <c r="K228" i="7"/>
  <c r="K226" i="7"/>
  <c r="K223" i="7"/>
  <c r="K222" i="7"/>
  <c r="K219" i="7"/>
  <c r="K217" i="7"/>
  <c r="K216" i="7"/>
  <c r="K215" i="7"/>
  <c r="K212" i="7"/>
  <c r="K206" i="7"/>
  <c r="K208" i="7"/>
  <c r="K207" i="7"/>
  <c r="K202" i="7"/>
  <c r="K201" i="7"/>
  <c r="K196" i="7"/>
  <c r="K193" i="7"/>
  <c r="K191" i="7"/>
  <c r="K189" i="7"/>
  <c r="K186" i="7"/>
  <c r="K183" i="7"/>
  <c r="K180" i="7"/>
  <c r="K179" i="7"/>
  <c r="K178" i="7"/>
  <c r="K169" i="7"/>
  <c r="K167" i="7"/>
  <c r="K165" i="7"/>
  <c r="K163" i="7"/>
  <c r="K162" i="7"/>
  <c r="K159" i="7"/>
  <c r="K157" i="7"/>
  <c r="K155" i="7"/>
  <c r="K152" i="7"/>
  <c r="K150" i="7"/>
  <c r="K148" i="7"/>
  <c r="K146" i="7"/>
  <c r="K145" i="7"/>
  <c r="K143" i="7"/>
  <c r="K141" i="7"/>
  <c r="K139" i="7"/>
  <c r="K138" i="7"/>
  <c r="K135" i="7"/>
  <c r="K133" i="7"/>
  <c r="K131" i="7"/>
  <c r="K126" i="7"/>
  <c r="K125" i="7"/>
  <c r="K123" i="7"/>
  <c r="K122" i="7"/>
  <c r="K121" i="7"/>
  <c r="K119" i="7"/>
  <c r="K117" i="7"/>
  <c r="K114" i="7"/>
  <c r="K110" i="7"/>
  <c r="K109" i="7"/>
  <c r="K107" i="7"/>
  <c r="K104" i="7"/>
  <c r="K103" i="7"/>
  <c r="K102" i="7"/>
  <c r="K100" i="7"/>
  <c r="K99" i="7"/>
  <c r="K95" i="7"/>
  <c r="K94" i="7"/>
  <c r="K93" i="7"/>
  <c r="K90" i="7"/>
  <c r="K88" i="7"/>
  <c r="K86" i="7"/>
  <c r="K82" i="7"/>
  <c r="K80" i="7"/>
  <c r="K79" i="7"/>
  <c r="K78" i="7"/>
  <c r="K77" i="7"/>
  <c r="K73" i="7"/>
  <c r="K71" i="7"/>
  <c r="K69" i="7"/>
  <c r="K68" i="7"/>
  <c r="K66" i="7"/>
  <c r="K62" i="7"/>
  <c r="K61" i="7"/>
  <c r="K58" i="7"/>
  <c r="K55" i="7"/>
  <c r="K52" i="7"/>
  <c r="K50" i="7"/>
  <c r="K49" i="7"/>
  <c r="K46" i="7"/>
  <c r="K45" i="7"/>
  <c r="K39" i="7"/>
  <c r="K38" i="7"/>
  <c r="K37" i="7"/>
  <c r="K35" i="7"/>
  <c r="K33" i="7"/>
  <c r="K30" i="7"/>
  <c r="K27" i="7"/>
  <c r="K25" i="7"/>
  <c r="K24" i="7"/>
  <c r="K23" i="7"/>
  <c r="K22" i="7"/>
  <c r="K19" i="7"/>
  <c r="K18" i="7"/>
  <c r="K16" i="7"/>
  <c r="K14" i="7"/>
  <c r="K13" i="7"/>
  <c r="K11" i="7"/>
  <c r="K10" i="7"/>
  <c r="K8" i="7"/>
  <c r="K9" i="7"/>
  <c r="K7" i="7"/>
  <c r="K6" i="7"/>
  <c r="K5" i="7"/>
  <c r="K4" i="7"/>
  <c r="K3" i="7"/>
  <c r="K2" i="7"/>
  <c r="AK21" i="41"/>
  <c r="AR21" i="41"/>
  <c r="AF21" i="41"/>
  <c r="AM17" i="41"/>
  <c r="AJ55" i="38"/>
  <c r="AJ54" i="38"/>
  <c r="AI55" i="38"/>
  <c r="AI54" i="38"/>
  <c r="C33" i="38"/>
  <c r="G32" i="38"/>
  <c r="H32" i="38"/>
  <c r="A32" i="38"/>
  <c r="F31" i="38"/>
  <c r="I32" i="38"/>
  <c r="H31" i="38"/>
  <c r="G31" i="38"/>
  <c r="X199" i="11"/>
  <c r="X205" i="11"/>
  <c r="X206" i="11"/>
  <c r="Q182" i="33"/>
  <c r="L182" i="33"/>
  <c r="Q146" i="33"/>
  <c r="L146" i="33"/>
  <c r="Q110" i="33"/>
  <c r="L110" i="33"/>
  <c r="Q74" i="33"/>
  <c r="L74" i="33"/>
  <c r="Q38" i="33"/>
  <c r="L38" i="33"/>
  <c r="X2" i="11"/>
  <c r="X3" i="11"/>
  <c r="X4" i="11"/>
  <c r="X5" i="11"/>
  <c r="X6" i="11"/>
  <c r="X7" i="11"/>
  <c r="X8" i="11"/>
  <c r="X9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6" i="11"/>
  <c r="X47" i="11"/>
  <c r="X48" i="11"/>
  <c r="X49" i="11"/>
  <c r="X50" i="11"/>
  <c r="X51" i="11"/>
  <c r="X52" i="11"/>
  <c r="X53" i="11"/>
  <c r="X54" i="11"/>
  <c r="X55" i="11"/>
  <c r="X56" i="11"/>
  <c r="X57" i="11"/>
  <c r="X58" i="11"/>
  <c r="X59" i="11"/>
  <c r="X60" i="11"/>
  <c r="X61" i="11"/>
  <c r="X62" i="11"/>
  <c r="X63" i="11"/>
  <c r="X70" i="11"/>
  <c r="X71" i="11"/>
  <c r="X72" i="11"/>
  <c r="X73" i="11"/>
  <c r="X74" i="11"/>
  <c r="X75" i="11"/>
  <c r="X94" i="11"/>
  <c r="X76" i="11"/>
  <c r="X77" i="11"/>
  <c r="X78" i="11"/>
  <c r="X79" i="11"/>
  <c r="X80" i="11"/>
  <c r="X82" i="11"/>
  <c r="X83" i="11"/>
  <c r="X84" i="11"/>
  <c r="X85" i="11"/>
  <c r="X86" i="11"/>
  <c r="X87" i="11"/>
  <c r="X88" i="11"/>
  <c r="X89" i="11"/>
  <c r="X90" i="11"/>
  <c r="X91" i="11"/>
  <c r="X92" i="11"/>
  <c r="X93" i="11"/>
  <c r="X104" i="11"/>
  <c r="X105" i="11"/>
  <c r="X106" i="11"/>
  <c r="X107" i="11"/>
  <c r="X108" i="11"/>
  <c r="X109" i="11"/>
  <c r="X110" i="11"/>
  <c r="X111" i="11"/>
  <c r="X112" i="11"/>
  <c r="X115" i="11"/>
  <c r="X116" i="11"/>
  <c r="X117" i="11"/>
  <c r="X122" i="11"/>
  <c r="X123" i="11"/>
  <c r="X124" i="11"/>
  <c r="X125" i="11"/>
  <c r="X126" i="11"/>
  <c r="X127" i="11"/>
  <c r="X128" i="11"/>
  <c r="X129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9" i="11"/>
  <c r="X170" i="11"/>
  <c r="X186" i="11"/>
  <c r="X188" i="11"/>
  <c r="X189" i="11"/>
  <c r="X190" i="11"/>
  <c r="X191" i="11"/>
  <c r="X192" i="11"/>
  <c r="X193" i="11"/>
  <c r="X194" i="11"/>
  <c r="X195" i="11"/>
  <c r="X196" i="11"/>
  <c r="X197" i="11"/>
  <c r="X198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M206" i="11"/>
  <c r="N129" i="11"/>
  <c r="V129" i="11"/>
  <c r="M129" i="11"/>
  <c r="C129" i="11"/>
  <c r="N128" i="11"/>
  <c r="V128" i="11"/>
  <c r="M128" i="11"/>
  <c r="C128" i="11"/>
  <c r="T63" i="11"/>
  <c r="N63" i="11"/>
  <c r="V63" i="11"/>
  <c r="M63" i="11"/>
  <c r="C63" i="11"/>
  <c r="J32" i="38"/>
  <c r="I31" i="38"/>
  <c r="K32" i="38"/>
  <c r="J31" i="38"/>
  <c r="T228" i="11"/>
  <c r="T218" i="11"/>
  <c r="T170" i="11"/>
  <c r="T155" i="11"/>
  <c r="N228" i="11"/>
  <c r="V228" i="11"/>
  <c r="M228" i="11"/>
  <c r="C228" i="11"/>
  <c r="N170" i="11"/>
  <c r="V170" i="11"/>
  <c r="M170" i="11"/>
  <c r="N218" i="11"/>
  <c r="V218" i="11"/>
  <c r="M218" i="11"/>
  <c r="C218" i="11"/>
  <c r="N155" i="11"/>
  <c r="V155" i="11"/>
  <c r="M155" i="11"/>
  <c r="C155" i="11"/>
  <c r="T71" i="11"/>
  <c r="N71" i="11"/>
  <c r="V71" i="11"/>
  <c r="M71" i="11"/>
  <c r="C71" i="11"/>
  <c r="T30" i="11"/>
  <c r="N30" i="11"/>
  <c r="V30" i="11"/>
  <c r="M30" i="11"/>
  <c r="C30" i="11"/>
  <c r="AF5" i="41"/>
  <c r="G38" i="33"/>
  <c r="AG39" i="33"/>
  <c r="V38" i="33"/>
  <c r="AA38" i="33"/>
  <c r="G74" i="33"/>
  <c r="V74" i="33"/>
  <c r="AA74" i="33"/>
  <c r="AG75" i="33"/>
  <c r="G110" i="33"/>
  <c r="V110" i="33"/>
  <c r="AA110" i="33"/>
  <c r="AG111" i="33"/>
  <c r="G146" i="33"/>
  <c r="V146" i="33"/>
  <c r="AG147" i="33"/>
  <c r="AA146" i="33"/>
  <c r="G182" i="33"/>
  <c r="V182" i="33"/>
  <c r="AA182" i="33"/>
  <c r="AG183" i="33"/>
  <c r="C2" i="35"/>
  <c r="H2" i="35"/>
  <c r="R2" i="35"/>
  <c r="H4" i="35"/>
  <c r="R4" i="35"/>
  <c r="H5" i="35"/>
  <c r="H55" i="35"/>
  <c r="R55" i="35"/>
  <c r="R5" i="35"/>
  <c r="H6" i="35"/>
  <c r="R6" i="35"/>
  <c r="H7" i="35"/>
  <c r="R7" i="35"/>
  <c r="H8" i="35"/>
  <c r="H58" i="35"/>
  <c r="R58" i="35"/>
  <c r="R8" i="35"/>
  <c r="H9" i="35"/>
  <c r="H59" i="35"/>
  <c r="R59" i="35"/>
  <c r="R9" i="35"/>
  <c r="H10" i="35"/>
  <c r="H60" i="35"/>
  <c r="R60" i="35"/>
  <c r="R10" i="35"/>
  <c r="H11" i="35"/>
  <c r="H61" i="35"/>
  <c r="R61" i="35"/>
  <c r="R11" i="35"/>
  <c r="H12" i="35"/>
  <c r="H62" i="35"/>
  <c r="R62" i="35"/>
  <c r="R12" i="35"/>
  <c r="H13" i="35"/>
  <c r="H63" i="35"/>
  <c r="R63" i="35"/>
  <c r="R13" i="35"/>
  <c r="H14" i="35"/>
  <c r="R14" i="35"/>
  <c r="H15" i="35"/>
  <c r="H65" i="35"/>
  <c r="R65" i="35"/>
  <c r="R15" i="35"/>
  <c r="H16" i="35"/>
  <c r="H66" i="35"/>
  <c r="R66" i="35"/>
  <c r="R16" i="35"/>
  <c r="H17" i="35"/>
  <c r="H67" i="35"/>
  <c r="R67" i="35"/>
  <c r="R17" i="35"/>
  <c r="H18" i="35"/>
  <c r="H68" i="35"/>
  <c r="R68" i="35"/>
  <c r="R18" i="35"/>
  <c r="H19" i="35"/>
  <c r="H69" i="35"/>
  <c r="R69" i="35"/>
  <c r="R19" i="35"/>
  <c r="H20" i="35"/>
  <c r="H70" i="35"/>
  <c r="R70" i="35"/>
  <c r="R20" i="35"/>
  <c r="H21" i="35"/>
  <c r="H71" i="35"/>
  <c r="R71" i="35"/>
  <c r="R21" i="35"/>
  <c r="H22" i="35"/>
  <c r="H72" i="35"/>
  <c r="R72" i="35"/>
  <c r="R22" i="35"/>
  <c r="H23" i="35"/>
  <c r="H73" i="35"/>
  <c r="R73" i="35"/>
  <c r="R23" i="35"/>
  <c r="H24" i="35"/>
  <c r="H74" i="35"/>
  <c r="R74" i="35"/>
  <c r="R24" i="35"/>
  <c r="H25" i="35"/>
  <c r="H75" i="35"/>
  <c r="R75" i="35"/>
  <c r="R25" i="35"/>
  <c r="H26" i="35"/>
  <c r="H76" i="35"/>
  <c r="R76" i="35"/>
  <c r="R26" i="35"/>
  <c r="H27" i="35"/>
  <c r="H77" i="35"/>
  <c r="R77" i="35"/>
  <c r="R27" i="35"/>
  <c r="H28" i="35"/>
  <c r="R28" i="35"/>
  <c r="H29" i="35"/>
  <c r="H79" i="35"/>
  <c r="R79" i="35"/>
  <c r="R29" i="35"/>
  <c r="H30" i="35"/>
  <c r="H80" i="35"/>
  <c r="R80" i="35"/>
  <c r="R30" i="35"/>
  <c r="H31" i="35"/>
  <c r="H81" i="35"/>
  <c r="R81" i="35"/>
  <c r="R31" i="35"/>
  <c r="H32" i="35"/>
  <c r="H82" i="35"/>
  <c r="R82" i="35"/>
  <c r="R32" i="35"/>
  <c r="H33" i="35"/>
  <c r="H83" i="35"/>
  <c r="R83" i="35"/>
  <c r="R33" i="35"/>
  <c r="H34" i="35"/>
  <c r="H84" i="35"/>
  <c r="R84" i="35"/>
  <c r="R34" i="35"/>
  <c r="H35" i="35"/>
  <c r="H85" i="35"/>
  <c r="R85" i="35"/>
  <c r="R35" i="35"/>
  <c r="H36" i="35"/>
  <c r="H86" i="35"/>
  <c r="R86" i="35"/>
  <c r="R36" i="35"/>
  <c r="H37" i="35"/>
  <c r="H87" i="35"/>
  <c r="R87" i="35"/>
  <c r="R37" i="35"/>
  <c r="H38" i="35"/>
  <c r="H88" i="35"/>
  <c r="R88" i="35"/>
  <c r="R38" i="35"/>
  <c r="H39" i="35"/>
  <c r="H89" i="35"/>
  <c r="R89" i="35"/>
  <c r="R39" i="35"/>
  <c r="H40" i="35"/>
  <c r="H90" i="35"/>
  <c r="R90" i="35"/>
  <c r="R40" i="35"/>
  <c r="H41" i="35"/>
  <c r="H91" i="35"/>
  <c r="R91" i="35"/>
  <c r="R41" i="35"/>
  <c r="H42" i="35"/>
  <c r="H92" i="35"/>
  <c r="R92" i="35"/>
  <c r="R42" i="35"/>
  <c r="H43" i="35"/>
  <c r="H93" i="35"/>
  <c r="R93" i="35"/>
  <c r="R43" i="35"/>
  <c r="H44" i="35"/>
  <c r="H94" i="35"/>
  <c r="R94" i="35"/>
  <c r="R44" i="35"/>
  <c r="H45" i="35"/>
  <c r="H95" i="35"/>
  <c r="R95" i="35"/>
  <c r="R45" i="35"/>
  <c r="H46" i="35"/>
  <c r="H96" i="35"/>
  <c r="R96" i="35"/>
  <c r="R46" i="35"/>
  <c r="H47" i="35"/>
  <c r="H97" i="35"/>
  <c r="R97" i="35"/>
  <c r="R47" i="35"/>
  <c r="H48" i="35"/>
  <c r="H98" i="35"/>
  <c r="R98" i="35"/>
  <c r="R48" i="35"/>
  <c r="H49" i="35"/>
  <c r="R49" i="35"/>
  <c r="H50" i="35"/>
  <c r="H100" i="35"/>
  <c r="R100" i="35"/>
  <c r="R50" i="35"/>
  <c r="H52" i="35"/>
  <c r="R52" i="35"/>
  <c r="H54" i="35"/>
  <c r="R54" i="35"/>
  <c r="H56" i="35"/>
  <c r="R56" i="35"/>
  <c r="H57" i="35"/>
  <c r="R57" i="35"/>
  <c r="H64" i="35"/>
  <c r="R64" i="35"/>
  <c r="H78" i="35"/>
  <c r="R78" i="35"/>
  <c r="H99" i="35"/>
  <c r="R99" i="35"/>
  <c r="C13" i="11"/>
  <c r="N13" i="11"/>
  <c r="X13" i="11"/>
  <c r="C2" i="11"/>
  <c r="N2" i="11"/>
  <c r="C3" i="11"/>
  <c r="N3" i="11"/>
  <c r="C4" i="11"/>
  <c r="N4" i="11"/>
  <c r="C5" i="11"/>
  <c r="N5" i="11"/>
  <c r="V5" i="11"/>
  <c r="C6" i="11"/>
  <c r="N6" i="11"/>
  <c r="V6" i="11"/>
  <c r="C7" i="11"/>
  <c r="N7" i="11"/>
  <c r="C8" i="11"/>
  <c r="N8" i="11"/>
  <c r="V8" i="11"/>
  <c r="C9" i="11"/>
  <c r="N9" i="11"/>
  <c r="V9" i="11"/>
  <c r="C14" i="11"/>
  <c r="N14" i="11"/>
  <c r="V14" i="11"/>
  <c r="C15" i="11"/>
  <c r="N15" i="11"/>
  <c r="V15" i="11"/>
  <c r="C16" i="11"/>
  <c r="N16" i="11"/>
  <c r="V16" i="11"/>
  <c r="C17" i="11"/>
  <c r="N17" i="11"/>
  <c r="V17" i="11"/>
  <c r="C18" i="11"/>
  <c r="N18" i="11"/>
  <c r="V18" i="11"/>
  <c r="C19" i="11"/>
  <c r="N19" i="11"/>
  <c r="C20" i="11"/>
  <c r="N20" i="11"/>
  <c r="V20" i="11"/>
  <c r="C21" i="11"/>
  <c r="N21" i="11"/>
  <c r="V21" i="11"/>
  <c r="C22" i="11"/>
  <c r="N22" i="11"/>
  <c r="V22" i="11"/>
  <c r="C23" i="11"/>
  <c r="N23" i="11"/>
  <c r="V23" i="11"/>
  <c r="C24" i="11"/>
  <c r="N24" i="11"/>
  <c r="C25" i="11"/>
  <c r="N25" i="11"/>
  <c r="C26" i="11"/>
  <c r="M26" i="11"/>
  <c r="N26" i="11"/>
  <c r="V26" i="11"/>
  <c r="T26" i="11"/>
  <c r="C27" i="11"/>
  <c r="N27" i="11"/>
  <c r="V27" i="11"/>
  <c r="T27" i="11"/>
  <c r="C28" i="11"/>
  <c r="M28" i="11"/>
  <c r="N28" i="11"/>
  <c r="V28" i="11"/>
  <c r="T28" i="11"/>
  <c r="C29" i="11"/>
  <c r="M29" i="11"/>
  <c r="N29" i="11"/>
  <c r="V29" i="11"/>
  <c r="T29" i="11"/>
  <c r="M31" i="11"/>
  <c r="N31" i="11"/>
  <c r="V31" i="11"/>
  <c r="T31" i="11"/>
  <c r="C32" i="11"/>
  <c r="M32" i="11"/>
  <c r="N32" i="11"/>
  <c r="T32" i="11"/>
  <c r="C33" i="11"/>
  <c r="M33" i="11"/>
  <c r="N33" i="11"/>
  <c r="T33" i="11"/>
  <c r="M34" i="11"/>
  <c r="N34" i="11"/>
  <c r="V34" i="11"/>
  <c r="T34" i="11"/>
  <c r="C35" i="11"/>
  <c r="N35" i="11"/>
  <c r="V35" i="11"/>
  <c r="C36" i="11"/>
  <c r="N36" i="11"/>
  <c r="V36" i="11"/>
  <c r="T36" i="11"/>
  <c r="C37" i="11"/>
  <c r="M37" i="11"/>
  <c r="N37" i="11"/>
  <c r="T37" i="11"/>
  <c r="C38" i="11"/>
  <c r="M38" i="11"/>
  <c r="N38" i="11"/>
  <c r="T38" i="11"/>
  <c r="C39" i="11"/>
  <c r="M39" i="11"/>
  <c r="N39" i="11"/>
  <c r="V39" i="11"/>
  <c r="C40" i="11"/>
  <c r="M40" i="11"/>
  <c r="N40" i="11"/>
  <c r="V40" i="11"/>
  <c r="T40" i="11"/>
  <c r="C41" i="11"/>
  <c r="M41" i="11"/>
  <c r="N41" i="11"/>
  <c r="V41" i="11"/>
  <c r="T41" i="11"/>
  <c r="C42" i="11"/>
  <c r="M42" i="11"/>
  <c r="N42" i="11"/>
  <c r="V42" i="11"/>
  <c r="T42" i="11"/>
  <c r="C43" i="11"/>
  <c r="M43" i="11"/>
  <c r="N43" i="11"/>
  <c r="T43" i="11"/>
  <c r="C44" i="11"/>
  <c r="N44" i="11"/>
  <c r="V44" i="11"/>
  <c r="T44" i="11"/>
  <c r="C46" i="11"/>
  <c r="M46" i="11"/>
  <c r="N46" i="11"/>
  <c r="V46" i="11"/>
  <c r="T46" i="11"/>
  <c r="M47" i="11"/>
  <c r="N47" i="11"/>
  <c r="V47" i="11"/>
  <c r="T47" i="11"/>
  <c r="C48" i="11"/>
  <c r="M48" i="11"/>
  <c r="N48" i="11"/>
  <c r="T48" i="11"/>
  <c r="C49" i="11"/>
  <c r="M49" i="11"/>
  <c r="N49" i="11"/>
  <c r="T49" i="11"/>
  <c r="C50" i="11"/>
  <c r="M50" i="11"/>
  <c r="N50" i="11"/>
  <c r="V50" i="11"/>
  <c r="T50" i="11"/>
  <c r="C51" i="11"/>
  <c r="N51" i="11"/>
  <c r="V51" i="11"/>
  <c r="T51" i="11"/>
  <c r="C52" i="11"/>
  <c r="N52" i="11"/>
  <c r="T52" i="11"/>
  <c r="C53" i="11"/>
  <c r="N53" i="11"/>
  <c r="V53" i="11"/>
  <c r="T53" i="11"/>
  <c r="C54" i="11"/>
  <c r="M54" i="11"/>
  <c r="N54" i="11"/>
  <c r="V54" i="11"/>
  <c r="T54" i="11"/>
  <c r="C55" i="11"/>
  <c r="M55" i="11"/>
  <c r="N55" i="11"/>
  <c r="V55" i="11"/>
  <c r="T55" i="11"/>
  <c r="C56" i="11"/>
  <c r="M56" i="11"/>
  <c r="N56" i="11"/>
  <c r="V56" i="11"/>
  <c r="T56" i="11"/>
  <c r="C57" i="11"/>
  <c r="N57" i="11"/>
  <c r="V57" i="11"/>
  <c r="T57" i="11"/>
  <c r="C58" i="11"/>
  <c r="N58" i="11"/>
  <c r="V58" i="11"/>
  <c r="T58" i="11"/>
  <c r="C59" i="11"/>
  <c r="N59" i="11"/>
  <c r="T59" i="11"/>
  <c r="C60" i="11"/>
  <c r="M60" i="11"/>
  <c r="N60" i="11"/>
  <c r="V60" i="11"/>
  <c r="C61" i="11"/>
  <c r="M61" i="11"/>
  <c r="N61" i="11"/>
  <c r="V61" i="11"/>
  <c r="C62" i="11"/>
  <c r="M62" i="11"/>
  <c r="N62" i="11"/>
  <c r="V62" i="11"/>
  <c r="T62" i="11"/>
  <c r="C70" i="11"/>
  <c r="M70" i="11"/>
  <c r="N70" i="11"/>
  <c r="V70" i="11"/>
  <c r="T70" i="11"/>
  <c r="C72" i="11"/>
  <c r="M72" i="11"/>
  <c r="N72" i="11"/>
  <c r="T72" i="11"/>
  <c r="C73" i="11"/>
  <c r="M73" i="11"/>
  <c r="N73" i="11"/>
  <c r="V73" i="11"/>
  <c r="T73" i="11"/>
  <c r="C74" i="11"/>
  <c r="N74" i="11"/>
  <c r="V74" i="11"/>
  <c r="T74" i="11"/>
  <c r="C75" i="11"/>
  <c r="M75" i="11"/>
  <c r="N75" i="11"/>
  <c r="V75" i="11"/>
  <c r="T75" i="11"/>
  <c r="C94" i="11"/>
  <c r="M94" i="11"/>
  <c r="N94" i="11"/>
  <c r="V94" i="11"/>
  <c r="T94" i="11"/>
  <c r="C76" i="11"/>
  <c r="M76" i="11"/>
  <c r="N76" i="11"/>
  <c r="V76" i="11"/>
  <c r="T76" i="11"/>
  <c r="C78" i="11"/>
  <c r="N78" i="11"/>
  <c r="V78" i="11"/>
  <c r="T78" i="11"/>
  <c r="C79" i="11"/>
  <c r="N79" i="11"/>
  <c r="T79" i="11"/>
  <c r="C77" i="11"/>
  <c r="N77" i="11"/>
  <c r="V77" i="11"/>
  <c r="T77" i="11"/>
  <c r="C80" i="11"/>
  <c r="N80" i="11"/>
  <c r="V80" i="11"/>
  <c r="T80" i="11"/>
  <c r="C82" i="11"/>
  <c r="M82" i="11"/>
  <c r="N82" i="11"/>
  <c r="V82" i="11"/>
  <c r="T82" i="11"/>
  <c r="C83" i="11"/>
  <c r="M83" i="11"/>
  <c r="N83" i="11"/>
  <c r="V83" i="11"/>
  <c r="T83" i="11"/>
  <c r="C84" i="11"/>
  <c r="M84" i="11"/>
  <c r="N84" i="11"/>
  <c r="V84" i="11"/>
  <c r="T84" i="11"/>
  <c r="C85" i="11"/>
  <c r="M85" i="11"/>
  <c r="N85" i="11"/>
  <c r="V85" i="11"/>
  <c r="T85" i="11"/>
  <c r="C86" i="11"/>
  <c r="M86" i="11"/>
  <c r="N86" i="11"/>
  <c r="V86" i="11"/>
  <c r="T86" i="11"/>
  <c r="C87" i="11"/>
  <c r="M87" i="11"/>
  <c r="N87" i="11"/>
  <c r="V87" i="11"/>
  <c r="T87" i="11"/>
  <c r="C88" i="11"/>
  <c r="M88" i="11"/>
  <c r="N88" i="11"/>
  <c r="V88" i="11"/>
  <c r="T88" i="11"/>
  <c r="C89" i="11"/>
  <c r="M89" i="11"/>
  <c r="N89" i="11"/>
  <c r="V89" i="11"/>
  <c r="T89" i="11"/>
  <c r="C90" i="11"/>
  <c r="N90" i="11"/>
  <c r="V90" i="11"/>
  <c r="T90" i="11"/>
  <c r="C91" i="11"/>
  <c r="N91" i="11"/>
  <c r="V91" i="11"/>
  <c r="T91" i="11"/>
  <c r="C92" i="11"/>
  <c r="M92" i="11"/>
  <c r="N92" i="11"/>
  <c r="V92" i="11"/>
  <c r="T92" i="11"/>
  <c r="C93" i="11"/>
  <c r="M93" i="11"/>
  <c r="N93" i="11"/>
  <c r="V93" i="11"/>
  <c r="T93" i="11"/>
  <c r="C104" i="11"/>
  <c r="N104" i="11"/>
  <c r="V104" i="11"/>
  <c r="T104" i="11"/>
  <c r="C105" i="11"/>
  <c r="N105" i="11"/>
  <c r="V105" i="11"/>
  <c r="T105" i="11"/>
  <c r="C106" i="11"/>
  <c r="N106" i="11"/>
  <c r="V106" i="11"/>
  <c r="T106" i="11"/>
  <c r="C107" i="11"/>
  <c r="N107" i="11"/>
  <c r="V107" i="11"/>
  <c r="T107" i="11"/>
  <c r="C108" i="11"/>
  <c r="N108" i="11"/>
  <c r="V108" i="11"/>
  <c r="T108" i="11"/>
  <c r="C109" i="11"/>
  <c r="N109" i="11"/>
  <c r="V109" i="11"/>
  <c r="T109" i="11"/>
  <c r="C110" i="11"/>
  <c r="M110" i="11"/>
  <c r="N110" i="11"/>
  <c r="V110" i="11"/>
  <c r="T110" i="11"/>
  <c r="C111" i="11"/>
  <c r="N111" i="11"/>
  <c r="V111" i="11"/>
  <c r="T111" i="11"/>
  <c r="C112" i="11"/>
  <c r="N112" i="11"/>
  <c r="T112" i="11"/>
  <c r="C115" i="11"/>
  <c r="M115" i="11"/>
  <c r="N115" i="11"/>
  <c r="V115" i="11"/>
  <c r="T115" i="11"/>
  <c r="C116" i="11"/>
  <c r="N116" i="11"/>
  <c r="V116" i="11"/>
  <c r="C117" i="11"/>
  <c r="N117" i="11"/>
  <c r="V117" i="11"/>
  <c r="C122" i="11"/>
  <c r="M122" i="11"/>
  <c r="N122" i="11"/>
  <c r="C123" i="11"/>
  <c r="M123" i="11"/>
  <c r="N123" i="11"/>
  <c r="C124" i="11"/>
  <c r="M124" i="11"/>
  <c r="N124" i="11"/>
  <c r="V124" i="11"/>
  <c r="C125" i="11"/>
  <c r="M125" i="11"/>
  <c r="N125" i="11"/>
  <c r="V125" i="11"/>
  <c r="C126" i="11"/>
  <c r="M126" i="11"/>
  <c r="N126" i="11"/>
  <c r="V126" i="11"/>
  <c r="C127" i="11"/>
  <c r="M127" i="11"/>
  <c r="N127" i="11"/>
  <c r="V127" i="11"/>
  <c r="C186" i="11"/>
  <c r="N186" i="11"/>
  <c r="V186" i="11"/>
  <c r="T186" i="11"/>
  <c r="C188" i="11"/>
  <c r="M188" i="11"/>
  <c r="N188" i="11"/>
  <c r="V188" i="11"/>
  <c r="T188" i="11"/>
  <c r="C189" i="11"/>
  <c r="M189" i="11"/>
  <c r="N189" i="11"/>
  <c r="V189" i="11"/>
  <c r="T189" i="11"/>
  <c r="C190" i="11"/>
  <c r="M190" i="11"/>
  <c r="N190" i="11"/>
  <c r="V190" i="11"/>
  <c r="T190" i="11"/>
  <c r="C191" i="11"/>
  <c r="M191" i="11"/>
  <c r="N191" i="11"/>
  <c r="T191" i="11"/>
  <c r="C192" i="11"/>
  <c r="M192" i="11"/>
  <c r="N192" i="11"/>
  <c r="V192" i="11"/>
  <c r="T192" i="11"/>
  <c r="C193" i="11"/>
  <c r="M193" i="11"/>
  <c r="N193" i="11"/>
  <c r="V193" i="11"/>
  <c r="T193" i="11"/>
  <c r="C194" i="11"/>
  <c r="M194" i="11"/>
  <c r="N194" i="11"/>
  <c r="V194" i="11"/>
  <c r="T194" i="11"/>
  <c r="C195" i="11"/>
  <c r="N195" i="11"/>
  <c r="V195" i="11"/>
  <c r="T195" i="11"/>
  <c r="C196" i="11"/>
  <c r="N196" i="11"/>
  <c r="V196" i="11"/>
  <c r="T196" i="11"/>
  <c r="C197" i="11"/>
  <c r="N197" i="11"/>
  <c r="V197" i="11"/>
  <c r="T197" i="11"/>
  <c r="C198" i="11"/>
  <c r="N198" i="11"/>
  <c r="V198" i="11"/>
  <c r="T198" i="11"/>
  <c r="C199" i="11"/>
  <c r="N199" i="11"/>
  <c r="V199" i="11"/>
  <c r="C205" i="11"/>
  <c r="M205" i="11"/>
  <c r="N205" i="11"/>
  <c r="V205" i="11"/>
  <c r="T205" i="11"/>
  <c r="C206" i="11"/>
  <c r="N206" i="11"/>
  <c r="V206" i="11"/>
  <c r="T206" i="11"/>
  <c r="C207" i="11"/>
  <c r="M207" i="11"/>
  <c r="N207" i="11"/>
  <c r="V207" i="11"/>
  <c r="T207" i="11"/>
  <c r="C208" i="11"/>
  <c r="N208" i="11"/>
  <c r="V208" i="11"/>
  <c r="T208" i="11"/>
  <c r="C209" i="11"/>
  <c r="N209" i="11"/>
  <c r="T209" i="11"/>
  <c r="C210" i="11"/>
  <c r="N210" i="11"/>
  <c r="V210" i="11"/>
  <c r="T210" i="11"/>
  <c r="C211" i="11"/>
  <c r="N211" i="11"/>
  <c r="V211" i="11"/>
  <c r="T211" i="11"/>
  <c r="C212" i="11"/>
  <c r="M212" i="11"/>
  <c r="N212" i="11"/>
  <c r="V212" i="11"/>
  <c r="C214" i="11"/>
  <c r="M214" i="11"/>
  <c r="N214" i="11"/>
  <c r="V214" i="11"/>
  <c r="T214" i="11"/>
  <c r="C213" i="11"/>
  <c r="M213" i="11"/>
  <c r="N213" i="11"/>
  <c r="T213" i="11"/>
  <c r="C215" i="11"/>
  <c r="M215" i="11"/>
  <c r="N215" i="11"/>
  <c r="V215" i="11"/>
  <c r="T215" i="11"/>
  <c r="C216" i="11"/>
  <c r="M216" i="11"/>
  <c r="N216" i="11"/>
  <c r="V216" i="11"/>
  <c r="T216" i="11"/>
  <c r="C217" i="11"/>
  <c r="M217" i="11"/>
  <c r="N217" i="11"/>
  <c r="V217" i="11"/>
  <c r="T217" i="11"/>
  <c r="C156" i="11"/>
  <c r="M156" i="11"/>
  <c r="N156" i="11"/>
  <c r="V156" i="11"/>
  <c r="T156" i="11"/>
  <c r="C157" i="11"/>
  <c r="M157" i="11"/>
  <c r="N157" i="11"/>
  <c r="V157" i="11"/>
  <c r="T157" i="11"/>
  <c r="C158" i="11"/>
  <c r="M158" i="11"/>
  <c r="N158" i="11"/>
  <c r="V158" i="11"/>
  <c r="T158" i="11"/>
  <c r="C159" i="11"/>
  <c r="M159" i="11"/>
  <c r="N159" i="11"/>
  <c r="V159" i="11"/>
  <c r="T159" i="11"/>
  <c r="C160" i="11"/>
  <c r="M160" i="11"/>
  <c r="N160" i="11"/>
  <c r="V160" i="11"/>
  <c r="T160" i="11"/>
  <c r="C161" i="11"/>
  <c r="M161" i="11"/>
  <c r="N161" i="11"/>
  <c r="V161" i="11"/>
  <c r="T161" i="11"/>
  <c r="C162" i="11"/>
  <c r="M162" i="11"/>
  <c r="N162" i="11"/>
  <c r="V162" i="11"/>
  <c r="T162" i="11"/>
  <c r="C163" i="11"/>
  <c r="M163" i="11"/>
  <c r="N163" i="11"/>
  <c r="V163" i="11"/>
  <c r="T163" i="11"/>
  <c r="C164" i="11"/>
  <c r="M164" i="11"/>
  <c r="N164" i="11"/>
  <c r="V164" i="11"/>
  <c r="T164" i="11"/>
  <c r="C165" i="11"/>
  <c r="M165" i="11"/>
  <c r="N165" i="11"/>
  <c r="V165" i="11"/>
  <c r="T165" i="11"/>
  <c r="C166" i="11"/>
  <c r="M166" i="11"/>
  <c r="N166" i="11"/>
  <c r="V166" i="11"/>
  <c r="T166" i="11"/>
  <c r="C167" i="11"/>
  <c r="M167" i="11"/>
  <c r="N167" i="11"/>
  <c r="T167" i="11"/>
  <c r="M169" i="11"/>
  <c r="N169" i="11"/>
  <c r="V169" i="11"/>
  <c r="T169" i="11"/>
  <c r="C219" i="11"/>
  <c r="M219" i="11"/>
  <c r="N219" i="11"/>
  <c r="V219" i="11"/>
  <c r="T219" i="11"/>
  <c r="C220" i="11"/>
  <c r="M220" i="11"/>
  <c r="N220" i="11"/>
  <c r="V220" i="11"/>
  <c r="T220" i="11"/>
  <c r="C221" i="11"/>
  <c r="M221" i="11"/>
  <c r="N221" i="11"/>
  <c r="V221" i="11"/>
  <c r="T221" i="11"/>
  <c r="C222" i="11"/>
  <c r="M222" i="11"/>
  <c r="N222" i="11"/>
  <c r="V222" i="11"/>
  <c r="T222" i="11"/>
  <c r="C223" i="11"/>
  <c r="M223" i="11"/>
  <c r="N223" i="11"/>
  <c r="T223" i="11"/>
  <c r="C224" i="11"/>
  <c r="M224" i="11"/>
  <c r="N224" i="11"/>
  <c r="V224" i="11"/>
  <c r="T224" i="11"/>
  <c r="C225" i="11"/>
  <c r="M225" i="11"/>
  <c r="N225" i="11"/>
  <c r="V225" i="11"/>
  <c r="T225" i="11"/>
  <c r="C226" i="11"/>
  <c r="M226" i="11"/>
  <c r="N226" i="11"/>
  <c r="V226" i="11"/>
  <c r="T226" i="11"/>
  <c r="C227" i="11"/>
  <c r="M227" i="11"/>
  <c r="N227" i="11"/>
  <c r="V227" i="11"/>
  <c r="T227" i="11"/>
  <c r="C229" i="11"/>
  <c r="M229" i="11"/>
  <c r="N229" i="11"/>
  <c r="V229" i="11"/>
  <c r="T229" i="11"/>
  <c r="C230" i="11"/>
  <c r="M230" i="11"/>
  <c r="N230" i="11"/>
  <c r="V230" i="11"/>
  <c r="T230" i="11"/>
  <c r="C233" i="11"/>
  <c r="M233" i="11"/>
  <c r="N233" i="11"/>
  <c r="V233" i="11"/>
  <c r="T233" i="11"/>
  <c r="C232" i="11"/>
  <c r="M232" i="11"/>
  <c r="N232" i="11"/>
  <c r="V232" i="11"/>
  <c r="T232" i="11"/>
  <c r="C231" i="11"/>
  <c r="M231" i="11"/>
  <c r="N231" i="11"/>
  <c r="V231" i="11"/>
  <c r="T231" i="11"/>
  <c r="K3" i="24"/>
  <c r="AF8" i="41"/>
  <c r="AF51" i="41"/>
  <c r="AM9" i="41"/>
  <c r="AF17" i="41"/>
  <c r="AH53" i="41"/>
  <c r="AF11" i="41"/>
  <c r="AM11" i="41"/>
  <c r="AM12" i="41"/>
  <c r="AH13" i="41"/>
  <c r="AH14" i="41"/>
  <c r="AI17" i="41"/>
  <c r="AH54" i="41"/>
  <c r="AK17" i="41"/>
  <c r="AH52" i="41"/>
  <c r="AK47" i="41"/>
  <c r="AM47" i="41"/>
  <c r="AL47" i="41"/>
  <c r="AK49" i="41"/>
  <c r="F2" i="38"/>
  <c r="A3" i="38"/>
  <c r="G3" i="38"/>
  <c r="G2" i="38"/>
  <c r="AI27" i="38"/>
  <c r="AI26" i="38"/>
  <c r="AJ27" i="38"/>
  <c r="AJ26" i="38"/>
  <c r="V59" i="11"/>
  <c r="V38" i="11"/>
  <c r="V25" i="11"/>
  <c r="V24" i="11"/>
  <c r="V19" i="11"/>
  <c r="V209" i="11"/>
  <c r="V43" i="11"/>
  <c r="V32" i="11"/>
  <c r="V72" i="11"/>
  <c r="V52" i="11"/>
  <c r="V49" i="11"/>
  <c r="V37" i="11"/>
  <c r="H3" i="38"/>
  <c r="H2" i="38"/>
  <c r="L32" i="38"/>
  <c r="K31" i="38"/>
  <c r="V167" i="11"/>
  <c r="V191" i="11"/>
  <c r="V4" i="11"/>
  <c r="V112" i="11"/>
  <c r="V122" i="11"/>
  <c r="V223" i="11"/>
  <c r="V7" i="11"/>
  <c r="K4" i="24"/>
  <c r="V213" i="11"/>
  <c r="V123" i="11"/>
  <c r="V79" i="11"/>
  <c r="V33" i="11"/>
  <c r="V3" i="11"/>
  <c r="V48" i="11"/>
  <c r="V2" i="11"/>
  <c r="V13" i="11"/>
  <c r="I3" i="38"/>
  <c r="I2" i="38"/>
  <c r="M32" i="38"/>
  <c r="L31" i="38"/>
  <c r="J3" i="38"/>
  <c r="J2" i="38"/>
  <c r="N32" i="38"/>
  <c r="M31" i="38"/>
  <c r="K3" i="38"/>
  <c r="K2" i="38"/>
  <c r="O32" i="38"/>
  <c r="N31" i="38"/>
  <c r="L3" i="38"/>
  <c r="L2" i="38"/>
  <c r="P32" i="38"/>
  <c r="O31" i="38"/>
  <c r="M3" i="38"/>
  <c r="M2" i="38"/>
  <c r="Q32" i="38"/>
  <c r="P31" i="38"/>
  <c r="N3" i="38"/>
  <c r="Q31" i="38"/>
  <c r="R32" i="38"/>
  <c r="N2" i="38"/>
  <c r="O3" i="38"/>
  <c r="S32" i="38"/>
  <c r="R31" i="38"/>
  <c r="O2" i="38"/>
  <c r="P3" i="38"/>
  <c r="T32" i="38"/>
  <c r="S31" i="38"/>
  <c r="P2" i="38"/>
  <c r="Q3" i="38"/>
  <c r="U32" i="38"/>
  <c r="T31" i="38"/>
  <c r="Q2" i="38"/>
  <c r="R3" i="38"/>
  <c r="V32" i="38"/>
  <c r="U31" i="38"/>
  <c r="R2" i="38"/>
  <c r="S3" i="38"/>
  <c r="W32" i="38"/>
  <c r="V31" i="38"/>
  <c r="S2" i="38"/>
  <c r="T3" i="38"/>
  <c r="X32" i="38"/>
  <c r="W31" i="38"/>
  <c r="T2" i="38"/>
  <c r="U3" i="38"/>
  <c r="Y32" i="38"/>
  <c r="X31" i="38"/>
  <c r="U2" i="38"/>
  <c r="V3" i="38"/>
  <c r="Z32" i="38"/>
  <c r="Y31" i="38"/>
  <c r="V2" i="38"/>
  <c r="W3" i="38"/>
  <c r="AA32" i="38"/>
  <c r="Z31" i="38"/>
  <c r="W2" i="38"/>
  <c r="X3" i="38"/>
  <c r="AB32" i="38"/>
  <c r="AA31" i="38"/>
  <c r="X2" i="38"/>
  <c r="Y3" i="38"/>
  <c r="AC32" i="38"/>
  <c r="AB31" i="38"/>
  <c r="Y2" i="38"/>
  <c r="Z3" i="38"/>
  <c r="AD32" i="38"/>
  <c r="AC31" i="38"/>
  <c r="Z2" i="38"/>
  <c r="AA3" i="38"/>
  <c r="AE32" i="38"/>
  <c r="AD31" i="38"/>
  <c r="AA2" i="38"/>
  <c r="AB3" i="38"/>
  <c r="AF32" i="38"/>
  <c r="AE31" i="38"/>
  <c r="AB2" i="38"/>
  <c r="AC3" i="38"/>
  <c r="AG32" i="38"/>
  <c r="AF31" i="38"/>
  <c r="AC2" i="38"/>
  <c r="AD3" i="38"/>
  <c r="AH32" i="38"/>
  <c r="AG31" i="38"/>
  <c r="AD2" i="38"/>
  <c r="AE3" i="38"/>
  <c r="AI32" i="38"/>
  <c r="AH31" i="38"/>
  <c r="AE2" i="38"/>
  <c r="AF3" i="38"/>
  <c r="AJ32" i="38"/>
  <c r="AJ31" i="38"/>
  <c r="AI31" i="38"/>
  <c r="AF2" i="38"/>
  <c r="AG3" i="38"/>
  <c r="AG2" i="38"/>
  <c r="AH3" i="38"/>
  <c r="AH2" i="38"/>
  <c r="AI3" i="38"/>
  <c r="AI2" i="38"/>
  <c r="B23" i="38"/>
  <c r="B5" i="38"/>
  <c r="B36" i="38"/>
  <c r="B45" i="38"/>
  <c r="D33" i="38"/>
  <c r="B48" i="38"/>
  <c r="B35" i="38"/>
  <c r="B16" i="38"/>
  <c r="B4" i="38"/>
  <c r="B10" i="38"/>
  <c r="B20" i="38"/>
  <c r="B9" i="38"/>
  <c r="B41" i="38"/>
  <c r="B53" i="38"/>
  <c r="B44" i="38"/>
  <c r="B25" i="38"/>
  <c r="B12" i="38"/>
  <c r="B24" i="38"/>
  <c r="B33" i="38"/>
  <c r="B38" i="38"/>
  <c r="B37" i="38"/>
  <c r="B39" i="38"/>
  <c r="B34" i="38"/>
  <c r="B17" i="38"/>
  <c r="D4" i="38"/>
  <c r="B15" i="38"/>
  <c r="B6" i="38"/>
  <c r="B13" i="38"/>
  <c r="B43" i="38"/>
  <c r="B42" i="38"/>
  <c r="B22" i="38"/>
  <c r="B21" i="38"/>
  <c r="B50" i="38"/>
  <c r="B19" i="38"/>
  <c r="B46" i="38"/>
  <c r="B7" i="38"/>
  <c r="B14" i="38"/>
  <c r="B40" i="38"/>
  <c r="B47" i="38"/>
  <c r="B18" i="38"/>
  <c r="B11" i="38"/>
  <c r="B49" i="38"/>
  <c r="B8" i="38"/>
  <c r="R154" i="11"/>
  <c r="R138" i="11"/>
  <c r="R10" i="11"/>
  <c r="R70" i="11"/>
  <c r="R198" i="11"/>
  <c r="R188" i="11"/>
  <c r="R161" i="11"/>
  <c r="R24" i="11"/>
  <c r="R156" i="11"/>
  <c r="R43" i="11"/>
  <c r="R38" i="11"/>
  <c r="R166" i="11"/>
  <c r="R33" i="11"/>
  <c r="R144" i="11"/>
  <c r="R31" i="11"/>
  <c r="R42" i="11"/>
  <c r="R218" i="11"/>
  <c r="R209" i="11"/>
  <c r="R104" i="11"/>
  <c r="R220" i="11"/>
  <c r="R97" i="11"/>
  <c r="R139" i="11"/>
  <c r="R158" i="11"/>
  <c r="R171" i="11"/>
  <c r="R185" i="11"/>
  <c r="R226" i="11"/>
  <c r="R168" i="11"/>
  <c r="R8" i="11"/>
  <c r="R151" i="11"/>
  <c r="R195" i="11"/>
  <c r="R102" i="11"/>
  <c r="R141" i="11"/>
  <c r="R87" i="11"/>
  <c r="R27" i="11"/>
  <c r="R40" i="11"/>
  <c r="R83" i="11"/>
  <c r="R184" i="11"/>
  <c r="R148" i="11"/>
  <c r="R122" i="11"/>
  <c r="R23" i="11"/>
  <c r="R99" i="11"/>
  <c r="R181" i="11"/>
  <c r="R22" i="11"/>
  <c r="R47" i="11"/>
  <c r="R224" i="11"/>
  <c r="R129" i="11"/>
  <c r="R37" i="11"/>
  <c r="R214" i="11"/>
  <c r="R44" i="11"/>
  <c r="R75" i="11"/>
  <c r="R107" i="11"/>
  <c r="R153" i="11"/>
  <c r="R58" i="11"/>
  <c r="R127" i="11"/>
  <c r="R28" i="11"/>
  <c r="R112" i="11"/>
  <c r="R206" i="11"/>
  <c r="R52" i="11"/>
  <c r="R172" i="11"/>
  <c r="R137" i="11"/>
  <c r="R160" i="11"/>
  <c r="R60" i="11"/>
  <c r="R30" i="11"/>
  <c r="R205" i="11"/>
  <c r="R133" i="11"/>
  <c r="R134" i="11"/>
  <c r="R157" i="11"/>
  <c r="R92" i="11"/>
  <c r="R32" i="11"/>
  <c r="R74" i="11"/>
  <c r="R46" i="11"/>
  <c r="R16" i="11"/>
  <c r="R221" i="11"/>
  <c r="R190" i="11"/>
  <c r="R201" i="11"/>
  <c r="R163" i="11"/>
  <c r="R35" i="11"/>
  <c r="R88" i="11"/>
  <c r="R227" i="11"/>
  <c r="R103" i="11"/>
  <c r="R204" i="11"/>
  <c r="R25" i="11"/>
  <c r="R162" i="11"/>
  <c r="R93" i="11"/>
  <c r="R132" i="11"/>
  <c r="R98" i="11"/>
  <c r="R149" i="11"/>
  <c r="R130" i="11"/>
  <c r="R174" i="11"/>
  <c r="R36" i="11"/>
  <c r="R169" i="11"/>
  <c r="R13" i="11"/>
  <c r="R91" i="11"/>
  <c r="R223" i="11"/>
  <c r="R26" i="11"/>
  <c r="R21" i="11"/>
  <c r="R3" i="11"/>
  <c r="R109" i="11"/>
  <c r="R49" i="11"/>
  <c r="R136" i="11"/>
  <c r="R53" i="11"/>
  <c r="R18" i="11"/>
  <c r="R9" i="11"/>
  <c r="R76" i="11"/>
  <c r="R155" i="11"/>
  <c r="R175" i="11"/>
  <c r="R147" i="11"/>
  <c r="R48" i="11"/>
  <c r="R82" i="11"/>
  <c r="R4" i="11"/>
  <c r="R7" i="11"/>
  <c r="R126" i="11"/>
  <c r="R17" i="11"/>
  <c r="R146" i="11"/>
  <c r="R11" i="11"/>
  <c r="R176" i="11"/>
  <c r="R128" i="11"/>
  <c r="R51" i="11"/>
  <c r="R105" i="11"/>
  <c r="R232" i="11"/>
  <c r="R182" i="11"/>
  <c r="R210" i="11"/>
  <c r="R192" i="11"/>
  <c r="R231" i="11"/>
  <c r="R85" i="11"/>
  <c r="R183" i="11"/>
  <c r="R213" i="11"/>
  <c r="R39" i="11"/>
  <c r="R114" i="11"/>
  <c r="R12" i="11"/>
  <c r="R219" i="11"/>
  <c r="R179" i="11"/>
  <c r="R173" i="11"/>
  <c r="R55" i="11"/>
  <c r="R86" i="11"/>
  <c r="R186" i="11"/>
  <c r="R59" i="11"/>
  <c r="R45" i="11"/>
  <c r="R117" i="11"/>
  <c r="R89" i="11"/>
  <c r="R120" i="11"/>
  <c r="R233" i="11"/>
  <c r="R125" i="11"/>
  <c r="R152" i="11"/>
  <c r="R178" i="11"/>
  <c r="R121" i="11"/>
  <c r="R217" i="11"/>
  <c r="R100" i="11"/>
  <c r="R193" i="11"/>
  <c r="R19" i="11"/>
  <c r="R165" i="11"/>
  <c r="R140" i="11"/>
  <c r="R189" i="11"/>
  <c r="R106" i="11"/>
  <c r="R150" i="11"/>
  <c r="R200" i="11"/>
  <c r="R229" i="11"/>
  <c r="R41" i="11"/>
  <c r="R164" i="11"/>
  <c r="R180" i="11"/>
  <c r="R228" i="11"/>
  <c r="R215" i="11"/>
  <c r="R56" i="11"/>
  <c r="R116" i="11"/>
  <c r="R14" i="11"/>
  <c r="R80" i="11"/>
  <c r="R167" i="11"/>
  <c r="R2" i="11"/>
  <c r="R225" i="11"/>
  <c r="R95" i="11"/>
  <c r="R111" i="11"/>
  <c r="R208" i="11"/>
  <c r="R110" i="11"/>
  <c r="R94" i="11"/>
  <c r="R131" i="11"/>
  <c r="R96" i="11"/>
  <c r="R145" i="11"/>
  <c r="R202" i="11"/>
  <c r="R15" i="11"/>
  <c r="R123" i="11"/>
  <c r="R6" i="11"/>
  <c r="R73" i="11"/>
  <c r="R197" i="11"/>
  <c r="R62" i="11"/>
  <c r="R170" i="11"/>
  <c r="R199" i="11"/>
  <c r="R78" i="11"/>
  <c r="R211" i="11"/>
  <c r="R124" i="11"/>
  <c r="R118" i="11"/>
  <c r="R187" i="11"/>
  <c r="R5" i="11"/>
  <c r="R196" i="11"/>
  <c r="R191" i="11"/>
  <c r="R77" i="11"/>
  <c r="R72" i="11"/>
  <c r="R101" i="11"/>
  <c r="R135" i="11"/>
  <c r="R230" i="11"/>
  <c r="R54" i="11"/>
  <c r="R79" i="11"/>
  <c r="R177" i="11"/>
  <c r="R222" i="11"/>
  <c r="R194" i="11"/>
  <c r="R61" i="11"/>
  <c r="R34" i="11"/>
  <c r="R50" i="11"/>
  <c r="R115" i="11"/>
  <c r="R29" i="11"/>
  <c r="R108" i="11"/>
  <c r="R142" i="11"/>
  <c r="R20" i="11"/>
  <c r="R207" i="11"/>
  <c r="R84" i="11"/>
  <c r="R90" i="11"/>
  <c r="R143" i="11"/>
  <c r="R119" i="11"/>
  <c r="R63" i="11"/>
  <c r="R159" i="11"/>
  <c r="R71" i="11"/>
  <c r="R216" i="11"/>
  <c r="R57" i="11"/>
  <c r="R113" i="11"/>
  <c r="R212" i="11"/>
  <c r="AN34" i="41"/>
  <c r="AR35" i="41"/>
  <c r="AN37" i="41"/>
  <c r="AR37" i="41"/>
  <c r="AN36" i="41"/>
  <c r="AP32" i="41"/>
  <c r="AP39" i="41"/>
  <c r="AP43" i="41"/>
  <c r="AN43" i="41"/>
  <c r="AN45" i="41"/>
  <c r="AP35" i="41"/>
  <c r="AP37" i="41"/>
  <c r="AP41" i="41"/>
  <c r="AP45" i="41"/>
  <c r="D58" i="41"/>
  <c r="AN46" i="41"/>
  <c r="AP46" i="41"/>
  <c r="AP42" i="41"/>
  <c r="AN42" i="41"/>
  <c r="AR36" i="41"/>
  <c r="AR39" i="41"/>
  <c r="AN41" i="41"/>
  <c r="AL24" i="41"/>
  <c r="AN24" i="41"/>
  <c r="AN44" i="41"/>
  <c r="AP25" i="41"/>
  <c r="AN33" i="41"/>
  <c r="AP33" i="41"/>
  <c r="AR40" i="41"/>
  <c r="AR32" i="41"/>
  <c r="AN40" i="41"/>
  <c r="AP38" i="41"/>
  <c r="AN38" i="41"/>
  <c r="AR47" i="41"/>
  <c r="AR44" i="41"/>
  <c r="AP30" i="41"/>
  <c r="AN29" i="41"/>
  <c r="AP27" i="41"/>
  <c r="AP24" i="41"/>
  <c r="AR30" i="41"/>
  <c r="AL30" i="41"/>
  <c r="AN30" i="41"/>
  <c r="AR31" i="41"/>
  <c r="AL25" i="41"/>
  <c r="AN25" i="41"/>
  <c r="K5" i="24"/>
  <c r="AL21" i="41"/>
  <c r="AN21" i="41"/>
  <c r="AP21" i="41"/>
  <c r="AB6" i="41"/>
  <c r="AR28" i="41"/>
  <c r="AP26" i="41"/>
  <c r="AP23" i="41"/>
  <c r="AL23" i="41"/>
  <c r="AN23" i="41"/>
  <c r="AR29" i="41"/>
  <c r="AN27" i="41"/>
  <c r="R6" i="41"/>
  <c r="AL22" i="41"/>
  <c r="AN22" i="41"/>
  <c r="AP22" i="41"/>
  <c r="AP34" i="41"/>
  <c r="AR26" i="41"/>
  <c r="AL26" i="41"/>
  <c r="AN26" i="41"/>
  <c r="AN31" i="41"/>
  <c r="AP29" i="41"/>
  <c r="AR27" i="41"/>
  <c r="AP47" i="41"/>
  <c r="AP48" i="41"/>
  <c r="AP49" i="41"/>
  <c r="AN47" i="41"/>
  <c r="AN48" i="41"/>
  <c r="AN49" i="41"/>
  <c r="AK51" i="41"/>
  <c r="AN51" i="41"/>
  <c r="AP51" i="41"/>
  <c r="AH55" i="41"/>
</calcChain>
</file>

<file path=xl/comments1.xml><?xml version="1.0" encoding="utf-8"?>
<comments xmlns="http://schemas.openxmlformats.org/spreadsheetml/2006/main">
  <authors>
    <author>Denis RAFFAULT</author>
  </authors>
  <commentList>
    <comment ref="U4" authorId="0">
      <text>
        <r>
          <rPr>
            <b/>
            <sz val="9"/>
            <color indexed="81"/>
            <rFont val="Tahoma"/>
            <family val="2"/>
          </rPr>
          <t>Enregistre la facture dans l'onglet "Factures". Si une facture existe déjà avec le même numéro de facture, les informations de l'ancienne facture sont écrasées.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Date de la facture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Fixe la date de la facture à aujourd'hui</t>
        </r>
      </text>
    </comment>
    <comment ref="N5" authorId="0">
      <text>
        <r>
          <rPr>
            <b/>
            <sz val="9"/>
            <color indexed="81"/>
            <rFont val="Tahoma"/>
            <family val="2"/>
          </rPr>
          <t>Efface le contenu du panier</t>
        </r>
      </text>
    </comment>
    <comment ref="O5" authorId="0">
      <text>
        <r>
          <rPr>
            <b/>
            <sz val="9"/>
            <color indexed="81"/>
            <rFont val="Tahoma"/>
            <family val="2"/>
          </rPr>
          <t>Remplit le panier avec la précédente facture</t>
        </r>
      </text>
    </comment>
    <comment ref="Y5" authorId="0">
      <text>
        <r>
          <rPr>
            <b/>
            <sz val="9"/>
            <color indexed="81"/>
            <rFont val="Tahoma"/>
            <family val="2"/>
          </rPr>
          <t>Efface le panier et ajoute les produits dans le panier</t>
        </r>
      </text>
    </comment>
    <comment ref="Z5" authorId="0">
      <text>
        <r>
          <rPr>
            <b/>
            <sz val="9"/>
            <color indexed="81"/>
            <rFont val="Tahoma"/>
            <family val="2"/>
          </rPr>
          <t>Ajoute les produits dans le panier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5" authorId="0">
      <text>
        <r>
          <rPr>
            <b/>
            <sz val="9"/>
            <color indexed="81"/>
            <rFont val="Tahoma"/>
            <family val="2"/>
          </rPr>
          <t>Efface les quantités ci-dessous</t>
        </r>
      </text>
    </comment>
    <comment ref="C6" authorId="0">
      <text>
        <r>
          <rPr>
            <b/>
            <sz val="9"/>
            <color indexed="81"/>
            <rFont val="Tahoma"/>
            <family val="2"/>
          </rPr>
          <t>Numéro de la facture</t>
        </r>
      </text>
    </comment>
    <comment ref="H6" authorId="0">
      <text>
        <r>
          <rPr>
            <b/>
            <sz val="9"/>
            <color indexed="81"/>
            <rFont val="Tahoma"/>
            <family val="2"/>
          </rPr>
          <t>Calcul un numéro de facture non encore utilisé.</t>
        </r>
      </text>
    </comment>
    <comment ref="U6" authorId="0">
      <text>
        <r>
          <rPr>
            <b/>
            <sz val="9"/>
            <color indexed="81"/>
            <rFont val="Tahoma"/>
            <family val="2"/>
          </rPr>
          <t>Exporte la facture en PDF et enregistre le fichier dans le dossier des factures client.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Date d'échéance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Saisir un nom de produit ou de service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Catégorie du produit (non utilisé dans la facture)</t>
        </r>
      </text>
    </comment>
    <comment ref="N7" authorId="0">
      <text>
        <r>
          <rPr>
            <b/>
            <sz val="9"/>
            <color indexed="81"/>
            <rFont val="Tahoma"/>
            <family val="2"/>
          </rPr>
          <t>Saisir la quantité</t>
        </r>
      </text>
    </comment>
    <comment ref="O7" authorId="0">
      <text>
        <r>
          <rPr>
            <b/>
            <sz val="9"/>
            <color indexed="81"/>
            <rFont val="Tahoma"/>
            <family val="2"/>
          </rPr>
          <t>Saisir le P.U. TTC</t>
        </r>
      </text>
    </comment>
    <comment ref="P7" authorId="0">
      <text>
        <r>
          <rPr>
            <b/>
            <sz val="9"/>
            <color indexed="81"/>
            <rFont val="Tahoma"/>
            <family val="2"/>
          </rPr>
          <t>Saisir optionnellement un P.U. HT à la place du P.U. TTC</t>
        </r>
      </text>
    </comment>
    <comment ref="Q7" authorId="0">
      <text>
        <r>
          <rPr>
            <b/>
            <sz val="9"/>
            <color indexed="81"/>
            <rFont val="Tahoma"/>
            <family val="2"/>
          </rPr>
          <t>Saisir optionnellement une TVA si différente de 5.5%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7" authorId="0">
      <text>
        <r>
          <rPr>
            <b/>
            <sz val="9"/>
            <color indexed="81"/>
            <rFont val="Tahoma"/>
            <family val="2"/>
          </rPr>
          <t xml:space="preserve">Montant TTC calculé automatiquement (Ne pas modifier)
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Escompte à appliquer à la facture</t>
        </r>
      </text>
    </comment>
    <comment ref="C12" authorId="0">
      <text>
        <r>
          <rPr>
            <b/>
            <sz val="9"/>
            <color indexed="81"/>
            <rFont val="Tahoma"/>
            <family val="2"/>
          </rPr>
          <t>Choisir la boulangerie</t>
        </r>
      </text>
    </comment>
    <comment ref="C24" authorId="0">
      <text>
        <r>
          <rPr>
            <b/>
            <sz val="9"/>
            <color indexed="81"/>
            <rFont val="Tahoma"/>
            <family val="2"/>
          </rPr>
          <t>Choisir le client. S'il n'apparait pas dans la liste, il faut l'ajouter à la liste des contacts dans l'onglet "Contacts"</t>
        </r>
      </text>
    </comment>
    <comment ref="C43" authorId="0">
      <text>
        <r>
          <rPr>
            <b/>
            <sz val="9"/>
            <color indexed="81"/>
            <rFont val="Tahoma"/>
            <family val="2"/>
          </rPr>
          <t>Liste de produits sous forme d'abbrévations. Exemple : 10t+3c+4pc</t>
        </r>
      </text>
    </comment>
    <comment ref="H43" authorId="0">
      <text>
        <r>
          <rPr>
            <b/>
            <sz val="9"/>
            <color indexed="81"/>
            <rFont val="Tahoma"/>
            <family val="2"/>
          </rPr>
          <t>Efface le panier et 
ajoute ces produits au panier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8" authorId="0">
      <text>
        <r>
          <rPr>
            <b/>
            <sz val="9"/>
            <color indexed="81"/>
            <rFont val="Tahoma"/>
            <family val="2"/>
          </rPr>
          <t>Analyse de la liste de produits avec abbrévations. Ne pas modifier.</t>
        </r>
      </text>
    </comment>
  </commentList>
</comments>
</file>

<file path=xl/comments2.xml><?xml version="1.0" encoding="utf-8"?>
<comments xmlns="http://schemas.openxmlformats.org/spreadsheetml/2006/main">
  <authors>
    <author>Auteur</author>
  </authors>
  <commentList>
    <comment ref="R1" authorId="0">
      <text>
        <r>
          <rPr>
            <b/>
            <sz val="9"/>
            <color indexed="81"/>
            <rFont val="Tahoma"/>
            <family val="2"/>
          </rPr>
          <t>Auteur:</t>
        </r>
        <r>
          <rPr>
            <sz val="9"/>
            <color indexed="81"/>
            <rFont val="Tahoma"/>
            <family val="2"/>
          </rPr>
          <t xml:space="preserve">
Chèque : no chèque/CB/Transfert
</t>
        </r>
      </text>
    </comment>
  </commentList>
</comments>
</file>

<file path=xl/comments3.xml><?xml version="1.0" encoding="utf-8"?>
<comments xmlns="http://schemas.openxmlformats.org/spreadsheetml/2006/main">
  <authors>
    <author>Auteur</author>
  </authors>
  <commentList>
    <comment ref="I1" authorId="0">
      <text>
        <r>
          <rPr>
            <b/>
            <sz val="9"/>
            <color indexed="81"/>
            <rFont val="Tahoma"/>
            <family val="2"/>
          </rPr>
          <t>Auteur:</t>
        </r>
        <r>
          <rPr>
            <sz val="9"/>
            <color indexed="81"/>
            <rFont val="Tahoma"/>
            <family val="2"/>
          </rPr>
          <t xml:space="preserve">
Chèque : no chèque/CB/Transfert
</t>
        </r>
      </text>
    </comment>
  </commentList>
</comments>
</file>

<file path=xl/comments4.xml><?xml version="1.0" encoding="utf-8"?>
<comments xmlns="http://schemas.openxmlformats.org/spreadsheetml/2006/main">
  <authors>
    <author>Auteur</author>
  </authors>
  <commentList>
    <comment ref="P1" authorId="0">
      <text>
        <r>
          <rPr>
            <b/>
            <sz val="9"/>
            <color indexed="81"/>
            <rFont val="Tahoma"/>
            <family val="2"/>
          </rPr>
          <t>Auteur:</t>
        </r>
        <r>
          <rPr>
            <sz val="9"/>
            <color indexed="81"/>
            <rFont val="Tahoma"/>
            <family val="2"/>
          </rPr>
          <t xml:space="preserve">
Chèque : no chèque/CB/Transfert
</t>
        </r>
      </text>
    </comment>
  </commentList>
</comments>
</file>

<file path=xl/comments5.xml><?xml version="1.0" encoding="utf-8"?>
<comments xmlns="http://schemas.openxmlformats.org/spreadsheetml/2006/main">
  <authors>
    <author>Denis RAFFAULT</author>
  </authors>
  <commentList>
    <comment ref="B1" authorId="0">
      <text>
        <r>
          <rPr>
            <b/>
            <sz val="9"/>
            <color indexed="81"/>
            <rFont val="Tahoma"/>
            <family val="2"/>
          </rPr>
          <t>Denis RAFFAULT:</t>
        </r>
        <r>
          <rPr>
            <sz val="9"/>
            <color indexed="81"/>
            <rFont val="Tahoma"/>
            <family val="2"/>
          </rPr>
          <t xml:space="preserve">
Nommer la cellule avec le nom du paramètre pour le récupérer en VBA</t>
        </r>
      </text>
    </comment>
  </commentList>
</comments>
</file>

<file path=xl/sharedStrings.xml><?xml version="1.0" encoding="utf-8"?>
<sst xmlns="http://schemas.openxmlformats.org/spreadsheetml/2006/main" count="10454" uniqueCount="3464">
  <si>
    <t>Gâteaux de Voyage</t>
  </si>
  <si>
    <t>GDV</t>
  </si>
  <si>
    <t>Financier</t>
  </si>
  <si>
    <t>Muffin</t>
  </si>
  <si>
    <t>Viennois Chocolat</t>
  </si>
  <si>
    <t>Amandine</t>
  </si>
  <si>
    <t>Clafoutis</t>
  </si>
  <si>
    <t>Verrines</t>
  </si>
  <si>
    <t>Yaourt Petit</t>
  </si>
  <si>
    <t>Yaourt Grand</t>
  </si>
  <si>
    <t>Menu Galette</t>
  </si>
  <si>
    <t>Mini Financier 150g</t>
  </si>
  <si>
    <t>Mini Financier 300g</t>
  </si>
  <si>
    <t>Galette Double</t>
  </si>
  <si>
    <t>Galette Simple</t>
  </si>
  <si>
    <t>Galette Nature</t>
  </si>
  <si>
    <t>Entrants sortants</t>
  </si>
  <si>
    <t>Tradition</t>
  </si>
  <si>
    <t>La Ficelle Aromatique</t>
  </si>
  <si>
    <t>La Demi-Tradition</t>
  </si>
  <si>
    <t>La Demi-Graines, Sésames ou Pavot</t>
  </si>
  <si>
    <t>Demi-Graines Sésames Pavot</t>
  </si>
  <si>
    <t>Belle Arôme</t>
  </si>
  <si>
    <t>Tradition aux Graines</t>
  </si>
  <si>
    <t>Tradition Sésame Pavot</t>
  </si>
  <si>
    <t xml:space="preserve">Baguette </t>
  </si>
  <si>
    <t>Galette Complète</t>
  </si>
  <si>
    <t>Yaourt Petit Nature</t>
  </si>
  <si>
    <t>Yaourt Petit Myrtille</t>
  </si>
  <si>
    <t>Yaourt Petit Vanille</t>
  </si>
  <si>
    <t>Yaourt Petit Abricot</t>
  </si>
  <si>
    <t>Salade Poulet</t>
  </si>
  <si>
    <t>Salade Saumon</t>
  </si>
  <si>
    <t>Salade Roquefort</t>
  </si>
  <si>
    <t>Salade Magret</t>
  </si>
  <si>
    <t>Salade Magret de Canard</t>
  </si>
  <si>
    <t>Entrants</t>
  </si>
  <si>
    <t>Dossier des documents divers</t>
  </si>
  <si>
    <t>Salade</t>
  </si>
  <si>
    <t>SDW</t>
  </si>
  <si>
    <t>SLD</t>
  </si>
  <si>
    <t>TRT</t>
  </si>
  <si>
    <t>Tarte</t>
  </si>
  <si>
    <t>2,30 €</t>
  </si>
  <si>
    <t>1,50 €</t>
  </si>
  <si>
    <t>2,80 €</t>
  </si>
  <si>
    <t>4,50 €</t>
  </si>
  <si>
    <t>5,00 €</t>
  </si>
  <si>
    <t>5,50 €</t>
  </si>
  <si>
    <t>FLJ Distribution</t>
    <phoneticPr fontId="22" type="noConversion"/>
  </si>
  <si>
    <t>LOL</t>
    <phoneticPr fontId="22" type="noConversion"/>
  </si>
  <si>
    <t>VAL DE SEINE</t>
    <phoneticPr fontId="22" type="noConversion"/>
  </si>
  <si>
    <t>TRANSGOURMET</t>
    <phoneticPr fontId="22" type="noConversion"/>
  </si>
  <si>
    <t>PACKDIS</t>
    <phoneticPr fontId="22" type="noConversion"/>
  </si>
  <si>
    <t>MAR</t>
    <phoneticPr fontId="22" type="noConversion"/>
  </si>
  <si>
    <t xml:space="preserve">Grand moulins </t>
    <phoneticPr fontId="22" type="noConversion"/>
  </si>
  <si>
    <t>EMB Service</t>
    <phoneticPr fontId="22" type="noConversion"/>
  </si>
  <si>
    <t>Montant net HT</t>
  </si>
  <si>
    <t>Montant TVA</t>
  </si>
  <si>
    <t>Net à payer</t>
  </si>
  <si>
    <t>A joindre à votre règlement</t>
  </si>
  <si>
    <t>PARIS</t>
  </si>
  <si>
    <t>Tél.</t>
  </si>
  <si>
    <t>No Facture</t>
  </si>
  <si>
    <t>Total TTC</t>
  </si>
  <si>
    <t>Facturé le</t>
  </si>
  <si>
    <t>wifiboulangeries, 192.168.0.68</t>
  </si>
  <si>
    <t>BRANDECISION</t>
    <phoneticPr fontId="6" type="noConversion"/>
  </si>
  <si>
    <t>FLJ Distribution</t>
    <phoneticPr fontId="6" type="noConversion"/>
  </si>
  <si>
    <t>MONEL</t>
    <phoneticPr fontId="6" type="noConversion"/>
  </si>
  <si>
    <t>VAL DE SEINE</t>
    <phoneticPr fontId="6" type="noConversion"/>
  </si>
  <si>
    <t>MAR</t>
    <phoneticPr fontId="6" type="noConversion"/>
  </si>
  <si>
    <t>LOL</t>
    <phoneticPr fontId="6" type="noConversion"/>
  </si>
  <si>
    <t>TRANSGOURMET</t>
    <phoneticPr fontId="6" type="noConversion"/>
  </si>
  <si>
    <t>LOSTE TRADY</t>
    <phoneticPr fontId="6" type="noConversion"/>
  </si>
  <si>
    <t>возврат -569,14 (-33,42)</t>
    <phoneticPr fontId="6" type="noConversion"/>
  </si>
  <si>
    <t>возврат -48,21(-2,51)</t>
    <phoneticPr fontId="6" type="noConversion"/>
  </si>
  <si>
    <t>3350907969 возврат-72,69(3,79)</t>
    <phoneticPr fontId="6" type="noConversion"/>
  </si>
  <si>
    <t>Moulins de Cherisy</t>
    <phoneticPr fontId="6" type="noConversion"/>
  </si>
  <si>
    <t xml:space="preserve">Grand moulins </t>
    <phoneticPr fontId="6" type="noConversion"/>
  </si>
  <si>
    <t>Date :</t>
  </si>
  <si>
    <t>Vendus</t>
  </si>
  <si>
    <t>Restants</t>
  </si>
  <si>
    <t>Liste Catégories</t>
  </si>
  <si>
    <t>DossierDocuments</t>
  </si>
  <si>
    <t>\Documents</t>
  </si>
  <si>
    <t>Sélectionner la catégorie :</t>
  </si>
  <si>
    <t>Caisse</t>
  </si>
  <si>
    <t>Ficelle Aromatique</t>
  </si>
  <si>
    <t>Petits Pains Aromatisés</t>
  </si>
  <si>
    <t>Demi-Tradition</t>
  </si>
  <si>
    <t>TCD fournisseurs</t>
  </si>
  <si>
    <t>Dropbox</t>
  </si>
  <si>
    <t>Gmail</t>
  </si>
  <si>
    <t>boulangeries.paris@gmail.com/svetlanaXX</t>
  </si>
  <si>
    <t>Produits</t>
  </si>
  <si>
    <t>Excel - Produits</t>
  </si>
  <si>
    <t>Couleurs, ordre</t>
  </si>
  <si>
    <t>Valeur</t>
  </si>
  <si>
    <t>DossierCommandesClients</t>
  </si>
  <si>
    <t>DossierFacturesClients</t>
  </si>
  <si>
    <t>NomFichierCommandeClient</t>
  </si>
  <si>
    <t>NomFichierFactureClient</t>
  </si>
  <si>
    <t>NomFichierProduits</t>
  </si>
  <si>
    <t>Nom des fichiers PDF des factures clients</t>
  </si>
  <si>
    <t>Dossier des fichiers PDF des factures clients</t>
  </si>
  <si>
    <t>Nom des fichiers PDF des commandes clients</t>
  </si>
  <si>
    <t>Dossier des fichiers PDF des commandes clients</t>
  </si>
  <si>
    <t>Exemple format</t>
  </si>
  <si>
    <t>Nom du fichier PDF des produits</t>
  </si>
  <si>
    <t>Groupe</t>
  </si>
  <si>
    <t>No Famille</t>
  </si>
  <si>
    <t>Crêpe Nature</t>
  </si>
  <si>
    <t>Crêpe Sucre</t>
  </si>
  <si>
    <t>Crêpe Nutella</t>
  </si>
  <si>
    <t>Crêpe Confiture</t>
  </si>
  <si>
    <t>Crêpe Miel</t>
  </si>
  <si>
    <t>No groupe</t>
  </si>
  <si>
    <t>Crêperie</t>
  </si>
  <si>
    <t>Code groupe</t>
  </si>
  <si>
    <t>Code famille</t>
  </si>
  <si>
    <t>PAI</t>
  </si>
  <si>
    <t>BAG</t>
  </si>
  <si>
    <t>PPN</t>
  </si>
  <si>
    <t>DIV</t>
  </si>
  <si>
    <t>VIE</t>
  </si>
  <si>
    <t>PAT</t>
  </si>
  <si>
    <t>GAT</t>
  </si>
  <si>
    <t>PLA</t>
  </si>
  <si>
    <t>BOI</t>
  </si>
  <si>
    <t>MEN</t>
  </si>
  <si>
    <t>CRE</t>
  </si>
  <si>
    <t>TRA</t>
  </si>
  <si>
    <t>BOU</t>
  </si>
  <si>
    <t>Onglets</t>
  </si>
  <si>
    <t>Paramètres</t>
  </si>
  <si>
    <t>Exporter produis PDF</t>
  </si>
  <si>
    <t>La Baguette Margot</t>
  </si>
  <si>
    <t>France</t>
  </si>
  <si>
    <t>FACTURE</t>
  </si>
  <si>
    <t>Client</t>
  </si>
  <si>
    <t>Prix unitaire</t>
  </si>
  <si>
    <t>boulangeries.paris@gmail.com</t>
  </si>
  <si>
    <t>0,95 €</t>
  </si>
  <si>
    <t>Société</t>
  </si>
  <si>
    <t>Adresse 1</t>
  </si>
  <si>
    <t>Adresse 2</t>
  </si>
  <si>
    <t>Pays</t>
  </si>
  <si>
    <t>Internet</t>
  </si>
  <si>
    <t>Cedex</t>
  </si>
  <si>
    <t>Compte</t>
  </si>
  <si>
    <t>\Documents Clients\Commandes</t>
  </si>
  <si>
    <t>\Documents Clients\Factures</t>
  </si>
  <si>
    <t>Mr</t>
  </si>
  <si>
    <t>DUPONT</t>
  </si>
  <si>
    <t>Contacts</t>
  </si>
  <si>
    <t>Office + outils</t>
  </si>
  <si>
    <t>Créé. TODO : Importer fichiers</t>
  </si>
  <si>
    <t>Facturé à</t>
  </si>
  <si>
    <t>Commande</t>
  </si>
  <si>
    <t>Denis RAFFAULT</t>
  </si>
  <si>
    <t>SURESNES</t>
  </si>
  <si>
    <t>06.79.60.05.87</t>
  </si>
  <si>
    <t>Courchevel 4 pers</t>
  </si>
  <si>
    <t>Courchevel 6 pers</t>
  </si>
  <si>
    <t>Fraisier 4 pers</t>
  </si>
  <si>
    <t>Fraisier 6 pers</t>
  </si>
  <si>
    <t>Richelieu 4 pers</t>
  </si>
  <si>
    <t>Richelieu 6 pers</t>
  </si>
  <si>
    <t>Saint-Honoré 6 pers</t>
  </si>
  <si>
    <t>Prix formate</t>
  </si>
  <si>
    <t>Prix kg</t>
  </si>
  <si>
    <t>Réf</t>
  </si>
  <si>
    <t>20151109-1721</t>
  </si>
  <si>
    <t>Référence</t>
  </si>
  <si>
    <t>Téléphone</t>
  </si>
  <si>
    <t>Date livraison</t>
  </si>
  <si>
    <t>20151109-1801</t>
  </si>
  <si>
    <t>20151109-1802</t>
  </si>
  <si>
    <t>Facture</t>
  </si>
  <si>
    <t>Montant TTC</t>
    <phoneticPr fontId="6" type="noConversion"/>
  </si>
  <si>
    <t>Total général</t>
  </si>
  <si>
    <t>BRANDECISION</t>
  </si>
  <si>
    <t>MONEL</t>
  </si>
  <si>
    <t>VAL DE SEINE</t>
  </si>
  <si>
    <t>LOSTE TRADY</t>
  </si>
  <si>
    <t>TRANSGOURMET</t>
  </si>
  <si>
    <t>Moulins de Cherisy</t>
  </si>
  <si>
    <t xml:space="preserve">Grand moulins </t>
  </si>
  <si>
    <t>Somme de Montant TTC</t>
  </si>
  <si>
    <t>Salade Fraîcheur</t>
  </si>
  <si>
    <t>Plat</t>
  </si>
  <si>
    <t>Panini</t>
  </si>
  <si>
    <t>Taboulé</t>
  </si>
  <si>
    <t>Croissant au Jambon</t>
  </si>
  <si>
    <t>Croque Monsieur</t>
  </si>
  <si>
    <t>Plat du Jour</t>
  </si>
  <si>
    <t>Nom court</t>
  </si>
  <si>
    <t>Quiche Individuelle</t>
  </si>
  <si>
    <t>Pizza</t>
  </si>
  <si>
    <t>Bagnat Poulet, Thon ou Jambon</t>
  </si>
  <si>
    <t>Tarte fine</t>
  </si>
  <si>
    <t>Religieuse Choco/Café</t>
  </si>
  <si>
    <t>Eclair Choco/Café</t>
  </si>
  <si>
    <t>Tarte Fruits Rouges 4pers</t>
  </si>
  <si>
    <t>Tarte Fruits Rouges 6pers</t>
  </si>
  <si>
    <t>Tarte Fruits Rouges Crumble</t>
  </si>
  <si>
    <t>Pain Chocolat Amandes</t>
  </si>
  <si>
    <t>Bouton caisse</t>
  </si>
  <si>
    <t>Achat PC</t>
  </si>
  <si>
    <t>Wifi extender</t>
  </si>
  <si>
    <t>A faire</t>
  </si>
  <si>
    <t>Idée</t>
  </si>
  <si>
    <t>WIFI pour clients ?</t>
  </si>
  <si>
    <t>Info</t>
  </si>
  <si>
    <t>MAJ Caisses</t>
  </si>
  <si>
    <t>Etiquettes</t>
  </si>
  <si>
    <t>Deco</t>
  </si>
  <si>
    <t>Peinture du jaune</t>
  </si>
  <si>
    <t>Photos</t>
  </si>
  <si>
    <t>Accessoires</t>
  </si>
  <si>
    <t>Eclairage</t>
  </si>
  <si>
    <t>Disposition</t>
  </si>
  <si>
    <t>Générer Commandes/Facture</t>
  </si>
  <si>
    <t>Etat</t>
  </si>
  <si>
    <t>Regarder sur internet</t>
  </si>
  <si>
    <t>Couleurs, modèle, tests, imprimer</t>
  </si>
  <si>
    <t>Exporter excel produits, import sur clé usb</t>
  </si>
  <si>
    <t>Tartelette Chocolat</t>
  </si>
  <si>
    <t>Tarte Automne</t>
  </si>
  <si>
    <t>Courchevel</t>
  </si>
  <si>
    <t>Religieuse Chocolat</t>
  </si>
  <si>
    <t>Tartelette Citron Meringuée</t>
  </si>
  <si>
    <t>Millefeuille</t>
  </si>
  <si>
    <t>Duchesse</t>
  </si>
  <si>
    <t>Amandine Poire</t>
  </si>
  <si>
    <t>Noisetier</t>
  </si>
  <si>
    <t>Eclair Spéculoos</t>
  </si>
  <si>
    <t>Le Pain Maïs</t>
  </si>
  <si>
    <t>Le Pain Bûcheron</t>
  </si>
  <si>
    <t>La Tradition aux Graines</t>
  </si>
  <si>
    <t>Le Pain de Mie</t>
  </si>
  <si>
    <t>Le Pain Gâche</t>
  </si>
  <si>
    <t>Le Pain Tartine</t>
  </si>
  <si>
    <t>Le Pain de Seigle</t>
  </si>
  <si>
    <t>Le Pain Fruitier</t>
  </si>
  <si>
    <t>Le Moilleux aux Noix</t>
  </si>
  <si>
    <t>Le Pain de Campagne</t>
  </si>
  <si>
    <t>La Tradition</t>
  </si>
  <si>
    <t>Menu Express</t>
  </si>
  <si>
    <t>Menu</t>
  </si>
  <si>
    <t>Menu Chef</t>
  </si>
  <si>
    <t>Menu Lévis</t>
  </si>
  <si>
    <t>Menu Fraîcheur</t>
  </si>
  <si>
    <t>Café Expresso</t>
  </si>
  <si>
    <t>Café Long</t>
  </si>
  <si>
    <t>Café au Lait</t>
  </si>
  <si>
    <t>Thé</t>
  </si>
  <si>
    <t>Canette</t>
  </si>
  <si>
    <t>Zenat</t>
  </si>
  <si>
    <t>Pago</t>
  </si>
  <si>
    <t>Badoit</t>
  </si>
  <si>
    <t>Cristaline</t>
  </si>
  <si>
    <t>Confiture</t>
  </si>
  <si>
    <t>Eclair Caramel Beurre Salé</t>
  </si>
  <si>
    <t>Tarte fine Pommes</t>
  </si>
  <si>
    <t>Tarte fine Abricots</t>
  </si>
  <si>
    <t>Tarte fine Poires</t>
  </si>
  <si>
    <t>Tarte fine Mirabelles</t>
  </si>
  <si>
    <t>Paris-Brest</t>
  </si>
  <si>
    <t>Etiquette 1</t>
  </si>
  <si>
    <t>Etiquette 2</t>
  </si>
  <si>
    <t>Saint-Honoré</t>
  </si>
  <si>
    <t>Petit</t>
  </si>
  <si>
    <t>Pain</t>
  </si>
  <si>
    <t>Viennoiserie</t>
  </si>
  <si>
    <t>Traiteur</t>
  </si>
  <si>
    <t>Email</t>
  </si>
  <si>
    <t>Civilité</t>
  </si>
  <si>
    <t>Etiquette Prix</t>
  </si>
  <si>
    <t>par pièce</t>
  </si>
  <si>
    <t>la tranche</t>
  </si>
  <si>
    <t>Gateau</t>
  </si>
  <si>
    <t>Pain aux Raisins</t>
  </si>
  <si>
    <t>Croissant Ordinaire</t>
  </si>
  <si>
    <t>Croissant aux Amandes</t>
  </si>
  <si>
    <t>Pain au Chocolat</t>
  </si>
  <si>
    <t>Pain au Chocolat aux Amandes</t>
  </si>
  <si>
    <t>Chausson aux Pommes</t>
  </si>
  <si>
    <t>Viennoise Nature</t>
  </si>
  <si>
    <t>Brioche Aromatisée</t>
  </si>
  <si>
    <t>Mini Viennoiserie</t>
  </si>
  <si>
    <t>Viennois au Chocolat</t>
  </si>
  <si>
    <t>Brioche Parisienne</t>
  </si>
  <si>
    <t>Brioche Suisse</t>
  </si>
  <si>
    <t>Mini Beignet</t>
  </si>
  <si>
    <t>Barre Energétique</t>
  </si>
  <si>
    <t>Financier Framboise</t>
  </si>
  <si>
    <t>Financier Pistache</t>
  </si>
  <si>
    <t>Financier Chocolat</t>
  </si>
  <si>
    <t>Petits Pains Maïs-Chocolat</t>
  </si>
  <si>
    <t>Couleur</t>
  </si>
  <si>
    <t>Ordre</t>
  </si>
  <si>
    <t>Baguette</t>
  </si>
  <si>
    <t>Le Moelleux aux Graines</t>
  </si>
  <si>
    <t>Petit Pain</t>
  </si>
  <si>
    <t>Divers</t>
  </si>
  <si>
    <t>Boisson</t>
  </si>
  <si>
    <t>4 pers</t>
  </si>
  <si>
    <t>6 pers</t>
  </si>
  <si>
    <t>Ficelle</t>
  </si>
  <si>
    <t>Double Tradition</t>
  </si>
  <si>
    <t>Pain Bûcheron</t>
  </si>
  <si>
    <t>Pain de Campagne</t>
  </si>
  <si>
    <t>Pain de Mie</t>
  </si>
  <si>
    <t>Pain de Seigle</t>
  </si>
  <si>
    <t>Pain Fruitier</t>
  </si>
  <si>
    <t>Pain Gâche</t>
  </si>
  <si>
    <t>Pain Maïs</t>
  </si>
  <si>
    <t>Pain Tartine</t>
  </si>
  <si>
    <t>Moelleux Graines</t>
  </si>
  <si>
    <t>Nom</t>
  </si>
  <si>
    <t>Adresse</t>
  </si>
  <si>
    <t>CP</t>
  </si>
  <si>
    <t>Ville</t>
  </si>
  <si>
    <t>Tél1</t>
  </si>
  <si>
    <t>Tél2</t>
  </si>
  <si>
    <t>Ref</t>
  </si>
  <si>
    <t>Fax</t>
  </si>
  <si>
    <t>Prénom</t>
  </si>
  <si>
    <t>Fonction</t>
  </si>
  <si>
    <t>Boulangerie</t>
  </si>
  <si>
    <t>Date</t>
  </si>
  <si>
    <t>Fournisseur</t>
  </si>
  <si>
    <t>Commentaire</t>
  </si>
  <si>
    <t>Catégorie</t>
  </si>
  <si>
    <t>Priorité</t>
  </si>
  <si>
    <t>Description</t>
  </si>
  <si>
    <t>Notes</t>
  </si>
  <si>
    <t>Employé</t>
  </si>
  <si>
    <t>Type</t>
  </si>
  <si>
    <t>Note</t>
  </si>
  <si>
    <t>Salaire</t>
  </si>
  <si>
    <t>Prix</t>
  </si>
  <si>
    <t>Quantité</t>
  </si>
  <si>
    <t>Heure arrivée</t>
  </si>
  <si>
    <t>Heure départ</t>
  </si>
  <si>
    <t>Date début</t>
  </si>
  <si>
    <t>Date fin</t>
  </si>
  <si>
    <t>Nb jours</t>
  </si>
  <si>
    <t>CA</t>
  </si>
  <si>
    <t>Fichier de gestion des boulangeries</t>
  </si>
  <si>
    <t>Relevé par</t>
  </si>
  <si>
    <t>S01</t>
  </si>
  <si>
    <t>S02</t>
  </si>
  <si>
    <t>Planning</t>
  </si>
  <si>
    <t>Lundi</t>
  </si>
  <si>
    <t>Mardi</t>
  </si>
  <si>
    <t>Mercredi</t>
  </si>
  <si>
    <t>Jeudi</t>
  </si>
  <si>
    <t>Vendredi</t>
  </si>
  <si>
    <t>Samedi</t>
  </si>
  <si>
    <t>Dimanche</t>
  </si>
  <si>
    <t>Alysse</t>
  </si>
  <si>
    <t>Tânia</t>
  </si>
  <si>
    <t>Isaura</t>
  </si>
  <si>
    <t>Isabelle</t>
  </si>
  <si>
    <t>Alexandre</t>
  </si>
  <si>
    <t>No facture</t>
  </si>
  <si>
    <t>Montant TTC</t>
  </si>
  <si>
    <t>TVA</t>
  </si>
  <si>
    <t>Montant HT</t>
  </si>
  <si>
    <t>FLJ Distribution</t>
  </si>
  <si>
    <t>MAR</t>
  </si>
  <si>
    <t>Solde cumulé</t>
  </si>
  <si>
    <t>Moyen</t>
  </si>
  <si>
    <t>Date paiement</t>
  </si>
  <si>
    <t>Montant Payé</t>
  </si>
  <si>
    <t>LOL</t>
  </si>
  <si>
    <t>S03</t>
  </si>
  <si>
    <t>Patisserie</t>
  </si>
  <si>
    <t>Vente</t>
  </si>
  <si>
    <t>Omar</t>
  </si>
  <si>
    <t>Jassem</t>
  </si>
  <si>
    <t>Aurore</t>
  </si>
  <si>
    <t>Vinou</t>
  </si>
  <si>
    <t>Produit</t>
  </si>
  <si>
    <t>Croissant</t>
  </si>
  <si>
    <t>Chouquettes</t>
  </si>
  <si>
    <t>Caramel ou Nougat</t>
  </si>
  <si>
    <t>Muffin Chocolat</t>
  </si>
  <si>
    <t>Muffin Caramel</t>
  </si>
  <si>
    <t>Muffin Myrtille</t>
  </si>
  <si>
    <t>Pâté en Croûte</t>
  </si>
  <si>
    <t>Fondant Chocolat</t>
  </si>
  <si>
    <t>Brownie</t>
  </si>
  <si>
    <t>Palmier</t>
  </si>
  <si>
    <t>Cannelé</t>
  </si>
  <si>
    <t>Cake</t>
  </si>
  <si>
    <t>Cookie</t>
  </si>
  <si>
    <t>Format</t>
  </si>
  <si>
    <t>Champagne</t>
  </si>
  <si>
    <t>La Belle Arôme</t>
  </si>
  <si>
    <t>Poids</t>
  </si>
  <si>
    <t>La Baguette</t>
  </si>
  <si>
    <t>La Ficelle</t>
  </si>
  <si>
    <t>La Tradition Sésame ou Pavot</t>
  </si>
  <si>
    <t>La Double Tradition</t>
  </si>
  <si>
    <t>Les Petits Pains Nature</t>
  </si>
  <si>
    <t>Famille</t>
  </si>
  <si>
    <t>Sous famille</t>
  </si>
  <si>
    <t>Religieuse Café</t>
  </si>
  <si>
    <t>Saint Honoré</t>
  </si>
  <si>
    <t>Baba au Rhum</t>
  </si>
  <si>
    <t>Flan Maison</t>
  </si>
  <si>
    <t>Tartelette Tatin</t>
  </si>
  <si>
    <t>Flans Spéciaux</t>
  </si>
  <si>
    <t>Richelieu</t>
  </si>
  <si>
    <t>Tarte Fruits Rouges et Crumble</t>
  </si>
  <si>
    <t>Emeraude</t>
  </si>
  <si>
    <t>Gianduneige</t>
  </si>
  <si>
    <t>Eclair Café</t>
  </si>
  <si>
    <t>Eclair Chocolat</t>
  </si>
  <si>
    <t>Fraisier</t>
  </si>
  <si>
    <t>PACKDIS</t>
  </si>
  <si>
    <t>EMB Service</t>
  </si>
  <si>
    <t>DossierDocumentsFournisseurs</t>
  </si>
  <si>
    <t>Dossier des documents fournisseurs</t>
  </si>
  <si>
    <t>\Documents Fournisseurs</t>
  </si>
  <si>
    <t>Statistiques factures fournisseurs</t>
  </si>
  <si>
    <t>DossierDocumentsFournisseursBilan</t>
  </si>
  <si>
    <t>\Documents Fournisseurs\Bilan</t>
  </si>
  <si>
    <t xml:space="preserve">Dossier des documents fournisseurs bilan </t>
  </si>
  <si>
    <t>1,15 €</t>
  </si>
  <si>
    <t>1,35 €</t>
  </si>
  <si>
    <t>0,65 €</t>
  </si>
  <si>
    <t>0,60 €</t>
  </si>
  <si>
    <t>0,70 €</t>
  </si>
  <si>
    <t>2,75 €</t>
  </si>
  <si>
    <t>2,60 €</t>
  </si>
  <si>
    <t>2,85 €</t>
  </si>
  <si>
    <t>1,60 €</t>
  </si>
  <si>
    <t>NomFichierStatsFacturesFournisseurs</t>
  </si>
  <si>
    <t>Stats Factures Fournisseurs</t>
  </si>
  <si>
    <t>Nom du fichier PDF des Stats Factures Fournisseurs</t>
  </si>
  <si>
    <t>1,05 €</t>
  </si>
  <si>
    <t>1,00 €</t>
  </si>
  <si>
    <t>1,45 €</t>
  </si>
  <si>
    <t>1,20 €</t>
  </si>
  <si>
    <t>1,40 €</t>
  </si>
  <si>
    <t>0,25 €</t>
  </si>
  <si>
    <t>0,55 €</t>
  </si>
  <si>
    <t>2,50 €</t>
  </si>
  <si>
    <t>4,00 €</t>
  </si>
  <si>
    <t>3,90 €</t>
  </si>
  <si>
    <t>2,00 €</t>
  </si>
  <si>
    <t>4,90 €</t>
  </si>
  <si>
    <t>8,90 €</t>
  </si>
  <si>
    <t>8,00 €</t>
  </si>
  <si>
    <t>2,40 €</t>
  </si>
  <si>
    <t>2,70 €</t>
  </si>
  <si>
    <t>3,00 €</t>
  </si>
  <si>
    <t>3,20 €</t>
  </si>
  <si>
    <t>16,00 €</t>
  </si>
  <si>
    <t>24,00 €</t>
  </si>
  <si>
    <t>19,00 €</t>
  </si>
  <si>
    <t>28,50 €</t>
  </si>
  <si>
    <t>20,00 €</t>
  </si>
  <si>
    <t>29,00 €</t>
  </si>
  <si>
    <t>3,10 €</t>
  </si>
  <si>
    <t>3,40 €</t>
  </si>
  <si>
    <t>3,50 €</t>
  </si>
  <si>
    <t>4,70 €</t>
  </si>
  <si>
    <t>1,70 €</t>
  </si>
  <si>
    <t>7,70 €</t>
  </si>
  <si>
    <t>5,90 €</t>
  </si>
  <si>
    <t>8,30 €</t>
  </si>
  <si>
    <t>9,20 €</t>
  </si>
  <si>
    <t>Fonctions</t>
  </si>
  <si>
    <t>BDC Client</t>
  </si>
  <si>
    <t>BL Client</t>
  </si>
  <si>
    <t>Factures Clients</t>
  </si>
  <si>
    <t>Formulaire Facture Client</t>
  </si>
  <si>
    <t>Factures Fournisseur</t>
  </si>
  <si>
    <t>TCD Factures Fournisseur</t>
  </si>
  <si>
    <t>32,00 €</t>
  </si>
  <si>
    <t>mar</t>
  </si>
  <si>
    <t>l/m/m</t>
  </si>
  <si>
    <t>j/v/s</t>
  </si>
  <si>
    <t>changer nom fichier</t>
  </si>
  <si>
    <t>ajouter boulangerie lol/mar</t>
  </si>
  <si>
    <t>lol :</t>
  </si>
  <si>
    <t>Dernière date saisie</t>
  </si>
  <si>
    <t>1T+3C+6PC</t>
  </si>
  <si>
    <t>Café des dames</t>
  </si>
  <si>
    <t>Autour du Saumon</t>
  </si>
  <si>
    <t>Brigitte</t>
  </si>
  <si>
    <t>Bistrot des Vignes</t>
  </si>
  <si>
    <t>Mad et Mariette</t>
  </si>
  <si>
    <t>Imprévu</t>
  </si>
  <si>
    <t>Feuille restaurant</t>
  </si>
  <si>
    <t>Total mois</t>
  </si>
  <si>
    <t>Abbreviation</t>
  </si>
  <si>
    <t>b</t>
  </si>
  <si>
    <t>t</t>
  </si>
  <si>
    <t>ba</t>
  </si>
  <si>
    <t>f</t>
  </si>
  <si>
    <t>fa</t>
  </si>
  <si>
    <t>c</t>
  </si>
  <si>
    <t>co</t>
  </si>
  <si>
    <t>ca</t>
  </si>
  <si>
    <t>pc</t>
  </si>
  <si>
    <t>pca</t>
  </si>
  <si>
    <t>pr</t>
  </si>
  <si>
    <t>vn</t>
  </si>
  <si>
    <t>vc</t>
  </si>
  <si>
    <t>ch</t>
  </si>
  <si>
    <t>mv</t>
  </si>
  <si>
    <t>bra</t>
  </si>
  <si>
    <t>brs</t>
  </si>
  <si>
    <t>11h-21h</t>
  </si>
  <si>
    <t>8h-18h</t>
  </si>
  <si>
    <t>repos</t>
  </si>
  <si>
    <t>7h-15h</t>
  </si>
  <si>
    <t>8h-12h</t>
  </si>
  <si>
    <t>6.30h-16.30h</t>
  </si>
  <si>
    <t>6.30h16.30h</t>
  </si>
  <si>
    <t>13h-21h</t>
  </si>
  <si>
    <t>6.30h-14.30h</t>
  </si>
  <si>
    <t>9h-12.30h,16h-19.30h</t>
  </si>
  <si>
    <t>8h-14h</t>
  </si>
  <si>
    <t>8.30h-16.30h</t>
  </si>
  <si>
    <t>8.30h-14.30h</t>
  </si>
  <si>
    <t>12.30h-19.30h</t>
  </si>
  <si>
    <t>8.30-16.30</t>
  </si>
  <si>
    <t>12.3h0-19.30h</t>
  </si>
  <si>
    <t>4h-11h</t>
  </si>
  <si>
    <t>7.30h-14.30h</t>
  </si>
  <si>
    <t>2.30h-16h/18h</t>
  </si>
  <si>
    <t>7h-14h</t>
  </si>
  <si>
    <t>Samuel</t>
  </si>
  <si>
    <t>11h-20h pose 1h</t>
  </si>
  <si>
    <t>11h-19.30h pose 0.5h</t>
  </si>
  <si>
    <t>Eric</t>
  </si>
  <si>
    <t>5h-14h</t>
  </si>
  <si>
    <t>Fournil</t>
  </si>
  <si>
    <t>Aujourd'hui</t>
  </si>
  <si>
    <t>Nouveau</t>
  </si>
  <si>
    <t>Liste produits</t>
  </si>
  <si>
    <t>Informations</t>
  </si>
  <si>
    <t>Clients principaux</t>
  </si>
  <si>
    <t>Exporter PDF</t>
  </si>
  <si>
    <t>Enregistrer</t>
  </si>
  <si>
    <t>Effacer</t>
  </si>
  <si>
    <t>&lt;&lt; Panier</t>
  </si>
  <si>
    <t>Panier &gt;&gt;</t>
  </si>
  <si>
    <t>TODO</t>
  </si>
  <si>
    <t>Commandes Restaurants</t>
  </si>
  <si>
    <t>Exporter produits PDF</t>
  </si>
  <si>
    <t>Tradition Sésame ou Pavot</t>
  </si>
  <si>
    <t>Demi-Graines, Sésames ou Pavot</t>
  </si>
  <si>
    <t>Moelleux aux Graines</t>
  </si>
  <si>
    <t>complete</t>
  </si>
  <si>
    <t>sucre</t>
  </si>
  <si>
    <t>vin</t>
  </si>
  <si>
    <t>cafe</t>
  </si>
  <si>
    <t>eau</t>
  </si>
  <si>
    <t>plat</t>
  </si>
  <si>
    <t>quiche</t>
  </si>
  <si>
    <t>salade</t>
  </si>
  <si>
    <t>croque</t>
  </si>
  <si>
    <t>cj</t>
  </si>
  <si>
    <t>bagnat</t>
  </si>
  <si>
    <t>tarte</t>
  </si>
  <si>
    <t>flan</t>
  </si>
  <si>
    <t>muffin</t>
  </si>
  <si>
    <t>cp</t>
  </si>
  <si>
    <t>ts</t>
  </si>
  <si>
    <t>dmt</t>
  </si>
  <si>
    <t>dmg</t>
  </si>
  <si>
    <t>pbu</t>
  </si>
  <si>
    <t>pcam</t>
  </si>
  <si>
    <t>pmie</t>
  </si>
  <si>
    <t>pfrui</t>
  </si>
  <si>
    <t>pga</t>
  </si>
  <si>
    <t>pma</t>
  </si>
  <si>
    <t>ptar</t>
  </si>
  <si>
    <t>mn</t>
  </si>
  <si>
    <t>mg</t>
  </si>
  <si>
    <t>ppmc</t>
  </si>
  <si>
    <t>ppa</t>
  </si>
  <si>
    <t>be</t>
  </si>
  <si>
    <t>brsui</t>
  </si>
  <si>
    <t>Beurre</t>
  </si>
  <si>
    <t>Faine</t>
  </si>
  <si>
    <t>Sucre</t>
  </si>
  <si>
    <t>Pate à brioche</t>
  </si>
  <si>
    <t>Levure</t>
  </si>
  <si>
    <t>bur</t>
  </si>
  <si>
    <t>Fichier facture</t>
  </si>
  <si>
    <t>Liste notes</t>
  </si>
  <si>
    <t>Date Facture</t>
  </si>
  <si>
    <t>Tel 1</t>
  </si>
  <si>
    <t>Panier facture</t>
  </si>
  <si>
    <t>+ Panier</t>
  </si>
  <si>
    <t>Sélection</t>
  </si>
  <si>
    <t>10t</t>
  </si>
  <si>
    <t>Fichiers</t>
  </si>
  <si>
    <t>Documents</t>
  </si>
  <si>
    <t>Documents Clients</t>
  </si>
  <si>
    <t>Documents Fournisseurs</t>
  </si>
  <si>
    <t>Documents\Produits.pdf</t>
  </si>
  <si>
    <t>Documents\Planning.pdf</t>
  </si>
  <si>
    <t>Documents\Contacts.pdf</t>
  </si>
  <si>
    <t>Documents\Caisse - Configuration des Boutons.pdf</t>
  </si>
  <si>
    <t>Documents\Etiquettes Petites.pdf</t>
  </si>
  <si>
    <t>Dossiers</t>
  </si>
  <si>
    <t>Documents Fournisseurs\Bilan</t>
  </si>
  <si>
    <t>Exporter planning PDF</t>
  </si>
  <si>
    <t>Exporter contacts PDF</t>
  </si>
  <si>
    <t>Exporter caisse PDF</t>
  </si>
  <si>
    <t>Exporter étiquettes PDF</t>
  </si>
  <si>
    <t>Entrants Restants</t>
  </si>
  <si>
    <t>Air Famille</t>
  </si>
  <si>
    <t>Bistrot de Louise</t>
  </si>
  <si>
    <t>Café Monceau</t>
  </si>
  <si>
    <t>Chez Léon</t>
  </si>
  <si>
    <t>Tourbillon</t>
  </si>
  <si>
    <t>10b+10b+6t+5c+3pc</t>
  </si>
  <si>
    <t>2t+1gr</t>
  </si>
  <si>
    <t>10b+10c+5pc+15t</t>
  </si>
  <si>
    <t>15t+12t</t>
  </si>
  <si>
    <t>8t</t>
  </si>
  <si>
    <t>16t</t>
  </si>
  <si>
    <t>4t</t>
  </si>
  <si>
    <t>7t+4t</t>
  </si>
  <si>
    <t>15 bra</t>
  </si>
  <si>
    <t>11b+10b+6t+5c+3pc</t>
  </si>
  <si>
    <t>1t+1gr</t>
  </si>
  <si>
    <t>6b+5pc+10c+15t+20pb</t>
  </si>
  <si>
    <t>Pain Burger</t>
  </si>
  <si>
    <t>pb</t>
  </si>
  <si>
    <t>6t+5t</t>
  </si>
  <si>
    <t>16t+13t</t>
  </si>
  <si>
    <t>11t</t>
  </si>
  <si>
    <t>6t+5c+12b+15b+5b+3pc</t>
  </si>
  <si>
    <t>1br+7b+10c+5pc+15t+20pb</t>
  </si>
  <si>
    <t>br,brp</t>
  </si>
  <si>
    <t>15t+18t</t>
  </si>
  <si>
    <t>7t+8t</t>
  </si>
  <si>
    <t>5t</t>
  </si>
  <si>
    <t>4c+3pc+5b+13,85€+10b+6b</t>
  </si>
  <si>
    <t>1br+10c+5pc+15c+10pb+15t</t>
  </si>
  <si>
    <t>20t</t>
  </si>
  <si>
    <t>20b</t>
  </si>
  <si>
    <t>10b+5b+4b+6t+3c+3pc</t>
  </si>
  <si>
    <t>5b+5pc+10b+10t+20pb+5t</t>
  </si>
  <si>
    <t>12t</t>
  </si>
  <si>
    <t>14t</t>
  </si>
  <si>
    <t>6t</t>
  </si>
  <si>
    <t>7t</t>
  </si>
  <si>
    <t>6t+5c+3pc+18b</t>
  </si>
  <si>
    <t>1t+1tg</t>
  </si>
  <si>
    <t>5b+5pc+10c+15t+10pb</t>
  </si>
  <si>
    <t>21t</t>
  </si>
  <si>
    <t>13t</t>
  </si>
  <si>
    <t>22/11/2015</t>
  </si>
  <si>
    <t>20151122-001</t>
  </si>
  <si>
    <t>15b+6c+3pc</t>
  </si>
  <si>
    <t>2t</t>
  </si>
  <si>
    <t>10c+5pc+10pb+15t+5b+8b</t>
  </si>
  <si>
    <t>25t</t>
  </si>
  <si>
    <t>6t+5c+3pc</t>
  </si>
  <si>
    <t>2t+1tg</t>
  </si>
  <si>
    <t>6b+10c+5pc+15t</t>
  </si>
  <si>
    <t>4dt+16dt</t>
  </si>
  <si>
    <t>dt,dbt</t>
  </si>
  <si>
    <t>Le Pain sur la Table</t>
  </si>
  <si>
    <t>6t+5c+3pc+15b+15,8€+8t</t>
  </si>
  <si>
    <t>tg,gr</t>
  </si>
  <si>
    <t>7b+10c+5pc+15t+10pb</t>
  </si>
  <si>
    <t>5t+6c+3pc+11b+6b</t>
  </si>
  <si>
    <t>6t+22t+13b</t>
  </si>
  <si>
    <t>4t+9t</t>
  </si>
  <si>
    <t>16dt</t>
  </si>
  <si>
    <t>6t+3pc+5c+10b+4b+5b</t>
  </si>
  <si>
    <t>5b+10c+5pc+10b+20pb+5t</t>
  </si>
  <si>
    <t>15t</t>
  </si>
  <si>
    <t>4t+7t</t>
  </si>
  <si>
    <t>13,5€+12b+4b+6t+5c+3pc</t>
  </si>
  <si>
    <t>1b+1tg+1t</t>
  </si>
  <si>
    <t>15t+3t</t>
  </si>
  <si>
    <t>7t+5t</t>
  </si>
  <si>
    <t>19t</t>
  </si>
  <si>
    <t>6dt+14dt</t>
  </si>
  <si>
    <t>5c+3pc+6b</t>
  </si>
  <si>
    <t>10b+15t+1br+15c+12c+10pb</t>
  </si>
  <si>
    <t>15b</t>
  </si>
  <si>
    <t>3t</t>
  </si>
  <si>
    <t>5b+10c+5pc+15t+10pb</t>
  </si>
  <si>
    <t>5b+3pc+4c+15c+6t+5c+3pc</t>
  </si>
  <si>
    <t>5b+5pc+10c+15c</t>
  </si>
  <si>
    <t>15t+1t+5c+3pc+5t+14,1€+5c+6t+3pc</t>
  </si>
  <si>
    <t>15t+7t</t>
  </si>
  <si>
    <t>5t+10t</t>
  </si>
  <si>
    <t>3c+5pc+5t+15€+10t+6t</t>
  </si>
  <si>
    <t>5b+20c+5pc+1br+20pb+15t</t>
  </si>
  <si>
    <t>6t+15t</t>
  </si>
  <si>
    <t>8b+20c+5pc+1br+20pb</t>
  </si>
  <si>
    <t>5t+5c+3pc+15t+7t+3b</t>
  </si>
  <si>
    <t>15t+13t</t>
  </si>
  <si>
    <t>5b+3pb+6c+10t</t>
  </si>
  <si>
    <t>1ba+1tg</t>
  </si>
  <si>
    <t>15b+4t</t>
  </si>
  <si>
    <t>15t+10t</t>
  </si>
  <si>
    <t>7t+6t</t>
  </si>
  <si>
    <t>4t+2t</t>
  </si>
  <si>
    <t>5b+8c+4pc+6b</t>
  </si>
  <si>
    <t>12b+3pc+5c+5t</t>
  </si>
  <si>
    <t>5b+15t+15pb+10c+5pc</t>
  </si>
  <si>
    <t>20dt</t>
  </si>
  <si>
    <t>7b+3pc+7c+15t</t>
  </si>
  <si>
    <t>21b</t>
  </si>
  <si>
    <t>18t</t>
  </si>
  <si>
    <t>6t+9t+6,15€</t>
  </si>
  <si>
    <t>7b+7c+7pc</t>
  </si>
  <si>
    <t>15t+15,85€+3b</t>
  </si>
  <si>
    <t>7t+15t</t>
  </si>
  <si>
    <t>12t+15dt</t>
  </si>
  <si>
    <t>5t+7t</t>
  </si>
  <si>
    <t>1brp+7b+5pc+15c+15t+5c+5c</t>
  </si>
  <si>
    <t>5t+3pc+5c+8t</t>
  </si>
  <si>
    <t>6t+10t+5t</t>
  </si>
  <si>
    <t>13dt</t>
  </si>
  <si>
    <t>15b+15c+5pc+20pb</t>
  </si>
  <si>
    <t>5c+3pc+5t+10t</t>
  </si>
  <si>
    <t>7c+3pc+5b+12t</t>
  </si>
  <si>
    <t>15t+6t</t>
  </si>
  <si>
    <t>3pc+17c+5b+15t+10pb</t>
  </si>
  <si>
    <t>12t+10t+13,2€</t>
  </si>
  <si>
    <t>1t+1tg+1t</t>
  </si>
  <si>
    <t>6t+12t</t>
  </si>
  <si>
    <t>4dt</t>
  </si>
  <si>
    <t>4t+6t</t>
  </si>
  <si>
    <t>5b+10c+5pc+15t</t>
  </si>
  <si>
    <t>2tg+2t</t>
  </si>
  <si>
    <t>7b+7c+3pc+13t</t>
  </si>
  <si>
    <t>14t+1c+10t</t>
  </si>
  <si>
    <t>4dt+14dt</t>
  </si>
  <si>
    <t>5t+6,95€+5t</t>
  </si>
  <si>
    <t>7b+7c+3pc+5c</t>
  </si>
  <si>
    <t>14t+9,65€+6t</t>
  </si>
  <si>
    <t>9t+12t</t>
  </si>
  <si>
    <t>14dt+4dt</t>
  </si>
  <si>
    <t>4t+4t</t>
  </si>
  <si>
    <t>10c+5pc+7b+1br+7c+20pb+15t</t>
  </si>
  <si>
    <t>3t+5c+7pc+12t+4t</t>
  </si>
  <si>
    <t>10dt</t>
  </si>
  <si>
    <t>Prix HT</t>
  </si>
  <si>
    <t>P.U. 
TTC</t>
  </si>
  <si>
    <t>P.U. 
HT</t>
  </si>
  <si>
    <t xml:space="preserve">Total </t>
  </si>
  <si>
    <t>Escompte</t>
  </si>
  <si>
    <t>Net à payer TTC</t>
  </si>
  <si>
    <t>SARL LOLA</t>
  </si>
  <si>
    <t>24 rue de Lévis</t>
  </si>
  <si>
    <t>01.42.27.20.04</t>
  </si>
  <si>
    <t>8 avenue Félix Faure</t>
  </si>
  <si>
    <t>SARL La Baguette</t>
  </si>
  <si>
    <t>L'Auberge Rouge</t>
  </si>
  <si>
    <t>15 rue de la Terrasse</t>
  </si>
  <si>
    <t>01.42.27.80.90</t>
  </si>
  <si>
    <t>3 avenue de Villiers</t>
  </si>
  <si>
    <t>01.40.53.89.00</t>
  </si>
  <si>
    <t>16 avenue de Villiers</t>
  </si>
  <si>
    <t>01.47.63.25.61</t>
  </si>
  <si>
    <t>90 rue des Dames</t>
  </si>
  <si>
    <t>01.43.87.08.08</t>
  </si>
  <si>
    <t>16 rue de Tocqueville</t>
  </si>
  <si>
    <t>01.46.22.59.15</t>
  </si>
  <si>
    <t>22 rue Lebouteux</t>
  </si>
  <si>
    <t>01.42.67.38.71</t>
  </si>
  <si>
    <t>2 rue de Tocqueville</t>
  </si>
  <si>
    <t>01.42.27.66.61</t>
  </si>
  <si>
    <t>La Bouteille sur la Table</t>
  </si>
  <si>
    <t>2 passage Geffroy-Didelot</t>
  </si>
  <si>
    <t>01.53.04.98.91</t>
  </si>
  <si>
    <t>116 rue des Dames</t>
  </si>
  <si>
    <t>09.83.01.10.81</t>
  </si>
  <si>
    <t>8 avenue de Villers</t>
  </si>
  <si>
    <t>Le Café des Dames</t>
  </si>
  <si>
    <t>La baquette Margot II</t>
  </si>
  <si>
    <t>La baguette Margot I pour MAR et II pour LOL</t>
  </si>
  <si>
    <t>Sous Titre</t>
  </si>
  <si>
    <t>293*Baguette(0,95€)+336*Tradition(1,15€)+127*Croissant(1,05€)+75*Pain au Chocolat(1,15€)+110,949996948242*Divers(1,00€)</t>
  </si>
  <si>
    <t>Documents Clients\Factures\Facture-20151122-001.pdf</t>
  </si>
  <si>
    <t>20151122-002</t>
  </si>
  <si>
    <t>32*Tradition(1,15€)+15*Tradition aux Graines(1,35€)+1*Baguette(0,95€)+1*Belle Arôme(1,35€)</t>
  </si>
  <si>
    <t>Documents Clients\Factures\Facture-20151122-002.pdf</t>
  </si>
  <si>
    <t>20151122-003</t>
  </si>
  <si>
    <t>7pc+15c+10b+1br+10t+5pb+10pb</t>
  </si>
  <si>
    <t>225*Baguette(0,95€)+380*Croissant(1,05€)+133*Pain au Chocolat(1,15€)+335*Tradition(1,15€)+273*Pain Burger(1,20€)+8*Brioche Parisienne(4,00€)</t>
  </si>
  <si>
    <t>Documents Clients\Factures\Facture-20151122-003.pdf</t>
  </si>
  <si>
    <t>20151122-004</t>
  </si>
  <si>
    <t>390*Tradition(1,15€)+3*Baguette(1,00€)+1*Pain de Campagne(15,85€)</t>
  </si>
  <si>
    <t>Documents Clients\Factures\Facture-20151122-004.pdf</t>
  </si>
  <si>
    <t>20151122-005</t>
  </si>
  <si>
    <t>196*Tradition(1,15€)</t>
  </si>
  <si>
    <t>Documents Clients\Factures\Facture-20151122-005.pdf</t>
  </si>
  <si>
    <t>20151122-006</t>
  </si>
  <si>
    <t>549*Tradition(1,15€)+13*Baguette(0,95€)</t>
  </si>
  <si>
    <t>Documents Clients\Factures\Facture-20151122-006.pdf</t>
  </si>
  <si>
    <t>20151122-007</t>
  </si>
  <si>
    <t>8*Tradition(1,15€)</t>
  </si>
  <si>
    <t>Documents Clients\Factures\Facture-20151122-007.pdf</t>
  </si>
  <si>
    <t>32 rue Legendre</t>
  </si>
  <si>
    <t>01.42.27.06.82</t>
  </si>
  <si>
    <t>Le Gévaudan</t>
  </si>
  <si>
    <t>28 rue de Lévis</t>
  </si>
  <si>
    <t>01.47.63.68.70</t>
  </si>
  <si>
    <t>Châteauform</t>
  </si>
  <si>
    <t>2 avenue Velasquez</t>
  </si>
  <si>
    <t>01.30.28.69.69</t>
  </si>
  <si>
    <t>20151122-008</t>
  </si>
  <si>
    <t>35*Baguette(0,95€)</t>
  </si>
  <si>
    <t>Documents Clients\Factures\Facture-20151122-008.pdf</t>
  </si>
  <si>
    <t>20151122-009</t>
  </si>
  <si>
    <t>147*Tradition(1,15€)</t>
  </si>
  <si>
    <t>Documents Clients\Factures\Facture-20151122-009.pdf</t>
  </si>
  <si>
    <t>20151122-010</t>
  </si>
  <si>
    <t>174*Double Tradition(2,30€)+42*Tradition(1,15€)</t>
  </si>
  <si>
    <t>Documents Clients\Factures\Facture-20151122-010.pdf</t>
  </si>
  <si>
    <t>20151122-011</t>
  </si>
  <si>
    <t>238*Tradition(1,15€)+13,1000003814697*Divers(1,00€)</t>
  </si>
  <si>
    <t>Documents Clients\Factures\Facture-20151122-011.pdf</t>
  </si>
  <si>
    <t>Total avant escompte</t>
  </si>
  <si>
    <t>CONFISERIE</t>
  </si>
  <si>
    <t>GATEAUX SECS</t>
  </si>
  <si>
    <t>SALES</t>
  </si>
  <si>
    <t>Code</t>
  </si>
  <si>
    <t>Divers Boulangerie</t>
  </si>
  <si>
    <t>Divers Viennoiserie</t>
  </si>
  <si>
    <t>Divers Patisserie</t>
  </si>
  <si>
    <t>Divers Traiteur</t>
  </si>
  <si>
    <t>Divers Boisson</t>
  </si>
  <si>
    <t>Divers Crêperie</t>
  </si>
  <si>
    <t>Prix Vente</t>
  </si>
  <si>
    <t>Code TVA</t>
  </si>
  <si>
    <t>Code Barre</t>
  </si>
  <si>
    <t>Code Compta</t>
  </si>
  <si>
    <t>Prix Achat</t>
  </si>
  <si>
    <t>Stock</t>
  </si>
  <si>
    <t>PRONATUREL</t>
  </si>
  <si>
    <t>00000337</t>
  </si>
  <si>
    <t>Chèque 0348633 le 19/11/2015</t>
  </si>
  <si>
    <t>2000156921</t>
  </si>
  <si>
    <t>20157032</t>
  </si>
  <si>
    <t>20156713</t>
  </si>
  <si>
    <t>20156734</t>
  </si>
  <si>
    <t>20156659</t>
  </si>
  <si>
    <t>20156630</t>
  </si>
  <si>
    <t>Prélèvement</t>
  </si>
  <si>
    <t>3351111555</t>
  </si>
  <si>
    <t>3351114551</t>
  </si>
  <si>
    <t>3351115610</t>
  </si>
  <si>
    <t>3351113827</t>
  </si>
  <si>
    <t>20156800</t>
  </si>
  <si>
    <t>20156827</t>
  </si>
  <si>
    <t>15035575</t>
  </si>
  <si>
    <t>15036514</t>
  </si>
  <si>
    <t>20156857</t>
  </si>
  <si>
    <t>3351109766</t>
  </si>
  <si>
    <t>20157014</t>
  </si>
  <si>
    <t>20156994</t>
  </si>
  <si>
    <t>20156963</t>
  </si>
  <si>
    <t>20156918</t>
  </si>
  <si>
    <t>20156896</t>
  </si>
  <si>
    <t>20156798</t>
  </si>
  <si>
    <t>20156778</t>
  </si>
  <si>
    <t>20156825</t>
  </si>
  <si>
    <t>15036464</t>
  </si>
  <si>
    <t>15037360</t>
  </si>
  <si>
    <t>56672</t>
  </si>
  <si>
    <t>56260</t>
  </si>
  <si>
    <t>15037424</t>
  </si>
  <si>
    <t>56695</t>
  </si>
  <si>
    <t>Par chèque</t>
  </si>
  <si>
    <t>15008250</t>
  </si>
  <si>
    <t>15008481</t>
  </si>
  <si>
    <t>15008681</t>
  </si>
  <si>
    <t>15008825</t>
  </si>
  <si>
    <t>15008611</t>
  </si>
  <si>
    <t>Par chèque 0348696 le 19/11/2015</t>
  </si>
  <si>
    <t>Par chèque 0300052 le 19/11/2015</t>
  </si>
  <si>
    <t>15008417</t>
  </si>
  <si>
    <t>2673640</t>
  </si>
  <si>
    <t>004851971</t>
  </si>
  <si>
    <t>004887508</t>
  </si>
  <si>
    <t>00000336</t>
  </si>
  <si>
    <t>15034651</t>
  </si>
  <si>
    <t>Moelleux aux Noix</t>
  </si>
  <si>
    <t>Moelleux Noix</t>
  </si>
  <si>
    <t>Pain Nordique</t>
  </si>
  <si>
    <t>Sachet Bonbons</t>
  </si>
  <si>
    <t>Saint-Honoré 4 pers</t>
  </si>
  <si>
    <t>Tarte Fine 6 pers</t>
  </si>
  <si>
    <t>Sandwich Jambon Beurre</t>
  </si>
  <si>
    <t>Sandwich</t>
  </si>
  <si>
    <t>Sandwich Jambon Fromage</t>
  </si>
  <si>
    <t>Petite Salade</t>
  </si>
  <si>
    <t>Petits Pains</t>
  </si>
  <si>
    <t>0,00 €</t>
  </si>
  <si>
    <t>15,00 €</t>
  </si>
  <si>
    <t>Eclair Caramel ou Spéculoos</t>
  </si>
  <si>
    <t>Échéance</t>
  </si>
  <si>
    <t>Date échéance</t>
  </si>
  <si>
    <t>20151203-001</t>
  </si>
  <si>
    <t>La Table Monceau</t>
  </si>
  <si>
    <t>1 rue de Phalsbourg</t>
  </si>
  <si>
    <t>01.83.76.02.87</t>
  </si>
  <si>
    <t>Documents Clients\Factures\Facture-20151203-001.pdf</t>
  </si>
  <si>
    <t>236*Tradition(1,15€)+134*Demi-Tradition(0,60€)+4*Pain de Mie(2,30€)+99*Pain Burger(1,20€)+158*Croissant(1,05€)+67*Pain au Chocolat(1,15€)</t>
  </si>
  <si>
    <t>10T+15C</t>
  </si>
  <si>
    <t>22T</t>
  </si>
  <si>
    <t>15B</t>
  </si>
  <si>
    <t>5B+5C+5PC+10T+10PB+15T+4T</t>
  </si>
  <si>
    <t>6B+5PC+3C+10T+4T+27,5</t>
  </si>
  <si>
    <t>15T</t>
  </si>
  <si>
    <t>19T</t>
  </si>
  <si>
    <t>9T</t>
  </si>
  <si>
    <t>5T</t>
  </si>
  <si>
    <t>6T</t>
  </si>
  <si>
    <t>18DT</t>
  </si>
  <si>
    <t>17T</t>
  </si>
  <si>
    <t>5B+10C+3PC+17T+10PB</t>
  </si>
  <si>
    <t>6B+5PC+3C+20T</t>
  </si>
  <si>
    <t>1T+1TG</t>
  </si>
  <si>
    <t>14T</t>
  </si>
  <si>
    <t>13T</t>
  </si>
  <si>
    <t>7T</t>
  </si>
  <si>
    <t>7DT</t>
  </si>
  <si>
    <t>14T+4,59</t>
  </si>
  <si>
    <t>4T+30CHX+500LEV</t>
  </si>
  <si>
    <t>5B+15T+10C+5PC</t>
  </si>
  <si>
    <t>25T</t>
  </si>
  <si>
    <t>2T</t>
  </si>
  <si>
    <t>20T</t>
  </si>
  <si>
    <t>8T</t>
  </si>
  <si>
    <t>15DT</t>
  </si>
  <si>
    <t>7B+5PC+10T+21T</t>
  </si>
  <si>
    <t>18T</t>
  </si>
  <si>
    <t>1T+2TG</t>
  </si>
  <si>
    <t>14DT</t>
  </si>
  <si>
    <t>8T+8,1</t>
  </si>
  <si>
    <t>8B</t>
  </si>
  <si>
    <t>7B+10C+5PC+20PB+15T</t>
  </si>
  <si>
    <t>6C+3PC+25T</t>
  </si>
  <si>
    <t>2T+1TG</t>
  </si>
  <si>
    <t>23T</t>
  </si>
  <si>
    <t>4T</t>
  </si>
  <si>
    <t>16DT</t>
  </si>
  <si>
    <t>7T+6,9</t>
  </si>
  <si>
    <t>30CHX+8T</t>
  </si>
  <si>
    <t>25C+5PC+7B+1BR+20PB+15T</t>
  </si>
  <si>
    <t>6C+6PC+15T</t>
  </si>
  <si>
    <t>30T</t>
  </si>
  <si>
    <t>12DT</t>
  </si>
  <si>
    <t>4T+3,2</t>
  </si>
  <si>
    <t>15C+5PC+7B+1BR+10T+5C</t>
  </si>
  <si>
    <t>5C+3PC+5T</t>
  </si>
  <si>
    <t>5T+11,6</t>
  </si>
  <si>
    <t>7B+10C+3PC+12T+10PB</t>
  </si>
  <si>
    <t>12T</t>
  </si>
  <si>
    <t>15B+10C+3PC+12T+5T</t>
  </si>
  <si>
    <t>5B+6T</t>
  </si>
  <si>
    <t>11T</t>
  </si>
  <si>
    <t>10T</t>
  </si>
  <si>
    <t>15T+7T+10C+5PC</t>
  </si>
  <si>
    <t>5T+6C+3PC</t>
  </si>
  <si>
    <t>8DT</t>
  </si>
  <si>
    <t>6T+10PB</t>
  </si>
  <si>
    <t>7B+110C+5C+15T</t>
  </si>
  <si>
    <t>16T</t>
  </si>
  <si>
    <t>6DT</t>
  </si>
  <si>
    <t>7T+14,2</t>
  </si>
  <si>
    <t>5B+10C+5PC+12T+6T+20PB</t>
  </si>
  <si>
    <t>2B+1TG</t>
  </si>
  <si>
    <t>11T+13T</t>
  </si>
  <si>
    <t>6T+4T+2BR</t>
  </si>
  <si>
    <t>10C+7B+5PB+10C+10T+10PB</t>
  </si>
  <si>
    <t>5T+13T+5C+3PC</t>
  </si>
  <si>
    <t>5T+8DT</t>
  </si>
  <si>
    <t>1B+5T</t>
  </si>
  <si>
    <t>8T+30CHX</t>
  </si>
  <si>
    <t>10C+7B+16T+5C</t>
  </si>
  <si>
    <t>5C+17T+3PC</t>
  </si>
  <si>
    <t>12T+4,4</t>
  </si>
  <si>
    <t>5B+10C+5PC+15T+15PB</t>
  </si>
  <si>
    <t>16B+9,8</t>
  </si>
  <si>
    <t>1B+1TG</t>
  </si>
  <si>
    <t>4DT</t>
  </si>
  <si>
    <t>3T</t>
  </si>
  <si>
    <t>5B+10C+5PC+15T</t>
  </si>
  <si>
    <t>11T+13,7</t>
  </si>
  <si>
    <t>2T+12DT</t>
  </si>
  <si>
    <t>20T+10C+5PC+10PB</t>
  </si>
  <si>
    <t>20DT</t>
  </si>
  <si>
    <t>5B+5PC+10C+15T</t>
  </si>
  <si>
    <t>21T</t>
  </si>
  <si>
    <t>7T+14</t>
  </si>
  <si>
    <t>10DT</t>
  </si>
  <si>
    <t>7B+5PC+10C+15T+20PB</t>
  </si>
  <si>
    <t>15T+6T+3PMIE</t>
  </si>
  <si>
    <t>9T+30CHX</t>
  </si>
  <si>
    <t>7B+10C+5PC+1BR+14T+5C+10PB</t>
  </si>
  <si>
    <t>5T+5C+3PC+6T+93,6</t>
  </si>
  <si>
    <t>11T+7</t>
  </si>
  <si>
    <t>1BR+7B+10C+5PC+10C+14T</t>
  </si>
  <si>
    <t>3PC+5T+5C</t>
  </si>
  <si>
    <t>20PB+7B+10C+5PC+10T</t>
  </si>
  <si>
    <t>14T+14,1</t>
  </si>
  <si>
    <t>5B+5PC+8C+15T+20PB</t>
  </si>
  <si>
    <t>2T+2TG</t>
  </si>
  <si>
    <t>11DT</t>
  </si>
  <si>
    <t>3T+7</t>
  </si>
  <si>
    <t>5T+6,1</t>
  </si>
  <si>
    <t>15T+10C+5PC+5T</t>
  </si>
  <si>
    <t>20T+5C+3PC</t>
  </si>
  <si>
    <t>13DT</t>
  </si>
  <si>
    <t>5B+10C+5PC+10PB+19T</t>
  </si>
  <si>
    <t>3C+2PC+28T</t>
  </si>
  <si>
    <t>29T</t>
  </si>
  <si>
    <t>5B+10C+5C+15+19PB</t>
  </si>
  <si>
    <t>17T+7B</t>
  </si>
  <si>
    <t>33T+3</t>
  </si>
  <si>
    <t>5C+3PC</t>
  </si>
  <si>
    <t>60CHX</t>
  </si>
  <si>
    <t>7B+1BR+15C+5PC+15T+4C</t>
  </si>
  <si>
    <t>15T+3PC+3C+13,45</t>
  </si>
  <si>
    <t>14T+13,55</t>
  </si>
  <si>
    <t>7B+1BR+20PB+15T+20C+5PC</t>
  </si>
  <si>
    <t>15T+5C+3PC</t>
  </si>
  <si>
    <t>5T+12</t>
  </si>
  <si>
    <t>7B+5PC+10C+15T</t>
  </si>
  <si>
    <t>5C+21T+3PC</t>
  </si>
  <si>
    <t>8T+60CHX</t>
  </si>
  <si>
    <t>20151206-001</t>
  </si>
  <si>
    <t>469*Tradition(1,15€)+472*Croissant(1,05€)+170*Baguette(0,95€)+119*Pain au Chocolat(1,15€)+249*Pain Burger(1,20€)+6*Brioche Parisienne(4,00€)+15*Divers(1,00€)</t>
  </si>
  <si>
    <t>Documents Clients\Factures\Facture-20151206-001.pdf</t>
  </si>
  <si>
    <t>20151206-002</t>
  </si>
  <si>
    <t>40*Baguette(0,95€)+51*Pain au Chocolat(1,15€)+70*Croissant(1,05€)+431*Tradition(1,15€)+172,150009155273*Divers(1,00€)</t>
  </si>
  <si>
    <t>Documents Clients\Factures\Facture-20151206-002.pdf</t>
  </si>
  <si>
    <t>20151206-003</t>
  </si>
  <si>
    <t>2T+1DT</t>
  </si>
  <si>
    <t>27*Tradition(1,15€)+16*Tradition aux Graines(1,35€)+1*Double Tradition(2,30€)+3*Baguette(0,95€)</t>
  </si>
  <si>
    <t>Documents Clients\Factures\Facture-20151206-003.pdf</t>
  </si>
  <si>
    <t>20151206-004</t>
  </si>
  <si>
    <t>429*Tradition(1,15€)+3*Pain de Mie(2,30€)</t>
  </si>
  <si>
    <t>Documents Clients\Factures\Facture-20151206-004.pdf</t>
  </si>
  <si>
    <t>20151206-005</t>
  </si>
  <si>
    <t>529*Tradition(1,15€)+4,40000009536743*Divers(1,00€)</t>
  </si>
  <si>
    <t>Documents Clients\Factures\Facture-20151206-005.pdf</t>
  </si>
  <si>
    <t>20151206-006</t>
  </si>
  <si>
    <t>222*Tradition(1,15€)+2*Brioche Parisienne(4,00€)+3*Divers(1,00€)</t>
  </si>
  <si>
    <t>Documents Clients\Factures\Facture-20151206-006.pdf</t>
  </si>
  <si>
    <t>20151206-007</t>
  </si>
  <si>
    <t>103*Tradition(1,15€)+14*Divers(1,00€)</t>
  </si>
  <si>
    <t>Documents Clients\Factures\Facture-20151206-007.pdf</t>
  </si>
  <si>
    <t>20151206-008</t>
  </si>
  <si>
    <t>145*Tradition(1,15€)+2*Brioche Parisienne(4,00€)</t>
  </si>
  <si>
    <t>Documents Clients\Factures\Facture-20151206-008.pdf</t>
  </si>
  <si>
    <t>9DT</t>
  </si>
  <si>
    <t>20151206-009</t>
  </si>
  <si>
    <t>292*Double Tradition(2,30€)+25*Tradition(1,15€)</t>
  </si>
  <si>
    <t>Documents Clients\Factures\Facture-20151206-009.pdf</t>
  </si>
  <si>
    <t>20151206-010</t>
  </si>
  <si>
    <t>229*Tradition(1,15€)+60,439998626709*Divers(1,00€)+1*Baguette(0,95€)</t>
  </si>
  <si>
    <t>Documents Clients\Factures\Facture-20151206-010.pdf</t>
  </si>
  <si>
    <t>20151206-011</t>
  </si>
  <si>
    <t>13*Tradition(1,15€)+5*Croissant(1,05€)+3*Pain au Chocolat(1,15€)</t>
  </si>
  <si>
    <t>Documents Clients\Factures\Facture-20151206-011.pdf</t>
  </si>
  <si>
    <t>20151206-012</t>
  </si>
  <si>
    <t>15*Baguette(0,95€)</t>
  </si>
  <si>
    <t>Documents Clients\Factures\Facture-20151206-012.pdf</t>
  </si>
  <si>
    <t>30 Rue Legendre</t>
  </si>
  <si>
    <t>01 47 63 75 28</t>
  </si>
  <si>
    <t>https://www.google.fr/url?sa=t&amp;rct=j&amp;q=&amp;esrc=s&amp;source=web&amp;cd=8&amp;cad=rja&amp;uact=8&amp;ved=0ahUKEwiEnOHj7MfJAhUHnBoKHWtcA1gQ_BcIGygAMAc&amp;url=https%3A%2F%2Fwww.facebook.com%2Fprofile.php%3Fid%3D100010312246082%26fref%3Dts&amp;usg=AFQjCNE3s0Qor6kQxPF_asIfVAjnasLtyg&amp;sig2=l_NGR1xC62vGldpLdfvA_g&amp;bvm=bv.108538919,d.d2s</t>
  </si>
  <si>
    <t>Il Paradiso</t>
  </si>
  <si>
    <t>LOLA:</t>
  </si>
  <si>
    <t>MARGOT:</t>
  </si>
  <si>
    <t>27 Boulevard de Vaugirard</t>
  </si>
  <si>
    <t>Le Bitrot 15</t>
  </si>
  <si>
    <t>09 83 45 39 66</t>
  </si>
  <si>
    <t>2 Rue Mademoiselle</t>
  </si>
  <si>
    <t>Huîtrerie</t>
  </si>
  <si>
    <t>01 40 60 65 65</t>
  </si>
  <si>
    <t>Le Signal</t>
  </si>
  <si>
    <t>21 Avenue Felix Faure</t>
  </si>
  <si>
    <t>01 45 54 18 23</t>
  </si>
  <si>
    <t>Les Trois Garcons</t>
  </si>
  <si>
    <t>165 Rue de Javel</t>
  </si>
  <si>
    <t>01 40 60 14 35</t>
  </si>
  <si>
    <t>48B+150C+12PC+1VN</t>
  </si>
  <si>
    <t>ppn,pp</t>
  </si>
  <si>
    <t>psei</t>
  </si>
  <si>
    <t>11PSEI</t>
  </si>
  <si>
    <t>pnor,nor</t>
  </si>
  <si>
    <t>194C</t>
  </si>
  <si>
    <t>97B</t>
  </si>
  <si>
    <t>600PP</t>
  </si>
  <si>
    <t>5GRANDECAMP</t>
  </si>
  <si>
    <t>102PC</t>
  </si>
  <si>
    <t>2LEV</t>
  </si>
  <si>
    <t>340B</t>
  </si>
  <si>
    <t>165PB</t>
  </si>
  <si>
    <t>20151206-013</t>
  </si>
  <si>
    <t>01.44.26.44.42</t>
  </si>
  <si>
    <t>194*Croissant(1,05€)+102*Pain au Chocolat(1,15€)+340*Baguette(0,95€)+165*Pain Burger(1,20€)</t>
  </si>
  <si>
    <t>Documents Clients\Factures\Facture-20151206-013.pdf</t>
  </si>
  <si>
    <t>20151206-014</t>
  </si>
  <si>
    <t>3paincereale</t>
  </si>
  <si>
    <t>77PNOR</t>
  </si>
  <si>
    <t>77*Pain Nordique(3,00€)+11*Pain de Seigle(2,60€)+3*Pain aux Céréales(0,00€)</t>
  </si>
  <si>
    <t>Documents Clients\Factures\Facture-20151206-014.pdf</t>
  </si>
  <si>
    <t>20151206-015</t>
  </si>
  <si>
    <t>52Co</t>
  </si>
  <si>
    <t>52*Croissant Ordinaire(1,00€)+97*Baguette(0,95€)+600*Les Petits Pains Nature(0,65€)+5*Grand Campagne(0,00€)+2*Levure(0,00€)</t>
  </si>
  <si>
    <t>Documents Clients\Factures\Facture-20151206-015.pdf</t>
  </si>
  <si>
    <t>20151206-016</t>
  </si>
  <si>
    <t>48*Baguette(0,95€)+150*Croissant(1,05€)+12*Pain au Chocolat(1,15€)+1*Viennoise Nature(1,20€)</t>
  </si>
  <si>
    <t>Documents Clients\Factures\Facture-20151206-016.pdf</t>
  </si>
  <si>
    <t>4pnoiscaram</t>
  </si>
  <si>
    <t>18pcomp+8grenier+18pfrui+18pmie+323t+338f+25ppn+210vc+180vn+18briotraichoco+705mv+560mv+16kgpatebrioche</t>
  </si>
  <si>
    <t>cak,cake</t>
  </si>
  <si>
    <t>brow,brownie</t>
  </si>
  <si>
    <t>10cak+2brow+100tarteletteamande+2patecakesmarbre</t>
  </si>
  <si>
    <t>20151206-017</t>
  </si>
  <si>
    <t>18*Pain complet(0,00€)+8*Pain Grenier(0,00€)+18*Pain Fruitier(2,85€)+18*Pain de Mie(2,30€)+323*Tradition(1,15€)+338*Ficelle(0,60€)+25*Les Petits Pains Nature(0,65€)+210*Viennois au Chocolat(1,40€)+180*Viennoise Nature(1,20€)+18*Brioche Tresse Pépites Chocolat(0,00€)+1265*Mini Viennoiserie(0,55€)+16*Pate à Brioche(0,00€)+10*Cake(8,00€)+2*Brownie(2,30€)+100*Tartelette Amande(0,00€)+2*Pate Cakes Marbré(0,00€)+4*Pain Noisettes Caramel(0,00€)</t>
  </si>
  <si>
    <t>Documents Clients\Factures\Facture-20151206-017.pdf</t>
  </si>
  <si>
    <t>Total</t>
  </si>
  <si>
    <t>Mois:</t>
  </si>
  <si>
    <t>Nom:</t>
  </si>
  <si>
    <t xml:space="preserve">LOL </t>
  </si>
  <si>
    <t>Feuille de Suivi de Commandes</t>
  </si>
  <si>
    <t>20151207-001</t>
  </si>
  <si>
    <t>Documents Clients\Factures\Facture-20151207-001.pdf</t>
  </si>
  <si>
    <t>20151207-002</t>
  </si>
  <si>
    <t>171*Tradition(1,15€)+240*CHX(0,00€)+500*LEV(0,00€)+8*Baguette(0,95€)+33,7999992370605*Divers(1,00€)+10*Pain Burger(1,20€)</t>
  </si>
  <si>
    <t>Hotel Monceau Etoile</t>
  </si>
  <si>
    <t>64 rue de Levis</t>
  </si>
  <si>
    <t>Fernanda Sarubbi</t>
  </si>
  <si>
    <t>67 rue Lepic</t>
  </si>
  <si>
    <t>01 42 27 33 10</t>
  </si>
  <si>
    <t>120*Baguette(0,95€)+309*Croissant(1,05€)</t>
  </si>
  <si>
    <t>Documents Clients\Factures\Facture-20151207-002-Hotel Monceau Etoile.pdf</t>
  </si>
  <si>
    <t>20151210-001</t>
  </si>
  <si>
    <t>15*VISITE DU BOULANGER(5,00€)</t>
  </si>
  <si>
    <t>Documents Clients\Factures\Facture-20151210-001-Fernanda Sarubbi.pdf</t>
  </si>
  <si>
    <t>171*Tradition(1,15€)+240*Choux(0,20€)+0,5*Levure(5,00€)+8*Baguette(0,95€)+33,7999992370605*Divers(1,00€)+10*Pain Burger(1,20€)</t>
  </si>
  <si>
    <t>Documents Clients\Factures\Facture-20151210-001-Il Paradiso.pdf</t>
  </si>
  <si>
    <t>20157044</t>
  </si>
  <si>
    <t>20157077</t>
  </si>
  <si>
    <t>15009050</t>
  </si>
  <si>
    <t>15009121</t>
  </si>
  <si>
    <t>20157179</t>
  </si>
  <si>
    <t>20157174</t>
  </si>
  <si>
    <t>3351202520</t>
  </si>
  <si>
    <t>15038466</t>
  </si>
  <si>
    <t>20157210</t>
  </si>
  <si>
    <t>20157247</t>
  </si>
  <si>
    <t>20157283</t>
  </si>
  <si>
    <t>15009262</t>
  </si>
  <si>
    <t>57144</t>
  </si>
  <si>
    <t>PRELEVEMENT LE 07/12/2015</t>
  </si>
  <si>
    <t>57113</t>
  </si>
  <si>
    <t>PRELEVEMENT LE 11/01/2016</t>
  </si>
  <si>
    <t>PRELEVEMENT</t>
  </si>
  <si>
    <t>PAR CHEQUE 0348645 LE 05/12/15</t>
  </si>
  <si>
    <t>PAR CHEQUE 0300049 LE 05/12/15</t>
  </si>
  <si>
    <t>PAR CHEQUE 0348645LE 05/12/15</t>
  </si>
  <si>
    <t>CHEQUE 2702,48</t>
  </si>
  <si>
    <t>CHEQUE 0348755 2181,32</t>
  </si>
  <si>
    <t>CHEQUE 0300059 686,91</t>
  </si>
  <si>
    <t>PRELEVEMENT 19/11/2015 1979,75</t>
  </si>
  <si>
    <t>CHEQUE 0300064 305,95</t>
  </si>
  <si>
    <t>PRELEVEMENT LE 10/12/2015 1043,23</t>
  </si>
  <si>
    <t>Prélèvement le 20/11/2015 1445,71</t>
  </si>
  <si>
    <t>PRELEVEMENT LE 30/11/2015 1672,54</t>
  </si>
  <si>
    <t>3351111400</t>
  </si>
  <si>
    <t>PRELEVEMENT 10/12/2015 4032,37</t>
  </si>
  <si>
    <t>15008891</t>
  </si>
  <si>
    <t>MEETING THE FRENCH</t>
  </si>
  <si>
    <t>Reinit Fact.</t>
  </si>
  <si>
    <t>P.U. TTC</t>
  </si>
  <si>
    <t>(P.U. HT)</t>
  </si>
  <si>
    <t>(TVA (5.5%))</t>
  </si>
  <si>
    <t>Saisir optionnellement un P.U.HT</t>
  </si>
  <si>
    <t>Saisir TVA si &lt;&gt;5.5%</t>
  </si>
  <si>
    <t>20151210-002</t>
  </si>
  <si>
    <t>19*VISITE DU BOULANGER(5,00€)</t>
  </si>
  <si>
    <t>Documents Clients\Factures\Facture-20151210-002-MEETING THE FRENCH.pdf</t>
  </si>
  <si>
    <t>20157435</t>
  </si>
  <si>
    <t>3351206862</t>
  </si>
  <si>
    <t>20157384</t>
  </si>
  <si>
    <t>081515</t>
  </si>
  <si>
    <t>2699494</t>
  </si>
  <si>
    <t>57538</t>
  </si>
  <si>
    <t>15039431</t>
  </si>
  <si>
    <t>57560</t>
  </si>
  <si>
    <t>PRELEVEMENT 14/12/2015</t>
  </si>
  <si>
    <t>20157373</t>
  </si>
  <si>
    <t>20157343</t>
  </si>
  <si>
    <t>20157308</t>
  </si>
  <si>
    <t>20157287</t>
  </si>
  <si>
    <t>20157288</t>
  </si>
  <si>
    <t>20157242</t>
  </si>
  <si>
    <t>20157082</t>
  </si>
  <si>
    <t>20157122</t>
  </si>
  <si>
    <t>20157092</t>
  </si>
  <si>
    <t>20157093</t>
  </si>
  <si>
    <t>20157186</t>
  </si>
  <si>
    <t>20157167</t>
  </si>
  <si>
    <t>3351209373</t>
  </si>
  <si>
    <t>3351200011</t>
  </si>
  <si>
    <t>3351205604</t>
  </si>
  <si>
    <t>3351200012</t>
  </si>
  <si>
    <t>20157429</t>
  </si>
  <si>
    <t>20157467</t>
  </si>
  <si>
    <t>15038374</t>
  </si>
  <si>
    <t>751005</t>
  </si>
  <si>
    <t>Sandwich Jambon Pays</t>
  </si>
  <si>
    <t>Sandwich Saucisson</t>
  </si>
  <si>
    <t>Sandwich Brie</t>
  </si>
  <si>
    <t>Sandwich Poulet Moutarde</t>
  </si>
  <si>
    <t>Sandwich Saumon</t>
  </si>
  <si>
    <t>Sandwich Végétarien</t>
  </si>
  <si>
    <t>Sandwich Italien</t>
  </si>
  <si>
    <t>Sandwich Suédois Poulet</t>
  </si>
  <si>
    <t>Sandwich Suédois Thon</t>
  </si>
  <si>
    <t>Sandwich Chèvre Crudités</t>
  </si>
  <si>
    <t>Sandwich Suédois Saumon</t>
  </si>
  <si>
    <t>Sandwich Jambon Crudités</t>
  </si>
  <si>
    <t>Jambon Fromage</t>
  </si>
  <si>
    <t>Jambon Beurre</t>
  </si>
  <si>
    <t>Jambon Pays</t>
  </si>
  <si>
    <t>Saucisson</t>
  </si>
  <si>
    <t>Brie</t>
  </si>
  <si>
    <t>Poulet Moutarde</t>
  </si>
  <si>
    <t>Saumon</t>
  </si>
  <si>
    <t>Végétarien</t>
  </si>
  <si>
    <t>Italien</t>
  </si>
  <si>
    <t>Suédois Poulet</t>
  </si>
  <si>
    <t>Suédois Thon</t>
  </si>
  <si>
    <t>Chèvre Crudités</t>
  </si>
  <si>
    <t>Suédois Saumon</t>
  </si>
  <si>
    <t>Jambon Crudités</t>
  </si>
  <si>
    <t>Pain Tradition, Beurre, Tranches de Jambon et tranches d'Emmental</t>
  </si>
  <si>
    <t>Pain Tradition, Beurre, Tranches de Jambon</t>
  </si>
  <si>
    <t>Pain Tradition, Beurre, Tranches de Jambon de Pays avec Morceaux de Cornichons</t>
  </si>
  <si>
    <t>Pain Tradition, Beurre, Rondelles de Rosette, Morceaux de Cornichons</t>
  </si>
  <si>
    <t>Pain Tradition, Beurre, Tranches de Brie</t>
  </si>
  <si>
    <t>Pain Maïs, Dés de Poulet mélangés avec Mayonnaise et Moutarde à l'ancienne, Salade, Rondelles de Tomates</t>
  </si>
  <si>
    <t>Pain Nordique, Saint-Moret, Tranches de Tomates.</t>
  </si>
  <si>
    <t>Pain Céréales, Huile d'olive, Poivrons grillés, Tomates confites, Salade.</t>
  </si>
  <si>
    <t>Pain Céréales, Huile d'olive, Jambon de pays, Tomates confites, Salade.</t>
  </si>
  <si>
    <t>Pain Suédois, Dés de poulet, Mayonnaise, Salade, Œufs, Tomtes.</t>
  </si>
  <si>
    <t>Pain Tradition, Miettes de Thon, Mayonnaise, Œufs, Salades, Tomates.</t>
  </si>
  <si>
    <t xml:space="preserve">Pain Tradition, Lamelles de Poulet, Mayonnaise, Œufs, Salade, Tomates. </t>
  </si>
  <si>
    <t>Pain Suédois, Saint-Moret, Tranches de saumon fumé, Salades, Tomates.</t>
  </si>
  <si>
    <t>Pain Tradition, Tranches de jambon, Tranches d'emmental, Mayonnaise, Salade, Tomates, Œufs.</t>
  </si>
  <si>
    <t>Mini Financier</t>
  </si>
  <si>
    <t>150g</t>
  </si>
  <si>
    <t>300g</t>
  </si>
  <si>
    <t>Evian</t>
  </si>
  <si>
    <t>Soupe</t>
  </si>
  <si>
    <t>Brioche Nature</t>
  </si>
  <si>
    <t>Brioche au Sucre</t>
  </si>
  <si>
    <t>Brioche Nature/Sucre</t>
  </si>
  <si>
    <t>CHEQUE 0348766 1209,11 17/12/15</t>
  </si>
  <si>
    <t>PRELEVEMENT LE 16/12/15</t>
  </si>
  <si>
    <t>20151218-001</t>
  </si>
  <si>
    <t>296*Tradition(1,15€)+214*Ficelle(0,60€)+14*Pain de Mie(2,30€)+14*Pain Fruitier(2,85€)+15*Les Petits Pains Nature(0,65€)+9*Divers Boulangerie(2,30€)+1300*Mini Viennoiserie(0,55€)+14*Brioche Nature(1,35€)+3*Richelieu 4 pers(19,00€)+3*Richelieu 6 pers(28,50€)+75*Divers Patisserie(0,35€)+9*Pate à brioche(14,00€)+3*Buches 8 personnes(32,80€)+3*Marbre (40x60)(84,00€)</t>
  </si>
  <si>
    <t>Documents Clients\Factures\Facture-20151218-001-Châteauform.pdf</t>
  </si>
  <si>
    <t>20151018-001</t>
  </si>
  <si>
    <t>Documents Clients\Factures\Facture-20151018-001-Châteauform.pdf</t>
  </si>
  <si>
    <t>320*Tradition(1,15€)+302*Ficelle(0,60€)+22*Pain de Mie(2,30€)+22*Pain Fruitier(2,85€)+18*Les Petits Pains Nature(0,65€)+22*Pain Complet (2,43€)+410*Mini Viennoiserie(0,55€)+10*Brioche Nature(1,35€)+12*Pate à brioche(14,00€)+2*Marbre (40x60)(84,00€)</t>
  </si>
  <si>
    <t>PRELEVEMENT 20/12/2015 574,76</t>
  </si>
  <si>
    <t>CHEQUE 0348771 1428,22 23/12/15</t>
  </si>
  <si>
    <t>TOUSANSEL</t>
  </si>
  <si>
    <t>CLIENT</t>
  </si>
  <si>
    <t>57 boulevard des Batignolles</t>
  </si>
  <si>
    <t>01 42 66 16 02</t>
  </si>
  <si>
    <t>58333</t>
  </si>
  <si>
    <t>PRELEVEMENT 01/02/16</t>
  </si>
  <si>
    <t>15041362</t>
  </si>
  <si>
    <t>ECHEANCE 31/01/16</t>
  </si>
  <si>
    <t>004982235</t>
  </si>
  <si>
    <t>58245</t>
  </si>
  <si>
    <t>PRELEVEMENT 11/01/16</t>
  </si>
  <si>
    <t>20157466</t>
  </si>
  <si>
    <t>20157646</t>
  </si>
  <si>
    <t>20157584</t>
  </si>
  <si>
    <t>20157667</t>
  </si>
  <si>
    <t>20157643</t>
  </si>
  <si>
    <t>20157609</t>
  </si>
  <si>
    <t>20157727</t>
  </si>
  <si>
    <t>15041367</t>
  </si>
  <si>
    <t>2713695</t>
  </si>
  <si>
    <t>2716937</t>
  </si>
  <si>
    <t>57932</t>
  </si>
  <si>
    <t>PRELEVEMENT 25/01/2016</t>
  </si>
  <si>
    <t>3351212079</t>
  </si>
  <si>
    <t>3351213581</t>
  </si>
  <si>
    <t>PRELEVEMENT 30/01/2016</t>
  </si>
  <si>
    <t>20157548</t>
  </si>
  <si>
    <t>15040502</t>
  </si>
  <si>
    <t>20157496</t>
  </si>
  <si>
    <t>20157528</t>
  </si>
  <si>
    <t>20157618</t>
  </si>
  <si>
    <t>20157554</t>
  </si>
  <si>
    <t>57766</t>
  </si>
  <si>
    <t>PRELEVEMENT 19/12/2015</t>
  </si>
  <si>
    <t>3351211376</t>
  </si>
  <si>
    <t>3351215407</t>
  </si>
  <si>
    <t>PRELEVEMENT 03/01/2016</t>
  </si>
  <si>
    <t>PRELEVEMENT 20/12/2015 2282,08</t>
  </si>
  <si>
    <t>3351202320</t>
  </si>
  <si>
    <t>PRELEVEMENT 30/12/2015 603,08</t>
  </si>
  <si>
    <t>CHEQUE 0348761 10/12/2015</t>
  </si>
  <si>
    <t>CHEQUE 0300067 1815,77</t>
  </si>
  <si>
    <t>CHEQUE 0348765 3842,32</t>
  </si>
  <si>
    <t>CHEQUE 0348776 1661,06</t>
  </si>
  <si>
    <t>CHEQUE 0300072 415,64</t>
  </si>
  <si>
    <t xml:space="preserve">CHEQUE 0348777 3645,43 </t>
  </si>
  <si>
    <t>CHEQUE 0300073 1997,49</t>
  </si>
  <si>
    <t>20160102-001</t>
  </si>
  <si>
    <t>20160102-004</t>
  </si>
  <si>
    <t>Documents Clients\Factures\Facture-20160102-004-Bistrot des Vignes.pdf</t>
  </si>
  <si>
    <t>491*Tradition(1,00€)+7*Divers Boulangerie(1,00€)</t>
  </si>
  <si>
    <t>187*Tradition(1,15€)+6,9*Divers Boulangerie(1,00€)</t>
  </si>
  <si>
    <t>Documents Clients\Factures\Facture-20160102-001-Bistrot de Louise.pdf</t>
  </si>
  <si>
    <t>20160102-002</t>
  </si>
  <si>
    <t>72*Tradition(1,15€)</t>
  </si>
  <si>
    <t>Documents Clients\Factures\Facture-20160102-002-Mad et Mariette.pdf</t>
  </si>
  <si>
    <t>20160102-003</t>
  </si>
  <si>
    <t>54*Tradition(1,15€)+221*Double Tradition(2,30€)</t>
  </si>
  <si>
    <t>Documents Clients\Factures\Facture-20160102-003-La Bouteille sur la Table.pdf</t>
  </si>
  <si>
    <t>20160102-005</t>
  </si>
  <si>
    <t>241*Tradition(1,15€)+7*Tradition aux Graines(1,35€)+42,19*Divers Boulangerie(1,00€)</t>
  </si>
  <si>
    <t>Documents Clients\Factures\Facture-20160102-005-Tourbillon.pdf</t>
  </si>
  <si>
    <t>20160102-006</t>
  </si>
  <si>
    <t>199*Tradition(1,15€)+180*Choux(0,20€)+0,2*Levure(5,00€)+8,2*Pain des Canuts(1,00€)</t>
  </si>
  <si>
    <t>Documents Clients\Factures\Facture-20160102-006-Il Paradiso.pdf</t>
  </si>
  <si>
    <t>01.47.63.75.28</t>
  </si>
  <si>
    <t>20160102-007</t>
  </si>
  <si>
    <t>152*Baguette(0,95€)+398*Croissant(1,05€)</t>
  </si>
  <si>
    <t>Documents Clients\Factures\Facture-20160102-007-Hotel Monceau Etoile.pdf</t>
  </si>
  <si>
    <t>20160102-008</t>
  </si>
  <si>
    <t>237*Tradition(1,15€)+144*Demi-Tradition(0,60€)+2*Pain de Mie(2,30€)+142*Pain Burger(1,20€)+164*Croissant(1,05€)+72*Pain au Chocolat(1,15€)</t>
  </si>
  <si>
    <t>Documents Clients\Factures\Facture-20160102-008-La Table Monceau.pdf</t>
  </si>
  <si>
    <t>Ficelle Lardons et Fromage</t>
  </si>
  <si>
    <t>Ficelle Tomate Basilic</t>
  </si>
  <si>
    <t>Ficelle Chorizo Maïs</t>
  </si>
  <si>
    <t>Salade Végétarienne</t>
  </si>
  <si>
    <t>Salade de riz</t>
  </si>
  <si>
    <t>15042026</t>
  </si>
  <si>
    <t>3351216787</t>
  </si>
  <si>
    <t>ECHEANCE 08/01/16</t>
  </si>
  <si>
    <t>3351216731</t>
  </si>
  <si>
    <t>ECHEANCE 30/01/2016</t>
  </si>
  <si>
    <t>20157734</t>
  </si>
  <si>
    <t>58375</t>
  </si>
  <si>
    <t>PRELEVEMENT 13/01/2015</t>
  </si>
  <si>
    <t>20157757</t>
  </si>
  <si>
    <t>20157406</t>
  </si>
  <si>
    <t>20157783</t>
  </si>
  <si>
    <t>PRELEVEMENT 20/01/2016 493,83</t>
  </si>
  <si>
    <t>PRELEVEMENT 10/01/2016 1382,12</t>
  </si>
  <si>
    <t>PRELEVEMENT 31/12/2015 1382,12</t>
  </si>
  <si>
    <t>201157714</t>
  </si>
  <si>
    <t>201157747</t>
  </si>
  <si>
    <t>2739350</t>
  </si>
  <si>
    <t>2664712</t>
  </si>
  <si>
    <t>2656804</t>
  </si>
  <si>
    <t>2732569</t>
  </si>
  <si>
    <t>2714845</t>
  </si>
  <si>
    <t>2699542</t>
  </si>
  <si>
    <t>2682552</t>
  </si>
  <si>
    <t>2642408</t>
  </si>
  <si>
    <t>2656935</t>
  </si>
  <si>
    <t>58739</t>
  </si>
  <si>
    <t>CHEQUE 0348799 3650,14</t>
  </si>
  <si>
    <t>20160108-001</t>
  </si>
  <si>
    <t>183*Tradition(1,15€)</t>
  </si>
  <si>
    <t>Documents Clients\Factures\Facture-20160108-001-Imprévu.pdf</t>
  </si>
  <si>
    <t>Bûche Café 4 pers</t>
  </si>
  <si>
    <t>Bûche Café 8 pers</t>
  </si>
  <si>
    <t>Bûche Café 6 pers</t>
  </si>
  <si>
    <t>8 pers</t>
  </si>
  <si>
    <t>Bûche Café</t>
  </si>
  <si>
    <t>Bûche 4 pers</t>
  </si>
  <si>
    <t>Bûche 6 pers</t>
  </si>
  <si>
    <t>Bûche 8 pers</t>
  </si>
  <si>
    <t>Bûche Chocolat 4 pers</t>
  </si>
  <si>
    <t>Bûche Chocolat 6 pers</t>
  </si>
  <si>
    <t>Bûche Chocolat 8 pers</t>
  </si>
  <si>
    <t xml:space="preserve">Bûche Chocolat </t>
  </si>
  <si>
    <t>Bûche Baiser de Margot 4 pers</t>
  </si>
  <si>
    <t>Bûche Baiser de Margot 8 pers</t>
  </si>
  <si>
    <t>Bûche Baiser de Margot 6 pers</t>
  </si>
  <si>
    <t xml:space="preserve">Bûche Baiser de Margot </t>
  </si>
  <si>
    <t>Bûche Cafe/Ch. 4 pers</t>
  </si>
  <si>
    <t>Bûche Cafe/Ch. 8 pers</t>
  </si>
  <si>
    <t>Bûche Cafe/Ch. 6 pers</t>
  </si>
  <si>
    <t>Bûche Gianduneige 4 pers</t>
  </si>
  <si>
    <t>Bûche Gianduneige 6 pers</t>
  </si>
  <si>
    <t>Bûche Gianduneige 8 pers</t>
  </si>
  <si>
    <t>Bûche Gianduneige</t>
  </si>
  <si>
    <t>Bûche Richeulieu 4 pers</t>
  </si>
  <si>
    <t>Bûche Richeulieu 6 pers</t>
  </si>
  <si>
    <t>Bûche Richeulieu 8 pers</t>
  </si>
  <si>
    <t>Bûche Richeulieu</t>
  </si>
  <si>
    <t>Bûche Ecureuil</t>
  </si>
  <si>
    <t>Bûche Ecureuil 4 pers</t>
  </si>
  <si>
    <t>Bûche Ecureuil 6 pers</t>
  </si>
  <si>
    <t>Bûche Ecureuil 8 pers</t>
  </si>
  <si>
    <t>Bûche Passion-Framboise 4 pers</t>
  </si>
  <si>
    <t>Bûche Passion-Framboise  6 pers</t>
  </si>
  <si>
    <t>Bûche Passion-Framboise  8 pers</t>
  </si>
  <si>
    <t xml:space="preserve">Bûche Passion-Framboise </t>
  </si>
  <si>
    <t>Tartelette Fraise</t>
  </si>
  <si>
    <t>Tartelette Framboise</t>
  </si>
  <si>
    <t>Tartelette Fruit</t>
  </si>
  <si>
    <t>Bûchette Café</t>
  </si>
  <si>
    <t>Bûchette Chocolat</t>
  </si>
  <si>
    <t>Bûchette Spéculos</t>
  </si>
  <si>
    <t>Bûchette Praline</t>
  </si>
  <si>
    <t>Bûchette Baiser de Margot</t>
  </si>
  <si>
    <t>Bûchette Gianduneige</t>
  </si>
  <si>
    <t>Bûchette Richeulieu</t>
  </si>
  <si>
    <t>Bûchette Ecureuil</t>
  </si>
  <si>
    <t>Bûchette Passion-Framboise</t>
  </si>
  <si>
    <t>Bûchette Café/Ch.</t>
  </si>
  <si>
    <t>Bûchette</t>
  </si>
  <si>
    <t>Tarte Fine Pommes</t>
  </si>
  <si>
    <t>Tarte Fine Pommes 6 pers</t>
  </si>
  <si>
    <t>Tarte Fine Mirabelles 6 pers</t>
  </si>
  <si>
    <t>Tarte Fine Poires 6 pers</t>
  </si>
  <si>
    <t>Tarte Fine Abricots 6 pers</t>
  </si>
  <si>
    <t>Tarte Fine Abricots</t>
  </si>
  <si>
    <t>Tarte Fine Mirabelles</t>
  </si>
  <si>
    <t>Tarte Fine Poires</t>
  </si>
  <si>
    <t>Sandwich Rillettes</t>
  </si>
  <si>
    <t>Rillettes</t>
  </si>
  <si>
    <t>Pain Tradition, Rillettes</t>
  </si>
  <si>
    <t>Tarte Fraises 4pers</t>
  </si>
  <si>
    <t>Tarte Fraises 6pers</t>
  </si>
  <si>
    <t>Tarte Fraises</t>
  </si>
  <si>
    <t>Tarte Framboises 4pers</t>
  </si>
  <si>
    <t>Tarte Framboises 6pers</t>
  </si>
  <si>
    <t>Tarte Fraises Framboises 4pers</t>
  </si>
  <si>
    <t>Tarte Fraises Framboises 6pers</t>
  </si>
  <si>
    <t>Tarte Fraises Framboises</t>
  </si>
  <si>
    <t>Tarte Framboises</t>
  </si>
  <si>
    <t>3360100910</t>
  </si>
  <si>
    <t>PRELEVEMENT 10/02/2016</t>
  </si>
  <si>
    <t>201651</t>
  </si>
  <si>
    <t>201643</t>
  </si>
  <si>
    <t>201667</t>
  </si>
  <si>
    <t>201695</t>
  </si>
  <si>
    <t>2016104</t>
  </si>
  <si>
    <t>16000812</t>
  </si>
  <si>
    <t>2016144</t>
  </si>
  <si>
    <t>3360103643</t>
  </si>
  <si>
    <t>16000785</t>
  </si>
  <si>
    <t>2016147</t>
  </si>
  <si>
    <t>2016200</t>
  </si>
  <si>
    <t>PRELEVEMENT 31/01/16</t>
  </si>
  <si>
    <t>3351215121</t>
  </si>
  <si>
    <t>ECHEANCE 10/01/16</t>
  </si>
  <si>
    <t>58726</t>
  </si>
  <si>
    <t>PRELEVEMENT 18/01/16</t>
  </si>
  <si>
    <t>2748164</t>
  </si>
  <si>
    <t>58979</t>
  </si>
  <si>
    <t>PRELEVEMENT 24/01/2016</t>
  </si>
  <si>
    <t>59041</t>
  </si>
  <si>
    <t>PRELEVEMENT 14/02/16</t>
  </si>
  <si>
    <t>Salade de Carottes</t>
  </si>
  <si>
    <t>Salade de Concombres</t>
  </si>
  <si>
    <t>Bouteille de Vin Rouge</t>
  </si>
  <si>
    <t>Bouteille de Vin Blanc</t>
  </si>
  <si>
    <t>Yaourt</t>
  </si>
  <si>
    <t xml:space="preserve">    4 p.</t>
  </si>
  <si>
    <t xml:space="preserve">    6 p.</t>
  </si>
  <si>
    <t xml:space="preserve">    4 p</t>
  </si>
  <si>
    <t xml:space="preserve">   6 p</t>
  </si>
  <si>
    <t xml:space="preserve">   8 p</t>
  </si>
  <si>
    <t>14027547</t>
  </si>
  <si>
    <t>CHEQUE 0300081</t>
  </si>
  <si>
    <t>3360102871</t>
  </si>
  <si>
    <t>ECHEANCE  17/01/16</t>
  </si>
  <si>
    <t>2016106</t>
  </si>
  <si>
    <t>2016205</t>
  </si>
  <si>
    <t>3360104489</t>
  </si>
  <si>
    <t>ECHEANCE 10/02/16</t>
  </si>
  <si>
    <t>59365</t>
  </si>
  <si>
    <t>58702</t>
  </si>
  <si>
    <t>16001563</t>
  </si>
  <si>
    <t>ECHEANCE 07/02/2016</t>
  </si>
  <si>
    <t>2016297</t>
  </si>
  <si>
    <t>2016305</t>
  </si>
  <si>
    <t>2016304</t>
  </si>
  <si>
    <t>2016245</t>
  </si>
  <si>
    <t>2016274</t>
  </si>
  <si>
    <t xml:space="preserve">CHEQUE 0300088 133,75      </t>
  </si>
  <si>
    <t xml:space="preserve">CHEQUE 0300088 133,75 </t>
  </si>
  <si>
    <t>CHEQUE 0348709 16/01/2016</t>
  </si>
  <si>
    <t>CHEQUE 0348709 16/01/2016CHEQUE 0348709 16/01/2016</t>
  </si>
  <si>
    <t>3360107273</t>
  </si>
  <si>
    <t>ECHEANCE 24/01/16</t>
  </si>
  <si>
    <t>15042160</t>
  </si>
  <si>
    <t>415</t>
  </si>
  <si>
    <t>16001793</t>
  </si>
  <si>
    <t>CHEQUE 0348710 1815,74</t>
  </si>
  <si>
    <t>082407</t>
  </si>
  <si>
    <t>CHEQUE 0300091 20/01/16</t>
  </si>
  <si>
    <t>59517</t>
  </si>
  <si>
    <t>ECHEANCE 22/02/16</t>
  </si>
  <si>
    <t>2772692</t>
  </si>
  <si>
    <t>ECHEANCE 29/02/2016</t>
  </si>
  <si>
    <t>PAYEE</t>
  </si>
  <si>
    <t>CHEQUE 0300092</t>
  </si>
  <si>
    <t>prelevement le 17/01/16</t>
  </si>
  <si>
    <t>2016416</t>
  </si>
  <si>
    <t>2016383</t>
  </si>
  <si>
    <t>2016367</t>
  </si>
  <si>
    <t>2016395</t>
  </si>
  <si>
    <t>CHEQUE 0300093 1313,99</t>
  </si>
  <si>
    <t>CHEQUE 0348711 3579,11</t>
  </si>
  <si>
    <t>CHEQUE 0300094 1054,02</t>
  </si>
  <si>
    <t>CHEQUE</t>
  </si>
  <si>
    <t>15039170</t>
  </si>
  <si>
    <t>15039273</t>
  </si>
  <si>
    <t>20160108-002</t>
  </si>
  <si>
    <t>18*VISITE DU BOULANGER(5,00€)</t>
  </si>
  <si>
    <t>Documents Clients\Factures\Facture-20160108-002-MEETING THE FRENCH.pdf</t>
  </si>
  <si>
    <t>2016496</t>
  </si>
  <si>
    <t>2016432</t>
  </si>
  <si>
    <t>2016469</t>
  </si>
  <si>
    <t>16002397</t>
  </si>
  <si>
    <t>16001674</t>
  </si>
  <si>
    <t>16002435</t>
  </si>
  <si>
    <t>59975</t>
  </si>
  <si>
    <t>3360109640</t>
  </si>
  <si>
    <t>2016479</t>
  </si>
  <si>
    <t>ECHEANCE 20/02/16</t>
  </si>
  <si>
    <t>ECHEANCE 07/02/16</t>
  </si>
  <si>
    <t>59831</t>
  </si>
  <si>
    <t>60202</t>
  </si>
  <si>
    <t>ECHEANCE 14/02/16</t>
  </si>
  <si>
    <t>2016548</t>
  </si>
  <si>
    <t>janv</t>
  </si>
  <si>
    <t>Total janv</t>
  </si>
  <si>
    <t>sept</t>
  </si>
  <si>
    <t>Total sept</t>
  </si>
  <si>
    <t>oct</t>
  </si>
  <si>
    <t>Total oct</t>
  </si>
  <si>
    <t>nov</t>
  </si>
  <si>
    <t>Total nov</t>
  </si>
  <si>
    <t>déc</t>
  </si>
  <si>
    <t>Total déc</t>
  </si>
  <si>
    <t>Unité</t>
  </si>
  <si>
    <t>Fournisseur 4</t>
  </si>
  <si>
    <t>Fournisseur 5</t>
  </si>
  <si>
    <t>Fournisseur 6</t>
  </si>
  <si>
    <t>Fournisseur 7</t>
  </si>
  <si>
    <t>Fournisseur 8</t>
  </si>
  <si>
    <t>Fournisseur 9</t>
  </si>
  <si>
    <t>Fournisseur 10</t>
  </si>
  <si>
    <t>SPRINGER LEVURE 20X500G</t>
  </si>
  <si>
    <t>SEL FIN 20KG FOURNISEL</t>
  </si>
  <si>
    <t>FARINE DE SARRASIN 25KG AIT</t>
  </si>
  <si>
    <t>SEMOULE EXTRA FINE 25K LE RENARD</t>
  </si>
  <si>
    <t>SUCRE BUCHETTE 5gx500</t>
  </si>
  <si>
    <t>SUCRE GRAIN 25KG GROS CASSON</t>
  </si>
  <si>
    <t>CASSONADE SUCRE PURE CANNE 5X1KG</t>
  </si>
  <si>
    <t>SUCRE CRISTAL FIN 20KG</t>
  </si>
  <si>
    <t>SUCRE GLACE PULVER 20KG</t>
  </si>
  <si>
    <t>MARGARINE PRIVILEGE TOURAGE CF 5X2KG</t>
  </si>
  <si>
    <t>OEUF GROS CAL 63/73 CARTON 360</t>
  </si>
  <si>
    <t>BLANC OEUF DES CHEFS 6X1 KG OVOTEAM</t>
  </si>
  <si>
    <t>OEUF ENTIER LIQUIDE 5kg BIDON ABCD</t>
  </si>
  <si>
    <t>P1-2</t>
  </si>
  <si>
    <t>GOUSSE VANILLE BOURBON V6260 DISGROUP</t>
  </si>
  <si>
    <t>AROME CAPE BRESILIEN SEBALCE 1L</t>
  </si>
  <si>
    <t>IRCA CHOC AROMATISATION 5K6</t>
  </si>
  <si>
    <t>TOFFEE D'OR CARAMEL FOURRAGE IRCA 5KG</t>
  </si>
  <si>
    <t>MIRROR CHOCOLAT CIOCCOLATO IRCA 5KG</t>
  </si>
  <si>
    <t>NAPPAGE OR 14KG DISGROUP</t>
  </si>
  <si>
    <t>NAPPAGE BLOND 7KG DISGROUP</t>
  </si>
  <si>
    <t>PAILLETE FEUILLETINE BOITE 2K5</t>
  </si>
  <si>
    <t>PRALINE IRCA AMANDE NOISETTE 5KG</t>
  </si>
  <si>
    <t>PASTA NOCCIOLA 5K PATE DE NOISETTE IRCA</t>
  </si>
  <si>
    <t>GELATINE POUDRE 200 SEBALCE 1KG</t>
  </si>
  <si>
    <t>DELICRISP BLANC 5KG</t>
  </si>
  <si>
    <t>MIEL 5KG MILLE FLEURS</t>
  </si>
  <si>
    <t>ECLATS DE CARAMEL SALIDOU 750g</t>
  </si>
  <si>
    <t>MINI GOUTTE 20KG PETITA 40% IRCA</t>
  </si>
  <si>
    <t>RENO BLANC BIANCO 5KG</t>
  </si>
  <si>
    <t>NOBEL BITTER PATE A GLACER BRUNE 5KG</t>
  </si>
  <si>
    <t>DEMOUL SPRAY DEMOULAGE 600ml DISGROUP</t>
  </si>
  <si>
    <t>PUREE MANGUE BOIRON 6x1KG</t>
  </si>
  <si>
    <t>PAIN SUEDOIS</t>
  </si>
  <si>
    <t>FRAMBOISE MECKER BOIRON</t>
  </si>
  <si>
    <t>MINI PAIN CHOCOLAT BRIDOR</t>
  </si>
  <si>
    <t>MINI CROISSANT</t>
  </si>
  <si>
    <t>P3</t>
  </si>
  <si>
    <t>MINI PAIN RAISINS</t>
  </si>
  <si>
    <t>PUREE PASSION DISGROUP</t>
  </si>
  <si>
    <t>CANNELES DE BORDEAUX</t>
  </si>
  <si>
    <t>MUFFIN FOURRE TRIPLE CHOCOLAT</t>
  </si>
  <si>
    <t>MUFFIN FOURRE MYRTILLE</t>
  </si>
  <si>
    <t>MUFFIN FOURRE CARAMEL</t>
  </si>
  <si>
    <t>CROISSANT REFLET GELFINOR</t>
  </si>
  <si>
    <t>MINI BEIGNET NATURE</t>
  </si>
  <si>
    <t>BASILIC SURGELE DAREGAL</t>
  </si>
  <si>
    <t>BRISURE FRAMBOISE</t>
  </si>
  <si>
    <t>FILET POULET IQF CRU SURGELE</t>
  </si>
  <si>
    <t>PUREE FRAMBOISE</t>
  </si>
  <si>
    <t>HUILE D’OLIVE</t>
  </si>
  <si>
    <t>VINAIGRE CRISTAL ALCOOL</t>
  </si>
  <si>
    <t>GARNITURE PIZZA</t>
  </si>
  <si>
    <t>THON POCHE</t>
  </si>
  <si>
    <t>HUILE DE TOURNESOL</t>
  </si>
  <si>
    <t>MAIS GRAINS</t>
  </si>
  <si>
    <t>MAYONNAISE</t>
  </si>
  <si>
    <t>OLIVES RONDELLES</t>
  </si>
  <si>
    <t>MUSCADE MOULUE</t>
  </si>
  <si>
    <t>CORNICHON BROVER</t>
  </si>
  <si>
    <t>TOMATES MARINEES SEAU</t>
  </si>
  <si>
    <t>COURGETTES GRILLEES MARINEES</t>
  </si>
  <si>
    <t>POIVRONS LANIERES MARINES</t>
  </si>
  <si>
    <t>SPAGHETTIS BARILLA</t>
  </si>
  <si>
    <t>FUSILLI BARILLA</t>
  </si>
  <si>
    <t>MIGNONETTE BALSAMIQUE OLIVE</t>
  </si>
  <si>
    <t>SAUMON FUME TRANCHE</t>
  </si>
  <si>
    <t>JAMBON SEC DE PAYS</t>
  </si>
  <si>
    <t>ROSETTE</t>
  </si>
  <si>
    <t>SAUCISSE FRANCFORT</t>
  </si>
  <si>
    <t>CREVETTE ROSE MOYENNE</t>
  </si>
  <si>
    <t>JAMBON BLANC</t>
  </si>
  <si>
    <t>LARDONS FUMES</t>
  </si>
  <si>
    <t>EMMENTAL</t>
  </si>
  <si>
    <t>REBLOCHON</t>
  </si>
  <si>
    <t>ROQUEFORT</t>
  </si>
  <si>
    <t>COCA COLA</t>
  </si>
  <si>
    <t>COCA COLA LIGHT</t>
  </si>
  <si>
    <t>ICE TEA PECHE</t>
  </si>
  <si>
    <t>SPRITE</t>
  </si>
  <si>
    <t>CRISTALINE</t>
  </si>
  <si>
    <t>COCA COLA ZERO</t>
  </si>
  <si>
    <t>PAGO BIO POMME PRESSEES</t>
  </si>
  <si>
    <t>COLIS HARIBO</t>
  </si>
  <si>
    <t>ROND OR 22 UNI</t>
  </si>
  <si>
    <t>BOITE BLANCHE 26X5</t>
  </si>
  <si>
    <t>BOITE BLANCHE 32X8</t>
  </si>
  <si>
    <t>CAISSETTE PATISSERIE 14CM</t>
  </si>
  <si>
    <t>CAISSETTE PATISSERIE 16CM</t>
  </si>
  <si>
    <t>CAISSETTE PATISSERIE 18CM</t>
  </si>
  <si>
    <t>CARRE RAINE 13X13</t>
  </si>
  <si>
    <t>CARRE RAINE 17X17</t>
  </si>
  <si>
    <t>CARRE RAINE 19X19</t>
  </si>
  <si>
    <t>PLATEAU LUNCH OR</t>
  </si>
  <si>
    <t>RECTANGLE LANGUETTE NOIR OR</t>
  </si>
  <si>
    <t>CAISSETTE BRUNE 1201F70</t>
  </si>
  <si>
    <t>CAISSETTE BRUNE 1207</t>
  </si>
  <si>
    <t>CAISSETTE BRUNE 88</t>
  </si>
  <si>
    <t>FEUILLET MILUNE PPT 9X13</t>
  </si>
  <si>
    <t>FILM ALIMENTAIRE</t>
  </si>
  <si>
    <t>PAPIER PATISSERIE 30X40</t>
  </si>
  <si>
    <t>PAPIER PATISSERIE 60X40</t>
  </si>
  <si>
    <t>PAPIER CUISSON DISGROUP 41G/M2 X500</t>
  </si>
  <si>
    <t>SAC SANDWICH POLY NEUTRE</t>
  </si>
  <si>
    <t>SAC CROISSANT 103 BLANC</t>
  </si>
  <si>
    <t>SAC CROISSANT 104 BLANC</t>
  </si>
  <si>
    <t>SAC CROISSANT 105 BLANC</t>
  </si>
  <si>
    <t>SAC BRETELLE BLANC 26+6X45</t>
  </si>
  <si>
    <t>SAC BRETELLE GM 40</t>
  </si>
  <si>
    <t>SAC OXO-BIO BLEU 120X50X350</t>
  </si>
  <si>
    <t>SAC OXO-BIO BISTRE 160/50X350</t>
  </si>
  <si>
    <t>SAC OXO-BIO VERT 230X40X400</t>
  </si>
  <si>
    <t>SAC FOND CARTON NEUTRE 100X220</t>
  </si>
  <si>
    <t>SAC FOND CARTON NEUTRE 120X260</t>
  </si>
  <si>
    <t>GOBELET CARTON CHOCOLAT CHAUD BEIGE</t>
  </si>
  <si>
    <t>CHALUMEAUX FLEXIBLES 500 PAILLES</t>
  </si>
  <si>
    <t>GOBELET FLEXIBLES 500 PAILLES</t>
  </si>
  <si>
    <t>GOBELET CARTON CAFE EXPRESSO VIOLET</t>
  </si>
  <si>
    <t>COUTEAUX PLASTIQUE</t>
  </si>
  <si>
    <t>FOURCHETTES PLASTIQUE</t>
  </si>
  <si>
    <t>GOBELET BLANC</t>
  </si>
  <si>
    <t>SERVIETTE BLANCHE</t>
  </si>
  <si>
    <t>CUILLERES A CAFE PLAST</t>
  </si>
  <si>
    <t>POCHES JETABLES DISGROUP</t>
  </si>
  <si>
    <t>CAGETTE CARTON</t>
  </si>
  <si>
    <t>ADHESIF TRANSPARENT</t>
  </si>
  <si>
    <t>UNI MAINS SAVON DESINFECTANT</t>
  </si>
  <si>
    <t>UNI SOLS PIN DES LANDES</t>
  </si>
  <si>
    <t>BOBINE MAXIMAIN ESSUYAGE</t>
  </si>
  <si>
    <t>SAC POUBELLE 130L</t>
  </si>
  <si>
    <t>GANTS VINYL SMALL</t>
  </si>
  <si>
    <t>GANTS VINYL MEDIUM</t>
  </si>
  <si>
    <t>GANTS VINYL LARGE</t>
  </si>
  <si>
    <t>DOUILLE SULTANE ALE BASSE</t>
  </si>
  <si>
    <t>RECHARGE THERMO SUCRE</t>
  </si>
  <si>
    <t>p6</t>
  </si>
  <si>
    <t>TRADITION FRANÇAISE T65</t>
  </si>
  <si>
    <t>ARTMEL PAIN COMPLET 25 KG N' 4</t>
  </si>
  <si>
    <t>PAIN DES CANUT 25 KG</t>
  </si>
  <si>
    <t>BANETTE MAIS 10 KG</t>
  </si>
  <si>
    <t>ARTMEL PAIN CAMPAGNE 25 KG N' 2</t>
  </si>
  <si>
    <t>RUSTI MEULE EN 25 KG TYPE 110</t>
  </si>
  <si>
    <t>GRAINES DE MAIS DECOR Sac 5009r</t>
  </si>
  <si>
    <t>GRAINES DE SESAME EN 5 KG</t>
  </si>
  <si>
    <t>FARINE L'IMPATIENTE 25 K</t>
  </si>
  <si>
    <t>FARINE GRUAU DELICE TYPE 65 EN 25KG</t>
  </si>
  <si>
    <t>BAROUETTES NEUTRES (LOT 120)</t>
  </si>
  <si>
    <t>p7</t>
  </si>
  <si>
    <t>BANETTE MAIS 10 KG Il}</t>
  </si>
  <si>
    <t>ARTMEL PAIN CAMPAGNE 25 KG N‘ 2</t>
  </si>
  <si>
    <t>1000 ETUIS BAGUETTES "LA TRADI'</t>
  </si>
  <si>
    <t>GRAINES DE MAIS DECOR Sac 500Gr</t>
  </si>
  <si>
    <t>BARQUETTES NEUTRES (LOT 120)</t>
  </si>
  <si>
    <t>P8</t>
  </si>
  <si>
    <t>TRADITION FRANCAISE T65</t>
  </si>
  <si>
    <t>LA BELLE AROME 10 KG</t>
  </si>
  <si>
    <t>LES GRAINES DE MON MEUNIER SAC 1OKG</t>
  </si>
  <si>
    <t>GRAINES DE PAVOT EN 5 KG</t>
  </si>
  <si>
    <t>FARINE PATISSIERE US T65 EN SAC DE 25 KG</t>
  </si>
  <si>
    <t>RUSTI FIGUE CHATAIGNE SAC 10 KG</t>
  </si>
  <si>
    <t>SOCLE ROULANT 60X4OCMP</t>
  </si>
  <si>
    <t>P9</t>
  </si>
  <si>
    <t>COCA COLA BTE 330L pack de 24</t>
  </si>
  <si>
    <t>ORANGINA BTE 330L PAR 24</t>
  </si>
  <si>
    <t>MINUTE MAID POMME BTE 33CL PAR 24</t>
  </si>
  <si>
    <t>EAU CRISTALINE 50 CL PAR 24</t>
  </si>
  <si>
    <t>MINUTE MAID ORANGE BTE 330L PAP. 24</t>
  </si>
  <si>
    <t>ICE TEA PECHE LIPTON BTE 33CL PAR 24</t>
  </si>
  <si>
    <t>FANTA CITRON BTE 330L PAR 24</t>
  </si>
  <si>
    <t>EAU GAZEIFIEE CRISTALINE 50CL PAR 24</t>
  </si>
  <si>
    <t>OASIS TROPICAL BTE 33CL PACK DE 24</t>
  </si>
  <si>
    <t>COCA zERO BTE 33CL PACK DE 24</t>
  </si>
  <si>
    <t>TOMATES SECHEES A L'HUILE POCHE 1KG</t>
  </si>
  <si>
    <t>AUBERGINES GRILLEES POCHE 1K</t>
  </si>
  <si>
    <t>COURGETTES GRILLEES POCHE 1K</t>
  </si>
  <si>
    <t>NOISETTE POUDRE GRISE SACHET IK</t>
  </si>
  <si>
    <t>NOISETTES DECORTIQUEES MORCEAUX 1 K</t>
  </si>
  <si>
    <t>POUDRE DE LAIT 26% SAC 25K</t>
  </si>
  <si>
    <t>CAISSETTE PAT. BLANCHE 14 PAR 100</t>
  </si>
  <si>
    <t>CAISSETtE PAT. BLANCHE 16 PAR 100</t>
  </si>
  <si>
    <t>BOBINE DEVIDAGE CENT. GM 450 FORMATS</t>
  </si>
  <si>
    <t>GOBELET THE BEIGE PAR 60</t>
  </si>
  <si>
    <t>SUCRE CRISTAL SAC 20K</t>
  </si>
  <si>
    <t>MOZZA BILLE 59 SANTA LUCIA 1 kg FRAIS</t>
  </si>
  <si>
    <t>EMMENTAL RAPE TYPE 45 UE SACHET 1K FRAIS</t>
  </si>
  <si>
    <t>BEURRE MONTAIGU 10K FRAIS</t>
  </si>
  <si>
    <t>MASCARPONE POT 5006 FRAIS</t>
  </si>
  <si>
    <t>FROMAGE BLANC 20% SEAU 5kg FRAIS</t>
  </si>
  <si>
    <t>SMOOTHIE FRAISE BANANE 8x250ML FRAIS</t>
  </si>
  <si>
    <t>SMOOTHIE MANGUE PASSION 8x250ML FRAIS</t>
  </si>
  <si>
    <t>SMOOTHIE KIWI POMME ANANAS 8x250ML FRAIS</t>
  </si>
  <si>
    <t>OEUFS COQUILLES CAL MOYEN PAR 360 PCS</t>
  </si>
  <si>
    <t>OEUFS ENTIER LIOUIDE BIDON 5L FRAIS</t>
  </si>
  <si>
    <t>POIVRONS LANIERES SURGELE SACHET 2.5K</t>
  </si>
  <si>
    <t>P10</t>
  </si>
  <si>
    <t>POIVRONS GRILLES POCHE 1K</t>
  </si>
  <si>
    <t>ANETH BOITE 350GR</t>
  </si>
  <si>
    <t>PAGO ACE 33CL PAR 12</t>
  </si>
  <si>
    <t>PAPRIKA BOITE 500GR</t>
  </si>
  <si>
    <t>ROMARIN BOITE 100GR</t>
  </si>
  <si>
    <t>P11</t>
  </si>
  <si>
    <t>SPECULOOS CONCASSE SACHET 7506</t>
  </si>
  <si>
    <t>BOITE BLANCHE 18 X 5 PAR 50 VERNIES</t>
  </si>
  <si>
    <t>BOITE BLANCHE 20 X 5 PAR 50 VERNIES</t>
  </si>
  <si>
    <t>BOITE BLANCHE 25X8 PAR 50 VERNIES</t>
  </si>
  <si>
    <t>PDRE LAVE VAISSELLE DGF SERVICE SEAU 10K</t>
  </si>
  <si>
    <t>AGITATEUR PLAST. 112 BLANC PAR 100</t>
  </si>
  <si>
    <t>SUCRE POUDRE BUCHETTE 56 BOITE DE 500</t>
  </si>
  <si>
    <t>MOZZA BILLE 5g SANTA LUCIA 1 kg FRAIS</t>
  </si>
  <si>
    <t>BEURRE DOUX CUBE CT 25K FRAIS</t>
  </si>
  <si>
    <t>MASCARPONE POT 500G FRAIS</t>
  </si>
  <si>
    <t>JAMBON TORCHON DD FRAIS</t>
  </si>
  <si>
    <t>JAMBON SUP 20 TR Pqt 1kg FRAIS</t>
  </si>
  <si>
    <t>YAOURT BRASSE ABRICOT 1809 PAR 6 FRAIS</t>
  </si>
  <si>
    <t>YAOURT BRASSE FRAMBOISE 1809 PAR 6 FRAIS</t>
  </si>
  <si>
    <t>YAOURT BRASSE VANILLE 1809 PAR 6 FRAIS</t>
  </si>
  <si>
    <t>YAOURT BRASSE MYRTILLE 1809 PAR 6 FRAIS</t>
  </si>
  <si>
    <t>SMOOTHIE FRAISE BANANE 8û50ML FRAIS</t>
  </si>
  <si>
    <t>SMOOTHIE KIWI POMME ANANAS 81250ML FRAIS</t>
  </si>
  <si>
    <t>JAUNES D'OEUF LIQUIDE 1L FRAIS</t>
  </si>
  <si>
    <t>EPINARDS HACHES SURGELES SAC 2.5K</t>
  </si>
  <si>
    <t>LEGUMES RATATOUILLES SACHET 2.5K SURG</t>
  </si>
  <si>
    <t>JULIENNE LEGUMES SURGELES 2.5K</t>
  </si>
  <si>
    <t>P12</t>
  </si>
  <si>
    <t>COCA LIGHT BTE 33CL PAR 24</t>
  </si>
  <si>
    <t>MINUTE MAID POMME BTE 336L PAR 24</t>
  </si>
  <si>
    <t>EAU CRISTALINE 50 d. PAR 24</t>
  </si>
  <si>
    <t>MINUTE MAID ORANGE BTE 330L PAR 24</t>
  </si>
  <si>
    <t>ICE TEA PECHE LIPTON BTE 330L PAR 24</t>
  </si>
  <si>
    <t>EAU GAZEIFIEE CRISTALINE 500L PAR 24</t>
  </si>
  <si>
    <t>COCA ZERO BTE 33CL PACK DE 24</t>
  </si>
  <si>
    <t>LAIT ENTIER UHT 12x1L</t>
  </si>
  <si>
    <t>LAIT UHT FRANCAIS ENTIER 6X1L</t>
  </si>
  <si>
    <t>MIEL SEAU DE 1 KILO</t>
  </si>
  <si>
    <t>NOISETTE POUDRE GRISE SACHET 1K</t>
  </si>
  <si>
    <t>SERVIETTE BLANCHE 1 PLI 30x30 PAR 2000</t>
  </si>
  <si>
    <t>SAC CROISSANT 103 PAR 1ooo</t>
  </si>
  <si>
    <t>SAC CROISSANT 104 PAR 1000</t>
  </si>
  <si>
    <t>SAC CROISSANT 105 PAR 1000</t>
  </si>
  <si>
    <t>BOITE BLANCHE 20 X 8 PAR 50 VERNIES</t>
  </si>
  <si>
    <t>CARRES RAINES 13 PAR 500</t>
  </si>
  <si>
    <t>CARRES RAINES 17 PAR 500</t>
  </si>
  <si>
    <t>RONDS UNIS OR 26 PAR 100</t>
  </si>
  <si>
    <t>CAISSETTES CHOCOLATS 88 PAR 1000</t>
  </si>
  <si>
    <t>CAISSETTE PAT. BLANCHE 16 PAR 100</t>
  </si>
  <si>
    <t>FILM ALIMENT. 30CM BOITE DISTRIB 300M</t>
  </si>
  <si>
    <t>FILM ALIMENT. 450M BOITE DISTRIB 300M</t>
  </si>
  <si>
    <t>GANTS VINYL MM T7 I100</t>
  </si>
  <si>
    <t>GANTS VINYL GM T8 I100</t>
  </si>
  <si>
    <t>SUCRE GLACE PULVER SAC 10K</t>
  </si>
  <si>
    <t>CREME CULINAIRE DISGROUP</t>
  </si>
  <si>
    <t>CREME DISGROUP UHT35%</t>
  </si>
  <si>
    <t>BEURRE MONTAIGU TOURAGE AOP 5X2KG</t>
  </si>
  <si>
    <t>LAIT DEMI ECREME UHT</t>
  </si>
  <si>
    <t>POUDRE LAIT 25KG</t>
  </si>
  <si>
    <t>LAIT DEMI ECREME UHT 6X1L</t>
  </si>
  <si>
    <t>COLORANT POUDRE OR SCINTILLANT 25G</t>
  </si>
  <si>
    <t>JUS DE CITRON PUR SICILE DISGROUP 1L</t>
  </si>
  <si>
    <t>POUDRE VANILLE PURE POT 200G</t>
  </si>
  <si>
    <t>EXTRAIT VANILLE GRAIN TAHITENSIS 50CL</t>
  </si>
  <si>
    <t>PATE DE PISTACHE FABBRI DELIPASTE 1K200</t>
  </si>
  <si>
    <t>COMPOTE DISGROUP</t>
  </si>
  <si>
    <t>POIRE 3L DISGROUP ITALIE SIROP</t>
  </si>
  <si>
    <t>GRIOTTE PELLORCE SIROP BOCAL 1L</t>
  </si>
  <si>
    <t>MIRABELLES SIROP DISGROUP BOCAL 2L</t>
  </si>
  <si>
    <t>QUETCHES 2L SIROP DISGROUP</t>
  </si>
  <si>
    <t>AMANDE DECORTIQUEEE BRUTE 1KG</t>
  </si>
  <si>
    <t>PECAN NOIX MOITIE 1KG</t>
  </si>
  <si>
    <t>CUBES DE CITRON CONFIT SAC 1KG</t>
  </si>
  <si>
    <t>NOISETTE DECORTIQUEE BRUTE 1KG</t>
  </si>
  <si>
    <t>DES ABRICOT 6MM PRUNILLE 1KG</t>
  </si>
  <si>
    <t>DES DE FIGUES 6MM PRUNILLE 1KG</t>
  </si>
  <si>
    <t>BRISURES 2K5 NOIX ARLEQUIN IMPORT 6/10MM</t>
  </si>
  <si>
    <t>CUBES ORANGE CONFITE 5KG</t>
  </si>
  <si>
    <t>RAISIN CAGETTE 15KG JUMBO 10 TURQUIE</t>
  </si>
  <si>
    <t>CHEQUE 0348713 2106,08</t>
  </si>
  <si>
    <t>CHEQUE 0300097 520,77</t>
  </si>
  <si>
    <t>CHEQUE 0348714   1591,16</t>
  </si>
  <si>
    <t>ANANAS  TRANCHES 4/4 LA BOITE</t>
  </si>
  <si>
    <t>ESNAULT</t>
  </si>
  <si>
    <t>ABRICOT 5/1</t>
  </si>
  <si>
    <t>AMARENA3/1 LA BOITE</t>
  </si>
  <si>
    <t>AMANDE HACHEE BLANCHE SAC DE 1 KG</t>
  </si>
  <si>
    <t>ABRICOT 3/1/MAROC LA BOITE</t>
  </si>
  <si>
    <t>ABRICOT SEC CUBE SAC 1 KG</t>
  </si>
  <si>
    <t>ALLUMETTES DE CHORIZO 500 GR LA PAQUET</t>
  </si>
  <si>
    <t>ABRICOT GRECE SIROP 3L</t>
  </si>
  <si>
    <t>AUBERGINES GRILLEES MARINEES 1 KG</t>
  </si>
  <si>
    <t xml:space="preserve">AMANDE POUDRE 10 KG ORIGINE CALIFORNIE </t>
  </si>
  <si>
    <t>CONDT</t>
  </si>
  <si>
    <t>BADOIT 33CLX30</t>
  </si>
  <si>
    <t>BIGARREAUX SIROP 2/1 LA BOITE</t>
  </si>
  <si>
    <t>BAKING POWER SEAU 2 KG</t>
  </si>
  <si>
    <t>BOMBE GRAISSE DEAL SPRAY 600 ML UNL PIECE</t>
  </si>
  <si>
    <t xml:space="preserve">BEURRE CUBE 25KG </t>
  </si>
  <si>
    <t>BEURRE GRAND TOUR PLQ FLECHARD 10X1 KG</t>
  </si>
  <si>
    <t>BEURRE LEGER TARTINABLE 1 KG</t>
  </si>
  <si>
    <t>BRIE PASTEURISE 1 KG</t>
  </si>
  <si>
    <t>BROCOLI 40/60 SAC 1 KG 4845</t>
  </si>
  <si>
    <t>ŒUF BLANC DES CHEFS 6X1 KG OVOTEAM</t>
  </si>
  <si>
    <t>BUERRE CUBE 25 KG NEUTRE 82%</t>
  </si>
  <si>
    <t>ABRICOT DES 6 MM PRUNILLE 1 KG</t>
  </si>
  <si>
    <t>BASILIC SURGELE DAREGAL 250 GX8</t>
  </si>
  <si>
    <t>FROMAGE DE VACHE 900 G</t>
  </si>
  <si>
    <t>BADOIT VERTE 33 CL PET X30</t>
  </si>
  <si>
    <t>BOITE BLANCHE 18X8 PAQUET 50</t>
  </si>
  <si>
    <t>BOITE BLANCHE 26 X 5 PAR 50 PAQUET 50</t>
  </si>
  <si>
    <t>BOITE BLANCHE 20X8 PAQUET 50</t>
  </si>
  <si>
    <t>BOITE BLANCHE 22 X 8 PAQUET 50</t>
  </si>
  <si>
    <t>BOITE BLANCHE 32X8 PAQUET 25</t>
  </si>
  <si>
    <t>BOUGIE OR BOITE 10</t>
  </si>
  <si>
    <t>3,80 €</t>
  </si>
  <si>
    <t>3,70 €</t>
  </si>
  <si>
    <t>4,10 €</t>
  </si>
  <si>
    <t>28,00 €</t>
  </si>
  <si>
    <t>38,00 €</t>
  </si>
  <si>
    <t>7,80 €</t>
  </si>
  <si>
    <t>Viennoise au Chocolat</t>
  </si>
  <si>
    <t>2016665</t>
  </si>
  <si>
    <t>16003334</t>
  </si>
  <si>
    <t>3360113901</t>
  </si>
  <si>
    <t>3360113902</t>
  </si>
  <si>
    <t>ECHEANCE 15/02/16</t>
  </si>
  <si>
    <t>2016663</t>
  </si>
  <si>
    <t>16003346</t>
  </si>
  <si>
    <t>2016639</t>
  </si>
  <si>
    <t>2016629</t>
  </si>
  <si>
    <t>23282</t>
  </si>
  <si>
    <t>23452</t>
  </si>
  <si>
    <t xml:space="preserve">CHEQUE 29/01/2016 </t>
  </si>
  <si>
    <t>2016584</t>
  </si>
  <si>
    <t>2016647</t>
  </si>
  <si>
    <t>336011616</t>
  </si>
  <si>
    <t>2016587</t>
  </si>
  <si>
    <t>20160130-001</t>
  </si>
  <si>
    <t>326*Tradition(1,15€)+192*Demi-Tradition(0,60€)+2*Pain de Mie(2,30€)+162*Pain Burger(1,20€)+208*Croissant(1,05€)+92*Pain au Chocolat(1,15€)</t>
  </si>
  <si>
    <t>Documents Clients\Factures\Facture-20160130-001-La Table Monceau.pdf</t>
  </si>
  <si>
    <t>3360115837</t>
  </si>
  <si>
    <t>60762</t>
  </si>
  <si>
    <t>ECHEANCE 21/02/16</t>
  </si>
  <si>
    <t>2016550</t>
  </si>
  <si>
    <t>2016737</t>
  </si>
  <si>
    <t>20160201-001</t>
  </si>
  <si>
    <t>87*Baguette(1,10€)+600*Le Petit Pain Nature(0,40€)+3*Pain de Campagne Grand(1,90€)+50*Croissant Ordinaire(1,00€)+1*Galette 6 pers.(21,00€)+1*Tartelette Fraise(3,00€)</t>
  </si>
  <si>
    <t>Documents Clients\Factures\Facture-20160201-001-Le Signal.pdf</t>
  </si>
  <si>
    <t>20160201-002</t>
  </si>
  <si>
    <t>48*Baguette(1,10€)+144*Croissant(1,10€)+6*Pain au Chocolat(1,20€)+1*Viennoise Nature(1,20€)+1*Brioche Nature(1,20€)</t>
  </si>
  <si>
    <t>Documents Clients\Factures\Facture-20160201-002-Les Trois Garcons.pdf</t>
  </si>
  <si>
    <t>20160201-003</t>
  </si>
  <si>
    <t>2016164</t>
  </si>
  <si>
    <t>2016708</t>
  </si>
  <si>
    <t>2016765</t>
  </si>
  <si>
    <t>290*Baguette(1,10€)+130*Pain Burger(1,20€)+139*Croissant(1,10€)+118*Pain au Chocolat(1,20€)+2*Brioche Parisienne(4,00€)</t>
  </si>
  <si>
    <t>Documents Clients\Factures\Facture-20160201-003-Le Bitrot 15.pdf</t>
  </si>
  <si>
    <t>20160202-001</t>
  </si>
  <si>
    <t>5*Pain de Cereales(2,30€)+1*Pain de Seigle(2,20€)+53*Pain Nordique(2,50€)+9,65*Pave Tradition(5,00€)</t>
  </si>
  <si>
    <t>Documents Clients\Factures\Facture-20160202-001-Huîtrerie.pdf</t>
  </si>
  <si>
    <t>20160202-002</t>
  </si>
  <si>
    <t>Dernière fact.</t>
  </si>
  <si>
    <t>279*Tradition(1,15€)+166*Demi-Tradition(0,60€)+3*Pain de Mie(2,30€)+123*Pain Burger(1,20€)+187*Croissant(1,05€)+80*Pain au Chocolat(1,15€)</t>
  </si>
  <si>
    <t>Documents Clients\Factures\Facture-20160202-002-La Table Monceau.pdf</t>
  </si>
  <si>
    <t>20160202-003</t>
  </si>
  <si>
    <t>197*Tradition(1,15€)+1*Pain de Campagne(3,40€)+1*Pain de Canut(29,50€)</t>
  </si>
  <si>
    <t>Documents Clients\Factures\Facture-20160202-003-Tourbillon.pdf</t>
  </si>
  <si>
    <t>20160202-004</t>
  </si>
  <si>
    <t>159*Tradition(1,15€)+120*Choux(0,20€)</t>
  </si>
  <si>
    <t>Documents Clients\Factures\Facture-20160202-004-Il Paradiso.pdf</t>
  </si>
  <si>
    <t>20160202-005</t>
  </si>
  <si>
    <t>365*Tradition(1,15€)+273*Croissant(1,05€)+176*Baguette(0,95€)+129*Pain au Chocolat(1,15€)+236*Pain Burger(1,20€)+11*Brioche Parisienne(4,00€)+2*Pain de Mie(2,30€)+2*Galette 8 pers(24,00€)</t>
  </si>
  <si>
    <t>Documents Clients\Factures\Facture-20160202-005-Le Café des Dames.pdf</t>
  </si>
  <si>
    <t>20160202-006</t>
  </si>
  <si>
    <t>493*Baguette(0,95€)+81*Pain au Chocolat(1,15€)+142*Croissant(1,05€)+30*Mini Viennoiseries(0,55€)</t>
  </si>
  <si>
    <t>Documents Clients\Factures\Facture-20160202-006-L'Auberge Rouge.pdf</t>
  </si>
  <si>
    <t>20160202-007</t>
  </si>
  <si>
    <t>42*Tradition(1,15€)+14*Tradition aux Graines(1,35€)</t>
  </si>
  <si>
    <t>Documents Clients\Factures\Facture-20160202-007-Autour du Saumon.pdf</t>
  </si>
  <si>
    <t>20160202-008</t>
  </si>
  <si>
    <t>417*Tradition(1,15€)+2*Pain de Mie(2,30€)</t>
  </si>
  <si>
    <t>Documents Clients\Factures\Facture-20160202-008-Brigitte.pdf</t>
  </si>
  <si>
    <t>20160202-009</t>
  </si>
  <si>
    <t>444*Tradition(1,00€)</t>
  </si>
  <si>
    <t>Documents Clients\Factures\Facture-20160202-009-Bistrot des Vignes.pdf</t>
  </si>
  <si>
    <t>20160202-010</t>
  </si>
  <si>
    <t>224*Tradition(1,15€)+3*Pain de Mie(2,30€)+1*Brioche (4,00€)+52*Mini Viennoiserie(0,55€)</t>
  </si>
  <si>
    <t>Documents Clients\Factures\Facture-20160202-010-Bistrot de Louise.pdf</t>
  </si>
  <si>
    <t>20160202-011</t>
  </si>
  <si>
    <t>100*Tradition(1,15€)</t>
  </si>
  <si>
    <t>Documents Clients\Factures\Facture-20160202-011-Mad et Mariette.pdf</t>
  </si>
  <si>
    <t>20160202-012</t>
  </si>
  <si>
    <t>141*Tradition(1,15€)</t>
  </si>
  <si>
    <t>Documents Clients\Factures\Facture-20160202-012-Imprévu.pdf</t>
  </si>
  <si>
    <t>20160205-001</t>
  </si>
  <si>
    <t>113*Baguette(0,95€)+281*Croissant(1,05€)</t>
  </si>
  <si>
    <t>Documents Clients\Factures\Facture-20160205-001-Hotel Monceau Etoile.pdf</t>
  </si>
  <si>
    <t>REVES DE CAFE</t>
  </si>
  <si>
    <t>CHEQUE 0348741 240,54</t>
  </si>
  <si>
    <t>60981</t>
  </si>
  <si>
    <t>ECHEANCE 14/03/16</t>
  </si>
  <si>
    <t>2016838</t>
  </si>
  <si>
    <t>2016859</t>
  </si>
  <si>
    <t>16004246</t>
  </si>
  <si>
    <t>2016807</t>
  </si>
  <si>
    <t>2016770</t>
  </si>
  <si>
    <t>14028096</t>
  </si>
  <si>
    <t>CHEQUE 0304215</t>
  </si>
  <si>
    <t>16004180</t>
  </si>
  <si>
    <t>15009345</t>
  </si>
  <si>
    <t>CHEQUE 0304216</t>
  </si>
  <si>
    <t>CHEQUE 0348740</t>
  </si>
  <si>
    <t>CHEQUE 0304217</t>
  </si>
  <si>
    <t>083372</t>
  </si>
  <si>
    <t>61264</t>
  </si>
  <si>
    <t>ECHEANCE 28/02/16</t>
  </si>
  <si>
    <t>2016927</t>
  </si>
  <si>
    <t>févr</t>
  </si>
  <si>
    <t>Total févr</t>
  </si>
  <si>
    <t>0</t>
  </si>
  <si>
    <t>CHEQUE 0348743 2320,17</t>
  </si>
  <si>
    <t>CHEQUE 0349714 2320,17</t>
  </si>
  <si>
    <t>CHEQUE  0304218 530,46</t>
  </si>
  <si>
    <t>CHEQUE 0304218 530,46</t>
  </si>
  <si>
    <t>20161055</t>
  </si>
  <si>
    <t>2016928</t>
  </si>
  <si>
    <t>20161079</t>
  </si>
  <si>
    <t>16005084</t>
  </si>
  <si>
    <t>16000898</t>
  </si>
  <si>
    <t>15009492</t>
  </si>
  <si>
    <t>15017426</t>
  </si>
  <si>
    <t>CHEQUE 0348746 15/02/16 1999,73</t>
  </si>
  <si>
    <t>15009555</t>
  </si>
  <si>
    <t>CHEQUE 0304220 15/02/16</t>
  </si>
  <si>
    <t>016001035</t>
  </si>
  <si>
    <t>3360200797</t>
  </si>
  <si>
    <t>ECHEANCE 10/03/16</t>
  </si>
  <si>
    <t>3360202799</t>
  </si>
  <si>
    <t>3360200798</t>
  </si>
  <si>
    <t>2016902</t>
  </si>
  <si>
    <t>20161004</t>
  </si>
  <si>
    <t>2016955</t>
  </si>
  <si>
    <t>2016945</t>
  </si>
  <si>
    <t>23642</t>
  </si>
  <si>
    <t>CHEQUE 0348747 160,36</t>
  </si>
  <si>
    <t>2016981</t>
  </si>
  <si>
    <t>2016992</t>
  </si>
  <si>
    <t>23655</t>
  </si>
  <si>
    <t>2016836</t>
  </si>
  <si>
    <t>15040394</t>
  </si>
  <si>
    <t>16005132</t>
  </si>
  <si>
    <t>61465</t>
  </si>
  <si>
    <t>ECHEANCE 21/03/16</t>
  </si>
  <si>
    <t>3360205221</t>
  </si>
  <si>
    <t>2820277</t>
  </si>
  <si>
    <t>20161121</t>
  </si>
  <si>
    <t>20161122</t>
  </si>
  <si>
    <t>20161077</t>
  </si>
  <si>
    <t>CHEQUE 0348749</t>
  </si>
  <si>
    <t>20161201</t>
  </si>
  <si>
    <t>61878</t>
  </si>
  <si>
    <t>ECHEANCE 08/03</t>
  </si>
  <si>
    <t>3360207125</t>
  </si>
  <si>
    <t>61852</t>
  </si>
  <si>
    <t>ECHEANCE 28/03</t>
  </si>
  <si>
    <t>16001097</t>
  </si>
  <si>
    <t>16001233</t>
  </si>
  <si>
    <t>16005910</t>
  </si>
  <si>
    <t>16005866</t>
  </si>
  <si>
    <t>3360209316</t>
  </si>
  <si>
    <t>ECHEANCE 07/03/16</t>
  </si>
  <si>
    <t>3360209315</t>
  </si>
  <si>
    <t>ECHEANCE 20/03/16</t>
  </si>
  <si>
    <t>20161238</t>
  </si>
  <si>
    <t>15009697</t>
  </si>
  <si>
    <t>20161256</t>
  </si>
  <si>
    <t>33660211715</t>
  </si>
  <si>
    <t>20161289</t>
  </si>
  <si>
    <t>14028513</t>
  </si>
  <si>
    <t>23753</t>
  </si>
  <si>
    <t>CHEQUE 0350646 25/02/16</t>
  </si>
  <si>
    <t>15009889</t>
  </si>
  <si>
    <t>15009774</t>
  </si>
  <si>
    <t>CHEQUE 0304223 25/02/16</t>
  </si>
  <si>
    <t>15009952</t>
  </si>
  <si>
    <t>16000067</t>
  </si>
  <si>
    <t>CHEQUE 0348712</t>
  </si>
  <si>
    <t>PRELEVEMENYT</t>
  </si>
  <si>
    <t>CHEQUE 0350644</t>
  </si>
  <si>
    <t>CHEQUE 0350644 20/02/16</t>
  </si>
  <si>
    <t>20160301-001</t>
  </si>
  <si>
    <t>264*Baguette(0,95€)+130*Pain Burger(1,20€)+128*Croissant(1,05€)+64*Pain au Chocolat(1,15€)</t>
  </si>
  <si>
    <t>Documents Clients\Factures\Facture-20160301-001-Le Bitrot 15.pdf</t>
  </si>
  <si>
    <t>20160301-002</t>
  </si>
  <si>
    <t>92*Baguette(0,95€)+450*Le Petit Pain Nature(0,40€)+7*Pain de Campagne Grand(1,90€)+46*Croissant Ordinaire(1,00€)</t>
  </si>
  <si>
    <t>Documents Clients\Factures\Facture-20160301-002-Le Signal.pdf</t>
  </si>
  <si>
    <t>20160301-003</t>
  </si>
  <si>
    <t>6*Pain de Cereales(2,30€)+4*Pain de Seigle(2,60€)+73*Pain Nordique(3,00€)+12,07*Pave Tradition(5,00€)</t>
  </si>
  <si>
    <t>Documents Clients\Factures\Facture-20160301-003-Huîtrerie.pdf</t>
  </si>
  <si>
    <t>20160301-004</t>
  </si>
  <si>
    <t>46*Baguette(0,95€)+138*Croissant(1,05€)+20*Pain au Chocolat(1,15€)+2*Viennoise Nature(1,20€)+1*Brioche Nature(1,35€)</t>
  </si>
  <si>
    <t>Documents Clients\Factures\Facture-20160301-004-Les Trois Garcons.pdf</t>
  </si>
  <si>
    <t>20160301-005</t>
  </si>
  <si>
    <t>Documents Clients\Factures\Facture-20160301-005-Châteauform.pdf</t>
  </si>
  <si>
    <t>356*Tradition(1,15€)+329*Ficelle(0,60€)+20*Pain de Mie(2,30€)+19*Pain Fruitier(2,85€)+55*Les Petits Pains Nature(0,65€)+20*Pain Complet (2,43€)+1545*Mini Viennoiserie(0,55€)+17*Brioche tresse pepites chocolat(12,00€)+14*Pate à brioche(14,00€)+2*Marbre (40x60)(84,00€)+19*Bucheron(2,75€)</t>
  </si>
  <si>
    <t>20160301-006</t>
  </si>
  <si>
    <t>462*Baguette(0,95€)+77*Pain au Chocolat(1,15€)+126*Croissant(1,05€)</t>
  </si>
  <si>
    <t>Documents Clients\Factures\Facture-20160301-006-L'Auberge Rouge.pdf</t>
  </si>
  <si>
    <t>20160301-007</t>
  </si>
  <si>
    <t>376*Tradition(1,15€)+287*Croissant(1,05€)+134*Baguette(0,95€)+114*Pain au Chocolat(1,15€)+240*Pain Burger(1,20€)+12*Brioche Parisienne(4,00€)+1*Pain de Mie(2,30€)</t>
  </si>
  <si>
    <t>Documents Clients\Factures\Facture-20160301-007-Le Café des Dames.pdf</t>
  </si>
  <si>
    <t>20160301-008</t>
  </si>
  <si>
    <t>41*Tradition(1,15€)+13*Tradition aux Graines(1,35€)</t>
  </si>
  <si>
    <t>Documents Clients\Factures\Facture-20160301-008-Autour du Saumon.pdf</t>
  </si>
  <si>
    <t>20160301-009</t>
  </si>
  <si>
    <t>422*Tradition(1,15€)</t>
  </si>
  <si>
    <t>Documents Clients\Factures\Facture-20160301-009-Brigitte.pdf</t>
  </si>
  <si>
    <t>20160301-010</t>
  </si>
  <si>
    <t>544*Tradition(1,15€)</t>
  </si>
  <si>
    <t>Documents Clients\Factures\Facture-20160301-010-Bistrot des Vignes.pdf</t>
  </si>
  <si>
    <t>20160301-011</t>
  </si>
  <si>
    <t>180*Tradition(1,15€)</t>
  </si>
  <si>
    <t>Documents Clients\Factures\Facture-20160301-011-Bistrot de Louise.pdf</t>
  </si>
  <si>
    <t>20160301-012</t>
  </si>
  <si>
    <t>Documents Clients\Factures\Facture-20160301-012-Bistrot de Louise.pdf</t>
  </si>
  <si>
    <t>20160301-013</t>
  </si>
  <si>
    <t>Documents Clients\Factures\Facture-20160301-013-Mad et Mariette.pdf</t>
  </si>
  <si>
    <t>20160301-014</t>
  </si>
  <si>
    <t>137*Tradition(1,15€)</t>
  </si>
  <si>
    <t>Documents Clients\Factures\Facture-20160301-014-Imprévu.pdf</t>
  </si>
  <si>
    <t>20160301-015</t>
  </si>
  <si>
    <t>208*Tradition(1,15€)</t>
  </si>
  <si>
    <t>Documents Clients\Factures\Facture-20160301-015-Tourbillon.pdf</t>
  </si>
  <si>
    <t>20160301-016</t>
  </si>
  <si>
    <t>141*Tradition(1,15€)+320*Choux(0,20€)+1*Pain de Campagne(6,86€)</t>
  </si>
  <si>
    <t>Documents Clients\Factures\Facture-20160301-016-Il Paradiso.pdf</t>
  </si>
  <si>
    <t>20160301-017</t>
  </si>
  <si>
    <t>5*VISITE DU BOULANGER(5,00€)</t>
  </si>
  <si>
    <t>Documents Clients\Factures\Facture-20160301-017-MEETING THE FRENCH.pdf</t>
  </si>
  <si>
    <t>20161449</t>
  </si>
  <si>
    <t>20161168</t>
  </si>
  <si>
    <t>20161406</t>
  </si>
  <si>
    <t>20161352</t>
  </si>
  <si>
    <t>20161273</t>
  </si>
  <si>
    <t>20161295</t>
  </si>
  <si>
    <t>20161190</t>
  </si>
  <si>
    <t>20161136</t>
  </si>
  <si>
    <t>3360213638</t>
  </si>
  <si>
    <t>2838377</t>
  </si>
  <si>
    <t>62294</t>
  </si>
  <si>
    <t>ECHEANCE 04/04/16</t>
  </si>
  <si>
    <t>ECHEANCE 30/03/16</t>
  </si>
  <si>
    <t>20161419</t>
  </si>
  <si>
    <t>16006605</t>
  </si>
  <si>
    <t>16001297</t>
  </si>
  <si>
    <t>Baba au Rhum Maison</t>
  </si>
  <si>
    <t>Eclair Framboise</t>
  </si>
  <si>
    <t>Macaron Crème Pistache</t>
  </si>
  <si>
    <t>Salade de Betteraves</t>
  </si>
  <si>
    <t>FiltreEtiquette</t>
  </si>
  <si>
    <t>3360215178</t>
  </si>
  <si>
    <t>ECHEANCE 06/03/16</t>
  </si>
  <si>
    <t>62713</t>
  </si>
  <si>
    <t>ECHEANCE 22/03/16</t>
  </si>
  <si>
    <t>23920</t>
  </si>
  <si>
    <t>16000618</t>
  </si>
  <si>
    <t>16000415</t>
  </si>
  <si>
    <t>16000208</t>
  </si>
  <si>
    <t>16000001</t>
  </si>
  <si>
    <t>16001433</t>
  </si>
  <si>
    <t>16001490</t>
  </si>
  <si>
    <t>16001617</t>
  </si>
  <si>
    <t>20161578</t>
  </si>
  <si>
    <t>20161459</t>
  </si>
  <si>
    <t>20161475</t>
  </si>
  <si>
    <t>20161510</t>
  </si>
  <si>
    <t>16007451</t>
  </si>
  <si>
    <t>20161353</t>
  </si>
  <si>
    <t>62311</t>
  </si>
  <si>
    <t>ECHEANCE 15/03/16</t>
  </si>
  <si>
    <t>084356</t>
  </si>
  <si>
    <t>20161477</t>
  </si>
  <si>
    <t>16006790</t>
  </si>
  <si>
    <t>63097</t>
  </si>
  <si>
    <t>16007317</t>
  </si>
  <si>
    <t>20161631</t>
  </si>
  <si>
    <t>20161579</t>
  </si>
  <si>
    <t>20161675</t>
  </si>
  <si>
    <t>3360302368</t>
  </si>
  <si>
    <t>62697</t>
  </si>
  <si>
    <t>3360300009</t>
  </si>
  <si>
    <t>3360300010</t>
  </si>
  <si>
    <t>ECHEANCE 31/03/16</t>
  </si>
  <si>
    <t>ECHEANCE 10/04/16</t>
  </si>
  <si>
    <t>3360300011</t>
  </si>
  <si>
    <t>ECHEANCE 11/04/16</t>
  </si>
  <si>
    <t>Sucette Lollipop Lait</t>
  </si>
  <si>
    <t>23g</t>
  </si>
  <si>
    <t>Sucette Poussin</t>
  </si>
  <si>
    <t>35g</t>
  </si>
  <si>
    <t>Œufs Fourrés</t>
  </si>
  <si>
    <t>Œuf, Cloche et Poule</t>
  </si>
  <si>
    <t>Panpan</t>
  </si>
  <si>
    <t>Chocoloat Noir, Chocolat au Lait, Chocolat Blanc</t>
  </si>
  <si>
    <t>Chocolat au Lait, Chocolat Noir</t>
  </si>
  <si>
    <t>Lait praliné, Fondant moka, Blanc Pistache, Lait Praliné Crisp, Fondant, Vanille (Par pièce)</t>
  </si>
  <si>
    <t>63564</t>
  </si>
  <si>
    <t>20161939</t>
  </si>
  <si>
    <t>20161858</t>
  </si>
  <si>
    <t>16008579</t>
  </si>
  <si>
    <t>20161796</t>
  </si>
  <si>
    <t>20161819</t>
  </si>
  <si>
    <t>2865846</t>
  </si>
  <si>
    <t>3360304710</t>
  </si>
  <si>
    <t>3360304709</t>
  </si>
  <si>
    <t>ECHEANCE 28/03/16</t>
  </si>
  <si>
    <t>ECHEANCE 10/04/2016</t>
  </si>
  <si>
    <t>60399</t>
  </si>
  <si>
    <t>2797344</t>
  </si>
  <si>
    <t>16008327</t>
  </si>
  <si>
    <t>20161739</t>
  </si>
  <si>
    <t>14028822</t>
  </si>
  <si>
    <t>14028723</t>
  </si>
  <si>
    <t>1134180</t>
  </si>
  <si>
    <t>DEROCHE</t>
  </si>
  <si>
    <t>1135156</t>
  </si>
  <si>
    <t>1135155</t>
  </si>
  <si>
    <t>1135158</t>
  </si>
  <si>
    <t>1135159</t>
  </si>
  <si>
    <t>1135157</t>
  </si>
  <si>
    <t>1134855</t>
  </si>
  <si>
    <t>1134421</t>
  </si>
  <si>
    <t>1134422</t>
  </si>
  <si>
    <t>16000835</t>
  </si>
  <si>
    <t>ECHEANCE 03/03/2016</t>
  </si>
  <si>
    <t>16001801</t>
  </si>
  <si>
    <t>ECHEANCE 07/04/2016</t>
  </si>
  <si>
    <t>24114</t>
  </si>
  <si>
    <t>mars</t>
  </si>
  <si>
    <t>Total mars</t>
  </si>
  <si>
    <t>1134919</t>
  </si>
  <si>
    <t>20161743</t>
  </si>
  <si>
    <t>16008347</t>
  </si>
  <si>
    <t>20161860</t>
  </si>
  <si>
    <t>20161910</t>
  </si>
  <si>
    <t>20161783</t>
  </si>
  <si>
    <t>20161806</t>
  </si>
  <si>
    <t>20161945</t>
  </si>
  <si>
    <t>20161990</t>
  </si>
  <si>
    <t>20161666</t>
  </si>
  <si>
    <t>20161697</t>
  </si>
  <si>
    <t>63639</t>
  </si>
  <si>
    <t>ECHEANCE 25/04/2016</t>
  </si>
  <si>
    <t>3360309539</t>
  </si>
  <si>
    <t>63208</t>
  </si>
  <si>
    <t>ECHEANCE 18/04/2016</t>
  </si>
  <si>
    <t>ECHEANCE 20/04/2016</t>
  </si>
  <si>
    <t>20162005</t>
  </si>
  <si>
    <t>20161974</t>
  </si>
  <si>
    <t>20161960</t>
  </si>
  <si>
    <t>20161992</t>
  </si>
  <si>
    <t>20162020</t>
  </si>
  <si>
    <t>1135950</t>
  </si>
  <si>
    <t>1135949</t>
  </si>
  <si>
    <t>1135951</t>
  </si>
  <si>
    <t>1135717</t>
  </si>
  <si>
    <t>16009276</t>
  </si>
  <si>
    <t>16001678</t>
  </si>
  <si>
    <t>1136962</t>
  </si>
  <si>
    <t>1136963</t>
  </si>
  <si>
    <t>1136964</t>
  </si>
  <si>
    <t>1136961</t>
  </si>
  <si>
    <t>1137244</t>
  </si>
  <si>
    <t>1137245</t>
  </si>
  <si>
    <t>16010054</t>
  </si>
  <si>
    <t>92260455</t>
  </si>
  <si>
    <t>PURATOS</t>
  </si>
  <si>
    <t>1136358</t>
  </si>
  <si>
    <t>1136359</t>
  </si>
  <si>
    <t>1136360</t>
  </si>
  <si>
    <t>1136361</t>
  </si>
  <si>
    <t>14029096</t>
  </si>
  <si>
    <t>20162057</t>
  </si>
  <si>
    <t>20162204</t>
  </si>
  <si>
    <t>20162156</t>
  </si>
  <si>
    <t>1137642</t>
  </si>
  <si>
    <t>1137451</t>
  </si>
  <si>
    <t>CHEQUE 0350673</t>
  </si>
  <si>
    <t>63960</t>
  </si>
  <si>
    <t>CHEQUE 0348804</t>
  </si>
  <si>
    <t>CHEQUE 0304259</t>
  </si>
  <si>
    <t>20160401-001</t>
  </si>
  <si>
    <t>409*Baguette(0,95€)+69*Pain au Chocolat(1,15€)+111*Croissant(1,05€)</t>
  </si>
  <si>
    <t>Documents Clients\Factures\Facture-20160401-001-L'Auberge Rouge.pdf</t>
  </si>
  <si>
    <t>20160401-002</t>
  </si>
  <si>
    <t>398*Tradition(1,15€)+275*Croissant(1,05€)+146*Baguette(0,95€)+113*Pain au Chocolat(1,15€)+250*Pain Burger(1,20€)+8*Brioche Parisienne(4,00€)</t>
  </si>
  <si>
    <t>Documents Clients\Factures\Facture-20160401-002-Le Café des Dames.pdf</t>
  </si>
  <si>
    <t>20160401-003</t>
  </si>
  <si>
    <t>377*Tradition(1,15€)+362*Ficelle(0,60€)+23*Pain de Mie(2,30€)+23*Pain Fruitier(2,85€)+115*Les Petits Pains Nature(0,65€)+23*Pain Complet (2,43€)+1555*Mini Viennoiserie(0,55€)+19*Brioche tresse pepites chocolat(12,00€)+4*Pate à brioche(14,00€)+23*Bucheron(2,75€)</t>
  </si>
  <si>
    <t>Documents Clients\Factures\Facture-20160401-003-Châteauform.pdf</t>
  </si>
  <si>
    <t xml:space="preserve">CHEQUE </t>
  </si>
  <si>
    <t>CHEQUE 0304261 01/04/16</t>
  </si>
  <si>
    <t>CHEQUE 0348809 01/04/16</t>
  </si>
  <si>
    <t>24373</t>
  </si>
  <si>
    <t>1138532</t>
  </si>
  <si>
    <t>1138530</t>
  </si>
  <si>
    <t>1138531</t>
  </si>
  <si>
    <t>1138528</t>
  </si>
  <si>
    <t>1138529</t>
  </si>
  <si>
    <t>1138527</t>
  </si>
  <si>
    <t>1138724</t>
  </si>
  <si>
    <t>16010957</t>
  </si>
  <si>
    <t>20162326</t>
  </si>
  <si>
    <t>20162322</t>
  </si>
  <si>
    <t>20162426</t>
  </si>
  <si>
    <t>20162427</t>
  </si>
  <si>
    <t>20162388</t>
  </si>
  <si>
    <t>64584</t>
  </si>
  <si>
    <t>ECHEANCE 09/05/16</t>
  </si>
  <si>
    <t>1138124</t>
  </si>
  <si>
    <t>577</t>
  </si>
  <si>
    <t>20162419</t>
  </si>
  <si>
    <t>1139499</t>
  </si>
  <si>
    <t>1139505</t>
  </si>
  <si>
    <t>1139504</t>
  </si>
  <si>
    <t>1139503</t>
  </si>
  <si>
    <t>1138651</t>
  </si>
  <si>
    <t>64499</t>
  </si>
  <si>
    <t>20162372</t>
  </si>
  <si>
    <t>20160407-001</t>
  </si>
  <si>
    <t>60*Baguette(0,95€)+124*Croissant(1,05€)</t>
  </si>
  <si>
    <t>Documents Clients\Factures\Facture-20160407-001-Hotel Monceau Etoile.pdf</t>
  </si>
  <si>
    <t>20162503</t>
  </si>
  <si>
    <t>1140073</t>
  </si>
  <si>
    <t>1138338</t>
  </si>
  <si>
    <t>20162307</t>
  </si>
  <si>
    <t>20162219</t>
  </si>
  <si>
    <t>20162148</t>
  </si>
  <si>
    <t>1136598</t>
  </si>
  <si>
    <t>1136597</t>
  </si>
  <si>
    <t>1136987</t>
  </si>
  <si>
    <t>1136988</t>
  </si>
  <si>
    <t>20162121</t>
  </si>
  <si>
    <t>20162045</t>
  </si>
  <si>
    <t>20162047</t>
  </si>
  <si>
    <t>64087</t>
  </si>
  <si>
    <t>CHEQUE 03/03/16/01/2016</t>
  </si>
  <si>
    <t>cheque 0348826 14/04/16</t>
  </si>
  <si>
    <t>1142733</t>
  </si>
  <si>
    <t>1142732</t>
  </si>
  <si>
    <t>1141721</t>
  </si>
  <si>
    <t>1142636</t>
  </si>
  <si>
    <t>1140645</t>
  </si>
  <si>
    <t>1142635</t>
  </si>
  <si>
    <t>1142634</t>
  </si>
  <si>
    <t>1140818</t>
  </si>
  <si>
    <t>1141024</t>
  </si>
  <si>
    <t>1141023</t>
  </si>
  <si>
    <t>1140644</t>
  </si>
  <si>
    <t>1140398</t>
  </si>
  <si>
    <t>1139177</t>
  </si>
  <si>
    <t>1139915</t>
  </si>
  <si>
    <t>1141959</t>
  </si>
  <si>
    <t>1140526</t>
  </si>
  <si>
    <t>1140068</t>
  </si>
  <si>
    <t>1139916</t>
  </si>
  <si>
    <t>92307351</t>
  </si>
  <si>
    <t>92323654</t>
  </si>
  <si>
    <t>1141510</t>
  </si>
  <si>
    <t>65030</t>
  </si>
  <si>
    <t>201622674</t>
  </si>
  <si>
    <t>20162676</t>
  </si>
  <si>
    <t>20162776</t>
  </si>
  <si>
    <t>65418</t>
  </si>
  <si>
    <t>20162783</t>
  </si>
  <si>
    <t>20162680</t>
  </si>
  <si>
    <t>1141509</t>
  </si>
  <si>
    <t>1141511</t>
  </si>
  <si>
    <t>20162489</t>
  </si>
  <si>
    <t>20162538</t>
  </si>
  <si>
    <t>20162630</t>
  </si>
  <si>
    <t>20162595</t>
  </si>
  <si>
    <t>20162634</t>
  </si>
  <si>
    <t>20162583</t>
  </si>
  <si>
    <t>20162558</t>
  </si>
  <si>
    <t>65144</t>
  </si>
  <si>
    <t>14029403</t>
  </si>
  <si>
    <t>92301175</t>
  </si>
  <si>
    <t>20162541</t>
  </si>
  <si>
    <t>16011862</t>
  </si>
  <si>
    <t>1139965</t>
  </si>
  <si>
    <t>65050</t>
  </si>
  <si>
    <t>24592</t>
  </si>
  <si>
    <t>avr</t>
  </si>
  <si>
    <t>Total avr</t>
  </si>
  <si>
    <t>1143903</t>
  </si>
  <si>
    <t>1143902</t>
  </si>
  <si>
    <t>1142607</t>
  </si>
  <si>
    <t>20162894</t>
  </si>
  <si>
    <t>92335333</t>
  </si>
  <si>
    <t>1143245</t>
  </si>
  <si>
    <t>1142606</t>
  </si>
  <si>
    <t>1143244</t>
  </si>
  <si>
    <t>65484</t>
  </si>
  <si>
    <t>20162890</t>
  </si>
  <si>
    <t>20162867</t>
  </si>
  <si>
    <t>20162820</t>
  </si>
  <si>
    <t>20162784</t>
  </si>
  <si>
    <t>20162960</t>
  </si>
  <si>
    <t>20162998</t>
  </si>
  <si>
    <t>14029720</t>
  </si>
  <si>
    <t>CHEQUE 0348836 25/04</t>
  </si>
  <si>
    <t>CHEQUE 0304266 25/04/16</t>
  </si>
  <si>
    <t>65846</t>
  </si>
  <si>
    <t>20163094</t>
  </si>
  <si>
    <t>1145337</t>
  </si>
  <si>
    <t>1145338</t>
  </si>
  <si>
    <t>1144435</t>
  </si>
  <si>
    <t>1144382</t>
  </si>
  <si>
    <t>1144385</t>
  </si>
  <si>
    <t>1144378</t>
  </si>
  <si>
    <t>1144381</t>
  </si>
  <si>
    <t>1144384</t>
  </si>
  <si>
    <t>1144383</t>
  </si>
  <si>
    <t>1144379</t>
  </si>
  <si>
    <t>1144380</t>
  </si>
  <si>
    <t>1144177</t>
  </si>
  <si>
    <t>1140346</t>
  </si>
  <si>
    <t>1140348</t>
  </si>
  <si>
    <t>1140350</t>
  </si>
  <si>
    <t>1140769</t>
  </si>
  <si>
    <t>1140771</t>
  </si>
  <si>
    <t>1140773</t>
  </si>
  <si>
    <t>1140775</t>
  </si>
  <si>
    <t>1141660</t>
  </si>
  <si>
    <t>1141658</t>
  </si>
  <si>
    <t>1141656</t>
  </si>
  <si>
    <t>1141654</t>
  </si>
  <si>
    <t>1141652</t>
  </si>
  <si>
    <t>1141650</t>
  </si>
  <si>
    <t>1141648</t>
  </si>
  <si>
    <t>1141646</t>
  </si>
  <si>
    <t>1141644</t>
  </si>
  <si>
    <t>1141642</t>
  </si>
  <si>
    <t>1141640</t>
  </si>
  <si>
    <t>1141638</t>
  </si>
  <si>
    <t>11411636</t>
  </si>
  <si>
    <t>1141661</t>
  </si>
  <si>
    <t>1144621</t>
  </si>
  <si>
    <t>1144622</t>
  </si>
  <si>
    <t>1144623</t>
  </si>
  <si>
    <t>65929</t>
  </si>
  <si>
    <t>20163099</t>
  </si>
  <si>
    <t>20163027</t>
  </si>
  <si>
    <t>20162995</t>
  </si>
  <si>
    <t>20162933</t>
  </si>
  <si>
    <t>1143670</t>
  </si>
  <si>
    <t>1143668</t>
  </si>
  <si>
    <t>1143596</t>
  </si>
  <si>
    <t>20160407-002</t>
  </si>
  <si>
    <t>8*VISITE DU BOULANGER(5,00€)</t>
  </si>
  <si>
    <t>Documents Clients\Factures\Facture-20160407-002-MEETING THE FRENCH.pdf</t>
  </si>
  <si>
    <t>20160407-003</t>
  </si>
  <si>
    <t>377*Tradition(1,15€)+362*Ficelle(0,60€)+23*Pain de Mie(2,30€)+23*Pain Fruitier(2,85€)+115*Les Petits Pains Nature(0,65€)+23*Pain Complet (2,43€)+1555*Mini Viennoiserie(0,55€)+19*Brioche tresse pepites chocolat(12,00€)+4*Pate à brioche(0,00€)+23*Bucheron(2,75€)</t>
  </si>
  <si>
    <t>Documents Clients\Factures\Facture-20160407-003-Châteauform.pdf</t>
  </si>
  <si>
    <t>20160502-001</t>
  </si>
  <si>
    <t>294*Tradition(1,15€)+158*Demi-Tradition(0,60€)+3*Pain de Mie(2,30€)+141*Pain Burger(1,20€)+120*Croissant(1,05€)+80*Pain au Chocolat(1,15€)</t>
  </si>
  <si>
    <t>Documents Clients\Factures\Facture-20160502-001-La Table Monceau.pdf</t>
  </si>
  <si>
    <t>20160502-002</t>
  </si>
  <si>
    <t>165*Tradition(1,15€)+1*Ficelle Aromatique(1,50€)+2*Brioche Parisienne(4,00€)</t>
  </si>
  <si>
    <t>Documents Clients\Factures\Facture-20160502-002-Bistrot de Louise.pdf</t>
  </si>
  <si>
    <t>20160502-003</t>
  </si>
  <si>
    <t>94*Tradition(1,15€)</t>
  </si>
  <si>
    <t>Documents Clients\Factures\Facture-20160502-003-Mad et Mariette.pdf</t>
  </si>
  <si>
    <t>20160502-004</t>
  </si>
  <si>
    <t>136*Tradition(1,15€)</t>
  </si>
  <si>
    <t>Documents Clients\Factures\Facture-20160502-004-Imprévu.pdf</t>
  </si>
  <si>
    <t>20160502-005</t>
  </si>
  <si>
    <t>378*Double Tradition(2,30€)</t>
  </si>
  <si>
    <t>Documents Clients\Factures\Facture-20160502-005-La Bouteille sur la Table.pdf</t>
  </si>
  <si>
    <t>20160502-006</t>
  </si>
  <si>
    <t>187*Tradition(1,15€)+1*DIVERS BOULANGERIE(5,60€)</t>
  </si>
  <si>
    <t>Documents Clients\Factures\Facture-20160502-006-Tourbillon.pdf</t>
  </si>
  <si>
    <t>20160502-007</t>
  </si>
  <si>
    <t>240*Tradition(1,15€)+2*Ficelle Aromatique(1,50€)+2*Tarte Framboises 4pers(16,00€)+160*Choix(0,20€)+1*Levure(5,00€)+1*Divers Boulangerie(21,70€)</t>
  </si>
  <si>
    <t>Documents Clients\Factures\Facture-20160502-007-Il Paradiso.pdf</t>
  </si>
  <si>
    <t>20160502-008</t>
  </si>
  <si>
    <t>421*Tradition(1,15€)+306*Croissant(1,05€)+183*Baguette(0,95€)+117*Pain au Chocolat(1,15€)+180*Pain Burger(1,20€)+8*Brioche Parisienne(4,00€)</t>
  </si>
  <si>
    <t>Documents Clients\Factures\Facture-20160502-008-Le Café des Dames.pdf</t>
  </si>
  <si>
    <t>20160502-009</t>
  </si>
  <si>
    <t>551*Baguette(0,95€)+90*Pain au Chocolat(1,15€)+129*Croissant(1,05€)</t>
  </si>
  <si>
    <t>Documents Clients\Factures\Facture-20160502-009-L'Auberge Rouge.pdf</t>
  </si>
  <si>
    <t>20160502-010</t>
  </si>
  <si>
    <t>45*Tradition(1,15€)+8*Tradition aux Graines(1,35€)</t>
  </si>
  <si>
    <t>Documents Clients\Factures\Facture-20160502-010-Autour du Saumon.pdf</t>
  </si>
  <si>
    <t>20160502-011</t>
  </si>
  <si>
    <t>367*Tradition(1,15€)</t>
  </si>
  <si>
    <t>Documents Clients\Factures\Facture-20160502-011-Brigitte.pdf</t>
  </si>
  <si>
    <t>20160502-012</t>
  </si>
  <si>
    <t>538*Tradition(1,15€)</t>
  </si>
  <si>
    <t>Documents Clients\Factures\Facture-20160502-012-Bistrot des Vignes.pdf</t>
  </si>
  <si>
    <t>66742</t>
  </si>
  <si>
    <t>20163243</t>
  </si>
  <si>
    <t>20163235</t>
  </si>
  <si>
    <t>20163227</t>
  </si>
  <si>
    <t>1146002</t>
  </si>
  <si>
    <t>92360913</t>
  </si>
  <si>
    <t>20162727</t>
  </si>
  <si>
    <t>142145</t>
  </si>
  <si>
    <t>1142146</t>
  </si>
  <si>
    <t>1142149</t>
  </si>
  <si>
    <t>1142148</t>
  </si>
  <si>
    <t>1142147</t>
  </si>
  <si>
    <t>92317723</t>
  </si>
  <si>
    <t>16012584</t>
  </si>
  <si>
    <t>20163189</t>
  </si>
  <si>
    <t>66407</t>
  </si>
  <si>
    <t>20163223</t>
  </si>
  <si>
    <t>CHEQUE 0348858</t>
  </si>
  <si>
    <t>1145431</t>
  </si>
  <si>
    <t>1145572</t>
  </si>
  <si>
    <t>24790</t>
  </si>
  <si>
    <t>mai</t>
  </si>
  <si>
    <t>Total mai</t>
  </si>
  <si>
    <t>20160503-001</t>
  </si>
  <si>
    <t>4*Pain de Seigle(2,20€)+112*Pain Nordique(3,00€)+1*Baguette Nordique(1,40€)+70*Pave Tradition(1,80€)</t>
  </si>
  <si>
    <t>Documents Clients\Factures\Facture-20160503-001-Huîtrerie.pdf</t>
  </si>
  <si>
    <t>20160503-002</t>
  </si>
  <si>
    <t>4*Pain de Seigle(2,60€)+112*Pain Nordique(3,00€)+1*Baguette Nordique(1,40€)+70*Pave Tradition(1,80€)</t>
  </si>
  <si>
    <t>Documents Clients\Factures\Facture-20160503-002-Huîtrerie.pdf</t>
  </si>
  <si>
    <t>20160503-003</t>
  </si>
  <si>
    <t>334*Baguette(0,95€)+150*Pain Burger(1,20€)+169*Croissant(1,05€)+65*Pain au Chocolat(1,15€)</t>
  </si>
  <si>
    <t>Documents Clients\Factures\Facture-20160503-003-Le Bitrot 15.pdf</t>
  </si>
  <si>
    <t>20160503-004</t>
  </si>
  <si>
    <t>Documents Clients\Factures\Facture-20160503-004-Le Signal.pdf</t>
  </si>
  <si>
    <t>66855</t>
  </si>
  <si>
    <t>1147299</t>
  </si>
  <si>
    <t>CHEQUE 0348860 10/05/16</t>
  </si>
  <si>
    <t>1147300</t>
  </si>
  <si>
    <t>1147301</t>
  </si>
  <si>
    <t>1146273</t>
  </si>
  <si>
    <t>14030012</t>
  </si>
  <si>
    <t>1146964</t>
  </si>
  <si>
    <t>20163443</t>
  </si>
  <si>
    <t>30187652</t>
  </si>
  <si>
    <t>PATISFRAIS</t>
  </si>
  <si>
    <t>CHEQUE 0348859 06/05/16</t>
  </si>
  <si>
    <t>20163198</t>
  </si>
  <si>
    <t>20163373</t>
  </si>
  <si>
    <t>20163367</t>
  </si>
  <si>
    <t>1147006</t>
  </si>
  <si>
    <t>20163303</t>
  </si>
  <si>
    <t>20163356</t>
  </si>
  <si>
    <t>92369800</t>
  </si>
  <si>
    <t>CHEQUE 0348861 10/05/16</t>
  </si>
  <si>
    <t>1146963</t>
  </si>
  <si>
    <t>CHEQUE 0348863 10/05</t>
  </si>
  <si>
    <t>CHEQUE 0304291 10/05</t>
  </si>
  <si>
    <t>CHEQUE 0304292 10/05/16</t>
  </si>
  <si>
    <t>CHEQUE 0304293 1082,67 10/05</t>
  </si>
  <si>
    <t>1147556</t>
  </si>
  <si>
    <t>20163498</t>
  </si>
  <si>
    <t>1147887</t>
  </si>
  <si>
    <t>1147888</t>
  </si>
  <si>
    <t>1147889</t>
  </si>
  <si>
    <t>1147890</t>
  </si>
  <si>
    <t>1147891</t>
  </si>
  <si>
    <t>1148225</t>
  </si>
  <si>
    <t>1148224</t>
  </si>
  <si>
    <t>1148226</t>
  </si>
  <si>
    <t>1147626</t>
  </si>
  <si>
    <t>1147161</t>
  </si>
  <si>
    <t>1147182</t>
  </si>
  <si>
    <t>1147181</t>
  </si>
  <si>
    <t>1146649</t>
  </si>
  <si>
    <t>20163453</t>
  </si>
  <si>
    <t>20163413</t>
  </si>
  <si>
    <t>20163490</t>
  </si>
  <si>
    <t>20163518</t>
  </si>
  <si>
    <t>23650</t>
  </si>
  <si>
    <t>66387</t>
  </si>
  <si>
    <t>20163561</t>
  </si>
  <si>
    <t>67197</t>
  </si>
  <si>
    <t>128*Baguette(0,95€)+300*Le Petit Pain Nature(0,40€)+7*Pain de Campagne Grand(1,90€)+52*Croissant Ordinaire(1,00€)</t>
  </si>
  <si>
    <t>cheque 0348865 17/05/2016</t>
  </si>
  <si>
    <t>cheque 0348867 17/05/16</t>
  </si>
  <si>
    <t>CHEQUE 0348868 17/05</t>
  </si>
  <si>
    <t>CHEQUE 0304297 17/05</t>
  </si>
  <si>
    <t>25015</t>
  </si>
  <si>
    <t>CHEQUE 0348869 20/05</t>
  </si>
  <si>
    <t>20163679</t>
  </si>
  <si>
    <t>1149819</t>
  </si>
  <si>
    <t>1149820</t>
  </si>
  <si>
    <t>20163682</t>
  </si>
  <si>
    <t>1149503</t>
  </si>
  <si>
    <t>1149504</t>
  </si>
  <si>
    <t>20163603</t>
  </si>
  <si>
    <t>20163709</t>
  </si>
  <si>
    <t>67299</t>
  </si>
  <si>
    <t>86319</t>
  </si>
  <si>
    <t>7700102204</t>
  </si>
  <si>
    <t>1149065</t>
  </si>
  <si>
    <t>1149425</t>
  </si>
  <si>
    <t>20163577</t>
  </si>
  <si>
    <t>654</t>
  </si>
  <si>
    <t>CHEQUE 0348870 21/05/16</t>
  </si>
  <si>
    <t>CHEQUE 0304300 21/05/16</t>
  </si>
  <si>
    <t>165134</t>
  </si>
  <si>
    <t>20163650</t>
  </si>
  <si>
    <t>20163770</t>
  </si>
  <si>
    <t>1150225</t>
  </si>
  <si>
    <t>20163760</t>
  </si>
  <si>
    <t>20163777</t>
  </si>
  <si>
    <t>1150137</t>
  </si>
  <si>
    <t>1150136</t>
  </si>
  <si>
    <t>1150346</t>
  </si>
  <si>
    <t>7700106597</t>
  </si>
  <si>
    <t>CHEQUE 0348874 26/05</t>
  </si>
  <si>
    <t>14030376</t>
  </si>
  <si>
    <t>68071</t>
  </si>
  <si>
    <t>1151313</t>
  </si>
  <si>
    <t>1151314</t>
  </si>
  <si>
    <t>1151315</t>
  </si>
  <si>
    <t>1151316</t>
  </si>
  <si>
    <t>1151317</t>
  </si>
  <si>
    <t>7700108933</t>
  </si>
  <si>
    <t>20164025</t>
  </si>
  <si>
    <t>1152017</t>
  </si>
  <si>
    <t>1152016</t>
  </si>
  <si>
    <t>20163970</t>
  </si>
  <si>
    <t>7700111763</t>
  </si>
  <si>
    <t>1152376</t>
  </si>
  <si>
    <t>1152938</t>
  </si>
  <si>
    <t>1152936</t>
  </si>
  <si>
    <t>1152562</t>
  </si>
  <si>
    <t>juin</t>
  </si>
  <si>
    <t>Total juin</t>
  </si>
  <si>
    <t>20160602-001</t>
  </si>
  <si>
    <t>78*Baguette(0,95€)+570*Le Petit Pain Nature(0,40€)+5*Pain de Campagne Grand(1,90€)+50*Croissant Ordinaire(1,00€)+1*Pain de Campagne Petit(1,30€)</t>
  </si>
  <si>
    <t>Documents Clients\Factures\Facture-20160602-001-Le Signal.pdf</t>
  </si>
  <si>
    <t>20160602-002</t>
  </si>
  <si>
    <t>339*Baguette(0,95€)+160*Pain Burger(1,20€)+219*Croissant(1,05€)+94*Pain au Chocolat(1,15€)+3*Brioche(12,00€)</t>
  </si>
  <si>
    <t>Documents Clients\Factures\Facture-20160602-002-Le Bitrot 15.pdf</t>
  </si>
  <si>
    <t>20160602-003</t>
  </si>
  <si>
    <t>3*Pain de Seigle(2,60€)+79*Pain Nordique(3,00€)+3*Pain aux cereales(1,40€)+49*Pave Tradition(1,80€)+1*Sandwiche (4,80€)</t>
  </si>
  <si>
    <t>Documents Clients\Factures\Facture-20160602-003-Huîtrerie.pdf</t>
  </si>
  <si>
    <t>20160602-004</t>
  </si>
  <si>
    <t>48*Baguette(0,95€)+141*Croissant(1,05€)+17*Pain au Chocolat(1,15€)</t>
  </si>
  <si>
    <t>Documents Clients\Factures\Facture-20160602-004-Les Trois Garcons.pdf</t>
  </si>
  <si>
    <t>20160602-005</t>
  </si>
  <si>
    <t>405*Tradition(1,15€)+338*Croissant(1,05€)+251*Baguette(0,95€)+128*Pain au Chocolat(1,15€)+195*Pain Burger(1,20€)+9*Brioche Parisienne(4,00€)</t>
  </si>
  <si>
    <t>Documents Clients\Factures\Facture-20160602-005-Le Café des Dames.pdf</t>
  </si>
  <si>
    <t>20160602-006</t>
  </si>
  <si>
    <t>572*Baguette(0,95€)+96*Pain au Chocolat(1,15€)+129*Croissant(1,05€)</t>
  </si>
  <si>
    <t>Documents Clients\Factures\Facture-20160602-006-L'Auberge Rouge.pdf</t>
  </si>
  <si>
    <t>20160602-007</t>
  </si>
  <si>
    <t>39*Tradition(1,15€)+15*Tradition aux Graines(1,35€)</t>
  </si>
  <si>
    <t>Documents Clients\Factures\Facture-20160602-007-Autour du Saumon.pdf</t>
  </si>
  <si>
    <t>20160602-008</t>
  </si>
  <si>
    <t>410*Tradition(1,15€)</t>
  </si>
  <si>
    <t>Documents Clients\Factures\Facture-20160602-008-Brigitte.pdf</t>
  </si>
  <si>
    <t>20160602-009</t>
  </si>
  <si>
    <t>358*Tradition(1,15€)</t>
  </si>
  <si>
    <t>Documents Clients\Factures\Facture-20160602-009-Bistrot des Vignes.pdf</t>
  </si>
  <si>
    <t>20160602-010</t>
  </si>
  <si>
    <t>140*Tradition(1,15€)+2*Pain de Mie(2,30€)</t>
  </si>
  <si>
    <t>Documents Clients\Factures\Facture-20160602-010-Bistrot de Louise.pdf</t>
  </si>
  <si>
    <t>20160602-011</t>
  </si>
  <si>
    <t>77*Tradition(1,15€)+40*Chouquettes(0,25€)+24*Mini Viennoiserie(0,55€)</t>
  </si>
  <si>
    <t>Documents Clients\Factures\Facture-20160602-011-Mad et Mariette.pdf</t>
  </si>
  <si>
    <t>20160602-012</t>
  </si>
  <si>
    <t>148*Tradition(1,15€)</t>
  </si>
  <si>
    <t>Documents Clients\Factures\Facture-20160602-012-Imprévu.pdf</t>
  </si>
  <si>
    <t>20160602-013</t>
  </si>
  <si>
    <t>448*Double Tradition(2,30€)</t>
  </si>
  <si>
    <t>Documents Clients\Factures\Facture-20160602-013-La Bouteille sur la Table.pdf</t>
  </si>
  <si>
    <t>20160602-014</t>
  </si>
  <si>
    <t>112*Tradition(1,15€)</t>
  </si>
  <si>
    <t>Documents Clients\Factures\Facture-20160602-014-Tourbillon.pdf</t>
  </si>
  <si>
    <t>20160602-015</t>
  </si>
  <si>
    <t>162*Tradition(1,15€)+1*Pain de Campagne(5,00€)+160*Choux(0,25€)</t>
  </si>
  <si>
    <t>Documents Clients\Factures\Facture-20160602-015-Il Paradiso.pdf</t>
  </si>
  <si>
    <t>20163951</t>
  </si>
  <si>
    <t>1152076</t>
  </si>
  <si>
    <t>1152077</t>
  </si>
  <si>
    <t>1152078</t>
  </si>
  <si>
    <t>1151012</t>
  </si>
  <si>
    <t>67764</t>
  </si>
  <si>
    <t>68152</t>
  </si>
  <si>
    <t>20163928</t>
  </si>
  <si>
    <t>20163892</t>
  </si>
  <si>
    <t>1151665</t>
  </si>
  <si>
    <t>67647</t>
  </si>
  <si>
    <t>1153748</t>
  </si>
  <si>
    <t>20164192</t>
  </si>
  <si>
    <t>20164127</t>
  </si>
  <si>
    <t>20164055</t>
  </si>
  <si>
    <t>20163973</t>
  </si>
  <si>
    <t>20163867</t>
  </si>
  <si>
    <t>20163803</t>
  </si>
  <si>
    <t>1152953</t>
  </si>
  <si>
    <t>1152954</t>
  </si>
  <si>
    <t>20164149</t>
  </si>
  <si>
    <t>1153460</t>
  </si>
  <si>
    <t>30193060</t>
  </si>
  <si>
    <t>30193053</t>
  </si>
  <si>
    <t>20164212</t>
  </si>
  <si>
    <t>20164173</t>
  </si>
  <si>
    <t>68814</t>
  </si>
  <si>
    <t>68708</t>
  </si>
  <si>
    <t>68532</t>
  </si>
  <si>
    <t>68614</t>
  </si>
  <si>
    <t>20160609-001</t>
  </si>
  <si>
    <t>274*Tradition(1,15€)+152*Demi-Tradition(0,60€)+6*Pain de Mie(2,30€)+155*Pain Burger(1,20€)+119*Croissant(1,05€)+71*Pain au Chocolat(1,15€)</t>
  </si>
  <si>
    <t>Documents Clients\Factures\Facture-20160609-001-La Table Monceau.pdf</t>
  </si>
  <si>
    <t>20160609-002</t>
  </si>
  <si>
    <t>28*VISITE DU BOULANGER(5,00€)</t>
  </si>
  <si>
    <t>Documents Clients\Factures\Facture-20160609-002-MEETING THE FRENCH.pdf</t>
  </si>
  <si>
    <t>14030660</t>
  </si>
  <si>
    <t>1154098</t>
  </si>
  <si>
    <t>1154559</t>
  </si>
  <si>
    <t>1154560</t>
  </si>
  <si>
    <t>1154562</t>
  </si>
  <si>
    <t>1154558</t>
  </si>
  <si>
    <t>1154561</t>
  </si>
  <si>
    <t>92449789</t>
  </si>
  <si>
    <t>69211</t>
  </si>
  <si>
    <t>14030640</t>
  </si>
  <si>
    <t>1154457</t>
  </si>
  <si>
    <t>1154458</t>
  </si>
  <si>
    <t>68690</t>
  </si>
  <si>
    <t>30192482</t>
  </si>
  <si>
    <t>CHEQUE 0348895</t>
  </si>
  <si>
    <t>69285</t>
  </si>
  <si>
    <t>20164394</t>
  </si>
  <si>
    <t>20164359</t>
  </si>
  <si>
    <t>20164301</t>
  </si>
  <si>
    <t>11552015</t>
  </si>
  <si>
    <t>1155491</t>
  </si>
  <si>
    <t>1155490</t>
  </si>
  <si>
    <t>1155489</t>
  </si>
  <si>
    <t>69235</t>
  </si>
  <si>
    <t>105614570</t>
  </si>
  <si>
    <t>NESPRESSO</t>
  </si>
  <si>
    <t>1155721</t>
  </si>
  <si>
    <t>1155720</t>
  </si>
  <si>
    <t>69127</t>
  </si>
  <si>
    <t>87356</t>
  </si>
  <si>
    <t>CHEQUE 0348952 20/06/2016</t>
  </si>
  <si>
    <t>CHEQUE 0348951 20/06/16</t>
  </si>
  <si>
    <t>CHEQUE 0347726 20/06/16</t>
  </si>
  <si>
    <t>CHEQUE 0347725 14/06/2016</t>
  </si>
  <si>
    <t>CHEQUE 0348896 14/06/16</t>
  </si>
  <si>
    <t>CHEQUE 034 8955 21/06/16</t>
  </si>
  <si>
    <t>CHEQUE 0347727 21/06/2016</t>
  </si>
  <si>
    <t>CHEQUE 0348955 1/06/16</t>
  </si>
  <si>
    <t>1158153</t>
  </si>
  <si>
    <t>1158154</t>
  </si>
  <si>
    <t>69683</t>
  </si>
  <si>
    <t>20164646</t>
  </si>
  <si>
    <t>1156949</t>
  </si>
  <si>
    <t>1156950</t>
  </si>
  <si>
    <t>1156951</t>
  </si>
  <si>
    <t>20164599</t>
  </si>
  <si>
    <t>1157406</t>
  </si>
  <si>
    <t>14030930</t>
  </si>
  <si>
    <t>20164593</t>
  </si>
  <si>
    <t>1157858</t>
  </si>
  <si>
    <t>1156066</t>
  </si>
  <si>
    <t>1157857</t>
  </si>
  <si>
    <t>1156067</t>
  </si>
  <si>
    <t>20164628</t>
  </si>
  <si>
    <t>20164542</t>
  </si>
  <si>
    <t>20164407</t>
  </si>
  <si>
    <t>20164320</t>
  </si>
  <si>
    <t>69558</t>
  </si>
  <si>
    <t>70473</t>
  </si>
  <si>
    <t>70089</t>
  </si>
  <si>
    <t>70160</t>
  </si>
  <si>
    <t>1158793</t>
  </si>
  <si>
    <t>20164822</t>
  </si>
  <si>
    <t>1157739</t>
  </si>
  <si>
    <t>1158395</t>
  </si>
  <si>
    <t>1158764</t>
  </si>
  <si>
    <t>1158763</t>
  </si>
  <si>
    <t>1158614</t>
  </si>
  <si>
    <t>1159326</t>
  </si>
  <si>
    <t>771</t>
  </si>
  <si>
    <t>20164839</t>
  </si>
  <si>
    <t>20164543</t>
  </si>
  <si>
    <t>20164874</t>
  </si>
  <si>
    <t>20164760</t>
  </si>
  <si>
    <t>20164809</t>
  </si>
  <si>
    <t>1159327</t>
  </si>
  <si>
    <t>CHEQUE 0347731 28/06/16</t>
  </si>
  <si>
    <t>778</t>
  </si>
  <si>
    <t>CHEQUE 0348964 28/06/16</t>
  </si>
  <si>
    <t>20160701-001</t>
  </si>
  <si>
    <t>372*Tradition(1,15€)+289*Croissant(1,05€)+205*Baguette(0,95€)+97*Pain au Chocolat(1,15€)+218*Pain Burger(1,20€)+5*Brioche Parisienne(4,00€)</t>
  </si>
  <si>
    <t>Documents Clients\Factures\Facture-20160701-001-Le Café des Dames.pdf</t>
  </si>
  <si>
    <t>20160701-002</t>
  </si>
  <si>
    <t>557*Baguette(0,95€)+87*Pain au Chocolat(1,15€)+116*Croissant(1,05€)+1*Pain de Campagne(3,20€)</t>
  </si>
  <si>
    <t>Documents Clients\Factures\Facture-20160701-002-L'Auberge Rouge.pdf</t>
  </si>
  <si>
    <t>20160701-003</t>
  </si>
  <si>
    <t>39*Tradition(1,15€)+12*Tradition aux Graines(1,35€)</t>
  </si>
  <si>
    <t>Documents Clients\Factures\Facture-20160701-003-Autour du Saumon.pdf</t>
  </si>
  <si>
    <t>20160701-004</t>
  </si>
  <si>
    <t>427*Tradition(1,15€)</t>
  </si>
  <si>
    <t>Documents Clients\Factures\Facture-20160701-004-Brigitte.pdf</t>
  </si>
  <si>
    <t>20160701-005</t>
  </si>
  <si>
    <t>Documents Clients\Factures\Facture-20160701-005-Bistrot de Louise.pdf</t>
  </si>
  <si>
    <t>197*Tradition(1,15€)+4*Croissant(1,05€)+1*Pain au Chocolat(1,15€)+2*Brioche Parisienne(4,00€)</t>
  </si>
  <si>
    <t>20160701-006</t>
  </si>
  <si>
    <t>83*Tradition(1,15€)+2*Tradition aux Graines(1,35€)+1*Divers Boulangerie(4,70€)</t>
  </si>
  <si>
    <t>Documents Clients\Factures\Facture-20160701-006-Mad et Mariette.pdf</t>
  </si>
  <si>
    <t>20160701-007</t>
  </si>
  <si>
    <t>163*Tradition(1,15€)</t>
  </si>
  <si>
    <t>Documents Clients\Factures\Facture-20160701-007-Imprévu.pdf</t>
  </si>
  <si>
    <t>20160701-008</t>
  </si>
  <si>
    <t>462*Double Tradition(2,30€)+1*Fraisiers (32,00€)</t>
  </si>
  <si>
    <t>Documents Clients\Factures\Facture-20160701-008-La Bouteille sur la Table.pdf</t>
  </si>
  <si>
    <t>20160701-009</t>
  </si>
  <si>
    <t>Documents Clients\Factures\Facture-20160701-009-Tourbillon.pdf</t>
  </si>
  <si>
    <t>20160701-010</t>
  </si>
  <si>
    <t>138*Tradition(1,15€)+8*Chouquettes(0,25€)+1*Millefeuille(3,90€)+3*Tarte fine(2,80€)+160*Choux(0,50€)+1*Divers(9,60€)</t>
  </si>
  <si>
    <t>Documents Clients\Factures\Facture-20160701-010-Il Paradiso.pdf</t>
  </si>
  <si>
    <t>20160701-011</t>
  </si>
  <si>
    <t>2*Pain de Seigle(2,60€)+93*Pain Nordique(3,00€)</t>
  </si>
  <si>
    <t>Documents Clients\Factures\Facture-20160701-011-Huîtrerie.pdf</t>
  </si>
  <si>
    <t>20160701-012</t>
  </si>
  <si>
    <t>46*Baguette(0,95€)+144*Croissant(1,05€)+30*Pain au Chocolat(1,15€)</t>
  </si>
  <si>
    <t>Documents Clients\Factures\Facture-20160701-012-Les Trois Garcons.pdf</t>
  </si>
  <si>
    <t>20160701-013</t>
  </si>
  <si>
    <t>90*Baguette(0,95€)+660*Le Petit Pain Nature(0,40€)+5*Pain de Campagne Grand(1,90€)+54*Croissant Ordinaire(1,00€)+1*Pain Complet(1,30€)</t>
  </si>
  <si>
    <t>Documents Clients\Factures\Facture-20160701-013-Le Signal.pdf</t>
  </si>
  <si>
    <t>20160701-014</t>
  </si>
  <si>
    <t>424*Baguette(0,95€)+155*Pain Burger(1,20€)+235*Croissant(1,05€)+98*Pain au Chocolat(1,15€)</t>
  </si>
  <si>
    <t>Documents Clients\Factures\Facture-20160701-014-Le Bitrot 15.pdf</t>
  </si>
  <si>
    <t>1162549</t>
  </si>
  <si>
    <t>1163477</t>
  </si>
  <si>
    <t>1160780</t>
  </si>
  <si>
    <t>1163076</t>
  </si>
  <si>
    <t>1160778</t>
  </si>
  <si>
    <t>1160781</t>
  </si>
  <si>
    <t>1161527</t>
  </si>
  <si>
    <t>1161526</t>
  </si>
  <si>
    <t>1161525</t>
  </si>
  <si>
    <t>1163500</t>
  </si>
  <si>
    <t>1163603</t>
  </si>
  <si>
    <t>1161980</t>
  </si>
  <si>
    <t>1160700</t>
  </si>
  <si>
    <t>1160426</t>
  </si>
  <si>
    <t>1159804</t>
  </si>
  <si>
    <t>1159803</t>
  </si>
  <si>
    <t>1160198</t>
  </si>
  <si>
    <t>92527440</t>
  </si>
  <si>
    <t>70915</t>
  </si>
  <si>
    <t>20164982</t>
  </si>
  <si>
    <t>20165000</t>
  </si>
  <si>
    <t>20165067</t>
  </si>
  <si>
    <t>20165099</t>
  </si>
  <si>
    <t>20165251</t>
  </si>
  <si>
    <t>20165139</t>
  </si>
  <si>
    <t>20165291</t>
  </si>
  <si>
    <t>20165399</t>
  </si>
  <si>
    <t>20165469</t>
  </si>
  <si>
    <t>14031451</t>
  </si>
  <si>
    <t>14031228</t>
  </si>
  <si>
    <t>30199460</t>
  </si>
  <si>
    <t>8629</t>
  </si>
  <si>
    <t>GYRDIS</t>
  </si>
  <si>
    <t>106226357</t>
  </si>
  <si>
    <t>106226355</t>
  </si>
  <si>
    <t>1159409</t>
  </si>
  <si>
    <t>1161496</t>
  </si>
  <si>
    <t>1161497</t>
  </si>
  <si>
    <t>1163279</t>
  </si>
  <si>
    <t>1163024</t>
  </si>
  <si>
    <t>70577</t>
  </si>
  <si>
    <t>70632</t>
  </si>
  <si>
    <t>70898</t>
  </si>
  <si>
    <t>88349</t>
  </si>
  <si>
    <t>20165441</t>
  </si>
  <si>
    <t>20164960</t>
  </si>
  <si>
    <t>20165306</t>
  </si>
  <si>
    <t>20165082</t>
  </si>
  <si>
    <t>20165098</t>
  </si>
  <si>
    <t>20165143</t>
  </si>
  <si>
    <t>14031200</t>
  </si>
  <si>
    <t>juil</t>
  </si>
  <si>
    <t>Total juil</t>
  </si>
  <si>
    <t>cheque 0348993 21/06/16</t>
  </si>
  <si>
    <t>CHEQUE TIMOUR</t>
  </si>
  <si>
    <t>CHEQUE Timour</t>
  </si>
  <si>
    <t xml:space="preserve"> CHEQUE LE 13/01/2016</t>
  </si>
  <si>
    <t>479</t>
  </si>
  <si>
    <t>CHEQUE 0348994 22/07/16</t>
  </si>
  <si>
    <t>CHEQUE 0333854 22/07/16</t>
  </si>
  <si>
    <t>CHEQUE 0348995 22/07/16</t>
  </si>
  <si>
    <t>CHEQUE 0348996 22/07/16</t>
  </si>
  <si>
    <t>CHEQUE 0348997 22/07/16</t>
  </si>
  <si>
    <t>181001</t>
  </si>
  <si>
    <t>181230</t>
  </si>
  <si>
    <t>1164521</t>
  </si>
  <si>
    <t>20165587</t>
  </si>
  <si>
    <t>20165485</t>
  </si>
  <si>
    <t>20165586</t>
  </si>
  <si>
    <t>20165531</t>
  </si>
  <si>
    <t>71480</t>
  </si>
  <si>
    <t>1163866</t>
  </si>
  <si>
    <t>14031623</t>
  </si>
  <si>
    <t>14031625</t>
  </si>
  <si>
    <t>71368</t>
  </si>
  <si>
    <t>1164699</t>
  </si>
  <si>
    <t>114698</t>
  </si>
  <si>
    <t>20165642</t>
  </si>
  <si>
    <t>20165724</t>
  </si>
  <si>
    <t>20165779</t>
  </si>
  <si>
    <t>1165044</t>
  </si>
  <si>
    <t>20165677</t>
  </si>
  <si>
    <t>1165692</t>
  </si>
  <si>
    <t>71875</t>
  </si>
  <si>
    <t>CHEQUE 0348902 29/07/16</t>
  </si>
  <si>
    <t>CHEQUE 0348903 29/07/16</t>
  </si>
  <si>
    <t>20160729-001</t>
  </si>
  <si>
    <t>Documents Clients\Factures\Facture-20160729-001-La Table Monceau.pdf</t>
  </si>
  <si>
    <t>276*Tradition(1,15€)+151*Demi-Tradition(0,60€)+5*Pain de Mie(2,30€)+132*Pain Burger(1,20€)+135*Croissant(1,05€)+74*Pain au Chocolat(1,15€)</t>
  </si>
  <si>
    <t>20160801-001</t>
  </si>
  <si>
    <t>401*Tradition(1,15€)+285*Croissant(1,05€)+229*Baguette(0,95€)+100*Pain au Chocolat(1,15€)+190*Pain Burger(1,20€)+5*Brioche Parisienne(4,00€)</t>
  </si>
  <si>
    <t>Documents Clients\Factures\Facture-20160801-001-Le Café des Dames.pdf</t>
  </si>
  <si>
    <t>20160801-002</t>
  </si>
  <si>
    <t>649*Baguette(0,95€)+93*Pain au Chocolat(1,15€)+123*Croissant(1,05€)+1*Pain Campagne(7,40€)+1*Pain Cereale(4,60€)</t>
  </si>
  <si>
    <t>Documents Clients\Factures\Facture-20160801-002-L'Auberge Rouge.pdf</t>
  </si>
  <si>
    <t>20160801-003</t>
  </si>
  <si>
    <t>22*Tradition(1,15€)+12*Tradition aux Graines(1,35€)</t>
  </si>
  <si>
    <t>Documents Clients\Factures\Facture-20160801-003-Autour du Saumon.pdf</t>
  </si>
  <si>
    <t>20160801-004</t>
  </si>
  <si>
    <t>467*Tradition(1,15€)</t>
  </si>
  <si>
    <t>Documents Clients\Factures\Facture-20160801-004-Brigitte.pdf</t>
  </si>
  <si>
    <t>20160801-005</t>
  </si>
  <si>
    <t>150*Tradition(1,15€)+1*Brioche Parisienne(4,00€)</t>
  </si>
  <si>
    <t>Documents Clients\Factures\Facture-20160801-005-Bistrot de Louise.pdf</t>
  </si>
  <si>
    <t>20160801-006</t>
  </si>
  <si>
    <t>73*Tradition(1,15€)+2*Ficelle Aromatique(1,50€)</t>
  </si>
  <si>
    <t>Documents Clients\Factures\Facture-20160801-006-Mad et Mariette.pdf</t>
  </si>
  <si>
    <t>20160801-007</t>
  </si>
  <si>
    <t>142*Tradition(1,15€)</t>
  </si>
  <si>
    <t>Documents Clients\Factures\Facture-20160801-007-Imprévu.pdf</t>
  </si>
  <si>
    <t>20160801-008</t>
  </si>
  <si>
    <t>426*Double Tradition(2,30€)</t>
  </si>
  <si>
    <t>Documents Clients\Factures\Facture-20160801-008-La Bouteille sur la Table.pdf</t>
  </si>
  <si>
    <t>20160801-009</t>
  </si>
  <si>
    <t>172*Tradition(1,15€)</t>
  </si>
  <si>
    <t>Documents Clients\Factures\Facture-20160801-009-Tourbillon.pdf</t>
  </si>
  <si>
    <t>20160801-010</t>
  </si>
  <si>
    <t>150*Tradition(1,15€)+1*Pain Campagne(6,40€)</t>
  </si>
  <si>
    <t>Documents Clients\Factures\Facture-20160801-010-Il Paradiso.pdf</t>
  </si>
  <si>
    <t>20165826</t>
  </si>
  <si>
    <t>1165942</t>
  </si>
  <si>
    <t>1164678</t>
  </si>
  <si>
    <t>20165694</t>
  </si>
  <si>
    <t>1165480</t>
  </si>
  <si>
    <t>825</t>
  </si>
  <si>
    <t>1165922</t>
  </si>
  <si>
    <t>1165923</t>
  </si>
  <si>
    <t>20165794</t>
  </si>
  <si>
    <t>72164</t>
  </si>
  <si>
    <t>72512</t>
  </si>
  <si>
    <t>20165878</t>
  </si>
  <si>
    <t>20165844</t>
  </si>
  <si>
    <t>CHEQUE 0333859 01/08/16</t>
  </si>
  <si>
    <t>août</t>
  </si>
  <si>
    <t>Total août</t>
  </si>
  <si>
    <t>CHEQUE 0333861 02/08/16</t>
  </si>
  <si>
    <t>CHEQUE 0348905 02/08/16</t>
  </si>
  <si>
    <t>72242</t>
  </si>
  <si>
    <t>20165874</t>
  </si>
  <si>
    <t>1166256</t>
  </si>
  <si>
    <t>1166258</t>
  </si>
  <si>
    <t>1166257</t>
  </si>
  <si>
    <t>20160802-001</t>
  </si>
  <si>
    <t>Hotel DUETTE</t>
  </si>
  <si>
    <t>68*Tradition(1,15€)+137*Croissant(1,05€)+137*Pain au Chocolat(1,15€)</t>
  </si>
  <si>
    <t>Documents Clients\Factures\Facture-20160802-001-Hotel DUETTE.pdf</t>
  </si>
  <si>
    <t>20160802-002</t>
  </si>
  <si>
    <t>48*Baguette(0,95€)+137*Croissant(1,05€)+94*Pain au Chocolat(1,15€)</t>
  </si>
  <si>
    <t>Documents Clients\Factures\Facture-20160802-002-Les Trois Garcons.pdf</t>
  </si>
  <si>
    <t>20160802-003</t>
  </si>
  <si>
    <t>126*Baguette(0,95€)+150*Le Petit Pain Nature(0,40€)+4*Pain de Campagne Grand(1,90€)+60*Croissant Ordinaire(1,00€)+9*Pain au Chocolat(1,15€)</t>
  </si>
  <si>
    <t>Documents Clients\Factures\Facture-20160802-003-Le Signal.pdf</t>
  </si>
  <si>
    <t>20160802-004</t>
  </si>
  <si>
    <t>326*Baguette(0,95€)+185*Pain Burger(1,20€)+198*Croissant(1,05€)+78*Pain au Chocolat(1,15€)+2*Brioche Parisienne(4,00€)</t>
  </si>
  <si>
    <t>Documents Clients\Factures\Facture-20160802-004-Le Bitrot 15.pdf</t>
  </si>
  <si>
    <t>20160802-005</t>
  </si>
  <si>
    <t>20*Pave Tradition(2,60€)+20*Pain Nordique(3,00€)</t>
  </si>
  <si>
    <t>Documents Clients\Factures\Facture-20160802-005-Huîtrerie.pdf</t>
  </si>
  <si>
    <t>cheque 0348908 04/08/16</t>
  </si>
  <si>
    <t>CHEQUE 0333862 04/08/16</t>
  </si>
  <si>
    <t>CHEQUE 0348918 04/08/16</t>
  </si>
  <si>
    <t>CHEQUE 0333871 04/08/16</t>
  </si>
  <si>
    <t>20160805-001</t>
  </si>
  <si>
    <t>68*Tradition(1,15€)+274*Mini Viennoiserie(0,55€)</t>
  </si>
  <si>
    <t>Documents Clients\Factures\Facture-20160805-001-Hotel DUETTE.pdf</t>
  </si>
  <si>
    <t>20165944</t>
  </si>
  <si>
    <t>20165358</t>
  </si>
  <si>
    <t>20165934</t>
  </si>
  <si>
    <t>20165215</t>
  </si>
  <si>
    <t>1166902</t>
  </si>
  <si>
    <t>20165978</t>
  </si>
  <si>
    <t>20165974</t>
  </si>
  <si>
    <t>14031785</t>
  </si>
  <si>
    <t>1166692</t>
  </si>
  <si>
    <t>1166691</t>
  </si>
  <si>
    <t>20165960</t>
  </si>
  <si>
    <t>1166779</t>
  </si>
  <si>
    <t>1166900</t>
  </si>
  <si>
    <t>1166518</t>
  </si>
  <si>
    <t>72607</t>
  </si>
  <si>
    <t>1168</t>
  </si>
  <si>
    <t>20166047</t>
  </si>
  <si>
    <t>1167382</t>
  </si>
  <si>
    <t>1167858</t>
  </si>
  <si>
    <t>1167857</t>
  </si>
  <si>
    <t>1167020</t>
  </si>
  <si>
    <t>1168323</t>
  </si>
  <si>
    <t>1168322</t>
  </si>
  <si>
    <t>20166148</t>
  </si>
  <si>
    <t>20166164</t>
  </si>
  <si>
    <t>72881</t>
  </si>
  <si>
    <t>1167434</t>
  </si>
  <si>
    <t>1167252</t>
  </si>
  <si>
    <t>1168124</t>
  </si>
  <si>
    <t>1167990</t>
  </si>
  <si>
    <t>1167989</t>
  </si>
  <si>
    <t>1167548</t>
  </si>
  <si>
    <t>20166135</t>
  </si>
  <si>
    <t>14031948</t>
  </si>
  <si>
    <t>20166205</t>
  </si>
  <si>
    <t>20166168</t>
  </si>
  <si>
    <t>20166169</t>
  </si>
  <si>
    <t>1168559</t>
  </si>
  <si>
    <t>1169221</t>
  </si>
  <si>
    <t>1169220</t>
  </si>
  <si>
    <t>1169862</t>
  </si>
  <si>
    <t>1169864</t>
  </si>
  <si>
    <t>1169863</t>
  </si>
  <si>
    <t>1169490</t>
  </si>
  <si>
    <t>1169491</t>
  </si>
  <si>
    <t>20166277</t>
  </si>
  <si>
    <t>20166335</t>
  </si>
  <si>
    <t>861</t>
  </si>
  <si>
    <t>14032121</t>
  </si>
  <si>
    <t>1169277</t>
  </si>
  <si>
    <t>1169278</t>
  </si>
  <si>
    <t>20166186</t>
  </si>
  <si>
    <t>20166220</t>
  </si>
  <si>
    <t>73156</t>
  </si>
  <si>
    <t>1168851</t>
  </si>
  <si>
    <t>20166235</t>
  </si>
  <si>
    <t>20166236</t>
  </si>
  <si>
    <t>73459</t>
  </si>
  <si>
    <t>20160830-001</t>
  </si>
  <si>
    <t>Tour Eiffel</t>
  </si>
  <si>
    <t>511*Tradition(1,15€)+20*Croissant(1,05€)+5*Pain au Chocolat(1,15€)</t>
  </si>
  <si>
    <t>Documents Clients\Factures\Facture-20160830-001-Tour Eiffel.pdf</t>
  </si>
  <si>
    <t>73622</t>
  </si>
  <si>
    <t>1170681</t>
  </si>
  <si>
    <t>20166427</t>
  </si>
  <si>
    <t>20166408</t>
  </si>
  <si>
    <t>30201776</t>
  </si>
  <si>
    <t>30201868</t>
  </si>
  <si>
    <t>20166367</t>
  </si>
  <si>
    <t>1170185</t>
  </si>
  <si>
    <t>1170186</t>
  </si>
  <si>
    <t>20166404</t>
  </si>
  <si>
    <t>20166383</t>
  </si>
  <si>
    <t>20166452</t>
  </si>
  <si>
    <t>20166405</t>
  </si>
  <si>
    <t>20166278</t>
  </si>
  <si>
    <t>1169979</t>
  </si>
  <si>
    <t>1169978</t>
  </si>
  <si>
    <t>73854</t>
  </si>
  <si>
    <t>20166036</t>
  </si>
  <si>
    <t>20165918</t>
  </si>
  <si>
    <t>20166006</t>
  </si>
  <si>
    <t>73443</t>
  </si>
  <si>
    <t>73499</t>
  </si>
  <si>
    <t>3360813088</t>
  </si>
  <si>
    <t>1169515</t>
  </si>
  <si>
    <t>1169648</t>
  </si>
  <si>
    <t>117115915</t>
  </si>
  <si>
    <t>117115742</t>
  </si>
  <si>
    <t>14032303</t>
  </si>
  <si>
    <t>20160902-001</t>
  </si>
  <si>
    <t>1é/09/2016</t>
  </si>
  <si>
    <t>103*Tradition(1,15€)</t>
  </si>
  <si>
    <t>Documents Clients\Factures\Facture-20160902-001-Imprévu.pdf</t>
  </si>
  <si>
    <t>20160902-002</t>
  </si>
  <si>
    <t>271*Tradition(1,15€)</t>
  </si>
  <si>
    <t>Documents Clients\Factures\Facture-20160902-002-Brigitte.pdf</t>
  </si>
  <si>
    <t>20160902-003</t>
  </si>
  <si>
    <t>13*Tradition(1,15€)</t>
  </si>
  <si>
    <t>Documents Clients\Factures\Facture-20160902-003-Autour du Saumon.pdf</t>
  </si>
  <si>
    <t>20160902-004</t>
  </si>
  <si>
    <t>22*Tradition(1,15€)</t>
  </si>
  <si>
    <t>Documents Clients\Factures\Facture-20160902-004-Mad et Mariette.pdf</t>
  </si>
  <si>
    <t>20160902-005</t>
  </si>
  <si>
    <t>328*Double Tradition(2,30€)</t>
  </si>
  <si>
    <t>Documents Clients\Factures\Facture-20160902-005-La Bouteille sur la Table.pdf</t>
  </si>
  <si>
    <t>20160902-006</t>
  </si>
  <si>
    <t>17*Tradition(1,15€)</t>
  </si>
  <si>
    <t>Documents Clients\Factures\Facture-20160902-006-Bistrot de Louise.pdf</t>
  </si>
  <si>
    <t>20160902-007</t>
  </si>
  <si>
    <t>60*Tradition(1,15€)</t>
  </si>
  <si>
    <t>Documents Clients\Factures\Facture-20160902-007-Tourbillon.pdf</t>
  </si>
  <si>
    <t>20160902-008</t>
  </si>
  <si>
    <t>77*Tradition(1,15€)+4*Pain Campagne(6,40€)+60*Chouquette(0,25€)</t>
  </si>
  <si>
    <t>Documents Clients\Factures\Facture-20160902-008-Il Paradiso.pdf</t>
  </si>
  <si>
    <t>20160902-009</t>
  </si>
  <si>
    <t>212*Tradition(1,15€)+224*Croissant(1,05€)+223*Baguette(0,95€)+94*Pain au Chocolat(1,15€)+147*Pain Burger(1,20€)+2*Brioche Parisienne(4,00€)</t>
  </si>
  <si>
    <t>Documents Clients\Factures\Facture-20160902-009-Le Café des Dames.pdf</t>
  </si>
  <si>
    <t>20160902-010</t>
  </si>
  <si>
    <t>488*Baguette(0,95€)+71*Pain au Chocolat(1,15€)+80*Croissant(1,05€)</t>
  </si>
  <si>
    <t>Documents Clients\Factures\Facture-20160902-010-L'Auberge Rouge.pdf</t>
  </si>
  <si>
    <t>20160902-011</t>
  </si>
  <si>
    <t>Le Dome</t>
  </si>
  <si>
    <t>250*Tradition(1,15€)+80*Croissant(1,05€)+71*Pain au Chocolat(1,15€)</t>
  </si>
  <si>
    <t>Documents Clients\Factures\Facture-20160902-011-Le Dome.pdf</t>
  </si>
  <si>
    <t>20160902-012</t>
  </si>
  <si>
    <t>Documents Clients\Factures\Facture-20160902-012-MEETING THE FRENCH.pdf</t>
  </si>
  <si>
    <t>73965</t>
  </si>
  <si>
    <t>20166576</t>
  </si>
  <si>
    <t>20166610</t>
  </si>
  <si>
    <t>20166604</t>
  </si>
  <si>
    <t>1171951</t>
  </si>
  <si>
    <t>1171950</t>
  </si>
  <si>
    <t>1171949</t>
  </si>
  <si>
    <t>1171103</t>
  </si>
  <si>
    <t>1171489</t>
  </si>
  <si>
    <t>20166539</t>
  </si>
  <si>
    <t>20166546</t>
  </si>
  <si>
    <t>73784</t>
  </si>
  <si>
    <t>1171609</t>
  </si>
  <si>
    <t>108028267</t>
  </si>
  <si>
    <t>108028269</t>
  </si>
  <si>
    <t>20160905-001</t>
  </si>
  <si>
    <t>138*Tradition(1,15€)+72*Demi-Tradition(0,60€)+3*Pain de Mie(2,30€)+79*Pain Burger(1,20€)+42*Croissant(1,05€)+30*Pain au Chocolat(1,15€)</t>
  </si>
  <si>
    <t>Documents Clients\Factures\Facture-20160905-001-La Table Monceau.pdf</t>
  </si>
  <si>
    <t>20160905-002</t>
  </si>
  <si>
    <t>82*Tradition(1,15€)+130*Mini Viennoiserie(0,55€)+102*Croissant(1,05€)+7*Pain au Chocolat(1,15€)+7*Pain aux Raisins(1,45€)</t>
  </si>
  <si>
    <t>Documents Clients\Factures\Facture-20160905-002-Hotel DUETTE.pdf</t>
  </si>
  <si>
    <t>20160908-001</t>
  </si>
  <si>
    <t>49*Tradition(1,15€)+2*Pain de Campagne(5,00€)+26*Croissant(1,05€)</t>
  </si>
  <si>
    <t>Documents Clients\Factures\Facture-20160908-001-Le Signal.pdf</t>
  </si>
  <si>
    <t>20160908-002</t>
  </si>
  <si>
    <t>44*Baguette(0,95€)+111*Croissant(1,05€)+84*Pain au Chocolat(1,15€)</t>
  </si>
  <si>
    <t>Documents Clients\Factures\Facture-20160908-002-Les Trois Garcons.pdf</t>
  </si>
  <si>
    <t>20160908-003</t>
  </si>
  <si>
    <t>172*Baguette(0,95€)+22*Pain Burger(1,20€)+142*Croissant(1,05€)+2*Pain au Chocolat(1,15€)</t>
  </si>
  <si>
    <t>Documents Clients\Factures\Facture-20160908-003-Le Bitrot 15.pdf</t>
  </si>
  <si>
    <t>20160908-004</t>
  </si>
  <si>
    <t>8*Pave Tradition(2,60€)+19*Pain Nordique(3,00€)</t>
  </si>
  <si>
    <t>Documents Clients\Factures\Facture-20160908-004-Huîtrerie.pdf</t>
  </si>
  <si>
    <t>75687</t>
  </si>
  <si>
    <t>3360905879</t>
  </si>
  <si>
    <t>3360917423</t>
  </si>
  <si>
    <t>20167486</t>
  </si>
  <si>
    <t>20167318</t>
  </si>
  <si>
    <t>75704</t>
  </si>
  <si>
    <t>627924</t>
  </si>
  <si>
    <t>LEBHAR</t>
  </si>
  <si>
    <t>20167493</t>
  </si>
  <si>
    <t>20167481</t>
  </si>
  <si>
    <t>75361</t>
  </si>
  <si>
    <t>109256706</t>
  </si>
  <si>
    <t>3360916085</t>
  </si>
  <si>
    <t>3360916519</t>
  </si>
  <si>
    <t>20167456</t>
  </si>
  <si>
    <t>108749001</t>
  </si>
  <si>
    <t>108749000</t>
  </si>
  <si>
    <t>74718</t>
  </si>
  <si>
    <t>74945</t>
  </si>
  <si>
    <t>3360907719</t>
  </si>
  <si>
    <t>74789</t>
  </si>
  <si>
    <t>3360907683</t>
  </si>
  <si>
    <t>3360909727</t>
  </si>
  <si>
    <t>74610</t>
  </si>
  <si>
    <t>20167142</t>
  </si>
  <si>
    <t>1173270</t>
  </si>
  <si>
    <t>20166865</t>
  </si>
  <si>
    <t>16028125</t>
  </si>
  <si>
    <t>20166810</t>
  </si>
  <si>
    <t>1174034</t>
  </si>
  <si>
    <t>20166981</t>
  </si>
  <si>
    <t>20166831</t>
  </si>
  <si>
    <t>20166886</t>
  </si>
  <si>
    <t>1172939</t>
  </si>
  <si>
    <t>20166735</t>
  </si>
  <si>
    <t>20166722</t>
  </si>
  <si>
    <t>1172938</t>
  </si>
  <si>
    <t>172937</t>
  </si>
  <si>
    <t>74351</t>
  </si>
  <si>
    <t>20166601</t>
  </si>
  <si>
    <t>74107</t>
  </si>
  <si>
    <t>1172763</t>
  </si>
  <si>
    <t>1172762</t>
  </si>
  <si>
    <t>74229</t>
  </si>
  <si>
    <t>20166456</t>
  </si>
  <si>
    <t>20166449</t>
  </si>
  <si>
    <t>1170968</t>
  </si>
  <si>
    <t>2016650</t>
  </si>
  <si>
    <t>20166975</t>
  </si>
  <si>
    <t>20166922</t>
  </si>
  <si>
    <t>14032538</t>
  </si>
  <si>
    <t>20167083</t>
  </si>
  <si>
    <t>20166856</t>
  </si>
  <si>
    <t>108749375</t>
  </si>
  <si>
    <t>CON</t>
  </si>
  <si>
    <t>20166730</t>
  </si>
  <si>
    <t>20167219</t>
  </si>
  <si>
    <t>20167058</t>
  </si>
  <si>
    <t>20167008</t>
  </si>
  <si>
    <t>20167256</t>
  </si>
  <si>
    <t>14032810</t>
  </si>
  <si>
    <t>20167259</t>
  </si>
  <si>
    <t>3360911018</t>
  </si>
  <si>
    <t>20167285</t>
  </si>
  <si>
    <t>20167342</t>
  </si>
  <si>
    <t>20167330</t>
  </si>
  <si>
    <t>160030416</t>
  </si>
  <si>
    <t>FEDIPAT</t>
  </si>
  <si>
    <t>3360912618</t>
  </si>
  <si>
    <t>CHEQUE 0333906 03/10/16</t>
  </si>
  <si>
    <t>107948647</t>
  </si>
  <si>
    <t>162505</t>
  </si>
  <si>
    <t>CASADOR</t>
  </si>
  <si>
    <t>3360917488</t>
  </si>
  <si>
    <t>20161004-001</t>
  </si>
  <si>
    <t>636*Baguette(0,95€)+89*Pain au Chocolat(1,15€)+118*Croissant(1,05€)+30*Pain de Campagne(1,15€)</t>
  </si>
  <si>
    <t>Documents Clients\Factures\Facture-20161004-001-L'Auberge Rouge.pdf</t>
  </si>
  <si>
    <t>20161004-002</t>
  </si>
  <si>
    <t>434*Tradition(1,15€)</t>
  </si>
  <si>
    <t>Documents Clients\Factures\Facture-20161004-002-Brigitte.pdf</t>
  </si>
  <si>
    <t>20161004-003</t>
  </si>
  <si>
    <t>224*Tradition(1,15€)</t>
  </si>
  <si>
    <t>Documents Clients\Factures\Facture-20161004-003-Tourbillon.pdf</t>
  </si>
  <si>
    <t>20161004-004</t>
  </si>
  <si>
    <t>159*Tradition(1,15€)+1*Pain Campagne(6,40€)+240*Choux(0,25€)</t>
  </si>
  <si>
    <t>Documents Clients\Factures\Facture-20161004-004-Il Paradiso.pdf</t>
  </si>
  <si>
    <t>20161004-005</t>
  </si>
  <si>
    <t>418*Double Tradition(2,30€)</t>
  </si>
  <si>
    <t>Documents Clients\Factures\Facture-20161004-005-La Bouteille sur la Table.pdf</t>
  </si>
  <si>
    <t>20161004-006</t>
  </si>
  <si>
    <t>140*Tradition(1,15€)</t>
  </si>
  <si>
    <t>Documents Clients\Factures\Facture-20161004-006-Imprévu.pdf</t>
  </si>
  <si>
    <t>20161004-007</t>
  </si>
  <si>
    <t>39*Tradition(1,15€)+17*Tradition aux Graines(1,35€)</t>
  </si>
  <si>
    <t>Documents Clients\Factures\Facture-20161004-007-Autour du Saumon.pdf</t>
  </si>
  <si>
    <t>20161004-008</t>
  </si>
  <si>
    <t>107*Tradition(1,15€)</t>
  </si>
  <si>
    <t>Documents Clients\Factures\Facture-20161004-008-Mad et Mariette.pdf</t>
  </si>
  <si>
    <t>20161004-009</t>
  </si>
  <si>
    <t>194*Tradition(1,15€)+2*Pain de Mie(2,30€)</t>
  </si>
  <si>
    <t>Documents Clients\Factures\Facture-20161004-009-Bistrot de Louise.pdf</t>
  </si>
  <si>
    <t>20161004-010</t>
  </si>
  <si>
    <t>FRATELLI</t>
  </si>
  <si>
    <t>01 47 66 56 53</t>
  </si>
  <si>
    <t>130 BOULEVARD MALESHERBES</t>
  </si>
  <si>
    <t>1092*Tradition(1,15€)+3*Pain de Mie(4,60€)+100*Levure(0,10€)</t>
  </si>
  <si>
    <t>Documents Clients\Factures\Facture-20161004-010-FRATELLI.pdf</t>
  </si>
  <si>
    <t>20161004-011</t>
  </si>
  <si>
    <t>320*Tradition(1,15€)+106*Demi-Tradition(0,60€)+4*Pain de Mie(2,30€)+128*Pain Burger(1,20€)+99*Croissant(1,05€)+55*Pain au Chocolat(1,15€)</t>
  </si>
  <si>
    <t>Documents Clients\Factures\Facture-20161004-011-La Table Monceau.pdf</t>
  </si>
  <si>
    <t>CHEQUE 0349871 04/10/16</t>
  </si>
  <si>
    <t>20161004-012</t>
  </si>
  <si>
    <t>17*VISITE DU BOULANGER(5,00€)</t>
  </si>
  <si>
    <t>Documents Clients\Factures\Facture-20161004-012-MEETING THE FRENCH.pdf</t>
  </si>
  <si>
    <t>20161004-013</t>
  </si>
  <si>
    <t>345*Baguette(0,95€)+88*Pain Burger(1,20€)+265*Croissant(1,05€)+68*Pain au Chocolat(1,15€)</t>
  </si>
  <si>
    <t>Documents Clients\Factures\Facture-20161004-013-Le Bitrot 15.pdf</t>
  </si>
  <si>
    <t>20161004-014</t>
  </si>
  <si>
    <t>133*Tradition(1,15€)+8*Pain de Campagne(5,00€)+56*Croissant(1,05€)</t>
  </si>
  <si>
    <t>Documents Clients\Factures\Facture-20161004-014-Le Signal.pdf</t>
  </si>
  <si>
    <t>20161004-015</t>
  </si>
  <si>
    <t>58*Baguette(0,95€)+149*Croissant(1,05€)+96*Pain au Chocolat(1,15€)</t>
  </si>
  <si>
    <t>Documents Clients\Factures\Facture-20161004-015-Les Trois Garcons.pdf</t>
  </si>
  <si>
    <t>20161004-016</t>
  </si>
  <si>
    <t>34*Pave Tradition(2,60€)+70*Pain Nordique(3,00€)</t>
  </si>
  <si>
    <t>Documents Clients\Factures\Facture-20161004-016-Huîtrerie.pdf</t>
  </si>
  <si>
    <t>20161004-017</t>
  </si>
  <si>
    <t>1092*Tradition(0,74€)+3*Pain de Mie(2,30€)+100*Levure(0,10€)</t>
  </si>
  <si>
    <t>Documents Clients\Factures\Facture-20161004-017-FRATELLI.pdf</t>
  </si>
  <si>
    <t>20161006-001</t>
  </si>
  <si>
    <t>75252</t>
  </si>
  <si>
    <t>3360912517</t>
  </si>
  <si>
    <t>3360914507</t>
  </si>
  <si>
    <t>3360915005</t>
  </si>
  <si>
    <t>14032818</t>
  </si>
  <si>
    <t>20167453</t>
  </si>
  <si>
    <t>76143</t>
  </si>
  <si>
    <t>76239</t>
  </si>
  <si>
    <t>3360921093</t>
  </si>
  <si>
    <t>109476020</t>
  </si>
  <si>
    <t>3361000088</t>
  </si>
  <si>
    <t>14033004</t>
  </si>
  <si>
    <t>3361000965</t>
  </si>
  <si>
    <t>3361000966</t>
  </si>
  <si>
    <t>20167596</t>
  </si>
  <si>
    <t>964</t>
  </si>
  <si>
    <t>3361002992</t>
  </si>
  <si>
    <t>3361002514</t>
  </si>
  <si>
    <t>3361003141</t>
  </si>
  <si>
    <t>201676668</t>
  </si>
  <si>
    <t>20167741</t>
  </si>
  <si>
    <t>20167769</t>
  </si>
  <si>
    <t>Années</t>
  </si>
  <si>
    <t>2015</t>
  </si>
  <si>
    <t>2016</t>
  </si>
  <si>
    <t>Total 2015</t>
  </si>
  <si>
    <t>Total 2016</t>
  </si>
  <si>
    <t>20167971</t>
  </si>
  <si>
    <t>20167952</t>
  </si>
  <si>
    <t>20167933</t>
  </si>
  <si>
    <t>3361006078</t>
  </si>
  <si>
    <t>3361005560</t>
  </si>
  <si>
    <t>3361005775</t>
  </si>
  <si>
    <t>76371</t>
  </si>
  <si>
    <t>3360919241</t>
  </si>
  <si>
    <t>3361001884</t>
  </si>
  <si>
    <t>14033178</t>
  </si>
  <si>
    <t>20167862</t>
  </si>
  <si>
    <t>20167807</t>
  </si>
  <si>
    <t>160031896</t>
  </si>
  <si>
    <t>14033232</t>
  </si>
  <si>
    <t>109985934</t>
  </si>
  <si>
    <t>631798</t>
  </si>
  <si>
    <t>626976</t>
  </si>
  <si>
    <t>626824</t>
  </si>
  <si>
    <t>622231</t>
  </si>
  <si>
    <t>625015</t>
  </si>
  <si>
    <t>629971</t>
  </si>
  <si>
    <t>629970</t>
  </si>
  <si>
    <t>634691</t>
  </si>
  <si>
    <t>cheque 0349879 17/10/16</t>
  </si>
  <si>
    <t>107*Tradition(1,15€)+8*Ficelle Apero(2,00€)+7*Meule(2,00€)+3*Gache Pavot, Sesame(1,35€)+10*Divers(2,00€)</t>
  </si>
  <si>
    <t>Documents Clients\Factures\Facture-20161006-001-Mad et Mariette.pdf</t>
  </si>
  <si>
    <t>20161020-001</t>
  </si>
  <si>
    <t>Documents Clients\Factures\Facture-20161020-001-Mad et Mariette.pdf</t>
  </si>
  <si>
    <t>107*Tradition(1,15€)+8*Ficelle Apero(2,00€)+7*Meule(2,00€)+3*Gache Pavot, Sesame(1,35€)</t>
  </si>
  <si>
    <t>77289</t>
  </si>
  <si>
    <t>3361011075</t>
  </si>
  <si>
    <t>3361010946</t>
  </si>
  <si>
    <t>3361010769</t>
  </si>
  <si>
    <t>20168135</t>
  </si>
  <si>
    <t>20168134</t>
  </si>
  <si>
    <t>77167</t>
  </si>
  <si>
    <t>160033613</t>
  </si>
  <si>
    <t>20168171</t>
  </si>
  <si>
    <t>20168118</t>
  </si>
  <si>
    <t>20168098</t>
  </si>
  <si>
    <t>76794</t>
  </si>
  <si>
    <t>20168046</t>
  </si>
  <si>
    <t>20167963</t>
  </si>
  <si>
    <t>20167863</t>
  </si>
  <si>
    <t>20167792</t>
  </si>
  <si>
    <t>20167627</t>
  </si>
  <si>
    <t>20167555</t>
  </si>
  <si>
    <t>3361008197</t>
  </si>
  <si>
    <t>3361009311</t>
  </si>
  <si>
    <t>3361009312</t>
  </si>
  <si>
    <t>76884</t>
  </si>
  <si>
    <t>14033411</t>
  </si>
  <si>
    <t>160034508</t>
  </si>
  <si>
    <t>27/10/16 CHEQUE 0333916 574,02</t>
  </si>
  <si>
    <t>3361013107</t>
  </si>
  <si>
    <t>110294195</t>
  </si>
  <si>
    <t>20168248</t>
  </si>
  <si>
    <t>77539</t>
  </si>
  <si>
    <t>20168275</t>
  </si>
  <si>
    <t>20161103-001</t>
  </si>
  <si>
    <t>525*Tradition(1,15€)+298*Croissant(1,05€)</t>
  </si>
  <si>
    <t>Documents Clients\Factures\Facture-20161103-001-Le Café des Dames.pdf</t>
  </si>
  <si>
    <t>20161103-002</t>
  </si>
  <si>
    <t>633*Baguette(0,95€)+100*Pain au Chocolat(1,15€)+131*Croissant(1,05€)+7*MEULE(5,00€)</t>
  </si>
  <si>
    <t>Documents Clients\Factures\Facture-20161103-002-L'Auberge Rouge.pdf</t>
  </si>
  <si>
    <t>20161103-003</t>
  </si>
  <si>
    <t>395*Tradition(1,15€)</t>
  </si>
  <si>
    <t>Documents Clients\Factures\Facture-20161103-003-Brigitte.pdf</t>
  </si>
  <si>
    <t>20161103-004</t>
  </si>
  <si>
    <t>191*Tradition(1,15€)</t>
  </si>
  <si>
    <t>Documents Clients\Factures\Facture-20161103-004-Tourbillon.pdf</t>
  </si>
  <si>
    <t>20161103-005</t>
  </si>
  <si>
    <t>388*Double Tradition(2,30€)+16*Tradition(1,15€)</t>
  </si>
  <si>
    <t>Documents Clients\Factures\Facture-20161103-005-La Bouteille sur la Table.pdf</t>
  </si>
  <si>
    <t>20161103-006</t>
  </si>
  <si>
    <t>Documents Clients\Factures\Facture-20161103-006-Imprévu.pdf</t>
  </si>
  <si>
    <t>20161103-007</t>
  </si>
  <si>
    <t>33*Tradition(1,15€)+17*Tradition aux Graines(1,35€)</t>
  </si>
  <si>
    <t>Documents Clients\Factures\Facture-20161103-007-Autour du Saumon.pdf</t>
  </si>
  <si>
    <t>20161103-008</t>
  </si>
  <si>
    <t>201*Tradition(1,15€)+3*Brioche(5,00€)</t>
  </si>
  <si>
    <t>Documents Clients\Factures\Facture-20161103-008-Bistrot de Louise.pdf</t>
  </si>
  <si>
    <t>20161103-009</t>
  </si>
  <si>
    <t>138*Tradition(1,15€)+1*Pain Campagne(3,20€)+240*Choux(0,25€)+1*Bucheron(8,25€)+300*Levure(0,01€)</t>
  </si>
  <si>
    <t>Documents Clients\Factures\Facture-20161103-009-Il Paradiso.pdf</t>
  </si>
  <si>
    <t>20161103-010</t>
  </si>
  <si>
    <t>Documents Clients\Factures\Facture-20161103-010-FRATELLI.pdf</t>
  </si>
  <si>
    <t>1101*Tradition(0,75€)+1*Pain de Mie(5,00€)+100*Levure(0,10€)</t>
  </si>
  <si>
    <t>20161103-011</t>
  </si>
  <si>
    <t>LA MAISON</t>
  </si>
  <si>
    <t>428*Tradition(1,15€)</t>
  </si>
  <si>
    <t>Documents Clients\Factures\Facture-20161103-011-LA MAISON.pdf</t>
  </si>
  <si>
    <t>20161103-012</t>
  </si>
  <si>
    <t>303*Tradition(1,15€)+110*Demi-Tradition(0,60€)+4*Pain de Mie(2,30€)+143*Pain Burger(1,20€)+109*Croissant(1,05€)+99*Pain au Chocolat(1,15€)</t>
  </si>
  <si>
    <t>Documents Clients\Factures\Facture-20161103-012-La Table Monceau.pdf</t>
  </si>
  <si>
    <t>20161103-013</t>
  </si>
  <si>
    <t>231*Baguette(0,95€)+110*Pain Burger(1,20€)+194*Croissant(1,05€)+67*Pain au Chocolat(1,15€)+1*Brioche(5,00€)+2*Divers(2,70€)</t>
  </si>
  <si>
    <t>Documents Clients\Factures\Facture-20161103-013-Le Bitrot 15.pdf</t>
  </si>
  <si>
    <t>20161103-014</t>
  </si>
  <si>
    <t>36*Pave Tradition(2,60€)+82*Pain Nordique(3,00€)+15*Paine Seigle(2,60€)</t>
  </si>
  <si>
    <t>Documents Clients\Factures\Facture-20161103-014-Huîtrerie.pdf</t>
  </si>
  <si>
    <t>20161103-015</t>
  </si>
  <si>
    <t>113*Tradition(1,15€)+2*Pain de Campagne(5,00€)+46*Croissant(1,05€)</t>
  </si>
  <si>
    <t>Documents Clients\Factures\Facture-20161103-015-Le Signal.pdf</t>
  </si>
  <si>
    <t>20161103-016</t>
  </si>
  <si>
    <t>20168351</t>
  </si>
  <si>
    <t>20168402</t>
  </si>
  <si>
    <t>20168440</t>
  </si>
  <si>
    <t>20168426</t>
  </si>
  <si>
    <t>20168511</t>
  </si>
  <si>
    <t>3361019825</t>
  </si>
  <si>
    <t>3361014801</t>
  </si>
  <si>
    <t>3361015164</t>
  </si>
  <si>
    <t>3361016804</t>
  </si>
  <si>
    <t>77736</t>
  </si>
  <si>
    <t>77818</t>
  </si>
  <si>
    <t>cheque 0349802 07/11/16</t>
  </si>
  <si>
    <t>20168555</t>
  </si>
  <si>
    <t>20168616</t>
  </si>
  <si>
    <t>78047</t>
  </si>
  <si>
    <t>78508</t>
  </si>
  <si>
    <t>20168669</t>
  </si>
  <si>
    <t>20168762</t>
  </si>
  <si>
    <t>20168732</t>
  </si>
  <si>
    <t>78697</t>
  </si>
  <si>
    <t>78249</t>
  </si>
  <si>
    <t>3361018806</t>
  </si>
  <si>
    <t>3361104488</t>
  </si>
  <si>
    <t>3361104489</t>
  </si>
  <si>
    <t>3361102418</t>
  </si>
  <si>
    <t>3361100205</t>
  </si>
  <si>
    <t>160036051</t>
  </si>
  <si>
    <t>3080</t>
  </si>
  <si>
    <t>CHEQUE 0395205 25/11/2016</t>
  </si>
  <si>
    <t>CHEQUE 0395205 25/12/2016</t>
  </si>
  <si>
    <t>Du 01/11/2016 au 3O/11/2016</t>
  </si>
  <si>
    <t>463*Tradition(1,15€)</t>
  </si>
  <si>
    <t>Documents Clients\Factures\Facture-20161103-016-Brigitte.pdf</t>
  </si>
  <si>
    <t>20161202-001</t>
  </si>
  <si>
    <t>202*Tradition(1,15€)</t>
  </si>
  <si>
    <t>Documents Clients\Factures\Facture-20161202-001-Tourbillon.pdf</t>
  </si>
  <si>
    <t>20161202-002</t>
  </si>
  <si>
    <t>327*Double Tradition(2,30€)</t>
  </si>
  <si>
    <t>Documents Clients\Factures\Facture-20161202-002-La Bouteille sur la Table.pdf</t>
  </si>
  <si>
    <t>20161202-003</t>
  </si>
  <si>
    <t>169*Tradition(1,15€)+1*Pain Campagne(3,20€)+165*Choux(0,25€)</t>
  </si>
  <si>
    <t>Documents Clients\Factures\Facture-20161202-003-Il Paradiso.pdf</t>
  </si>
  <si>
    <t>20161202-004</t>
  </si>
  <si>
    <t>120*Tradition(1,15€)</t>
  </si>
  <si>
    <t>Documents Clients\Factures\Facture-20161202-004-Imprévu.pdf</t>
  </si>
  <si>
    <t>20161202-005</t>
  </si>
  <si>
    <t>30*Tradition(1,15€)+17*Tradition aux Graines(1,35€)</t>
  </si>
  <si>
    <t>Documents Clients\Factures\Facture-20161202-005-Autour du Saumon.pdf</t>
  </si>
  <si>
    <t>20161202-006</t>
  </si>
  <si>
    <t>340*Tradition(1,15€)</t>
  </si>
  <si>
    <t>Documents Clients\Factures\Facture-20161202-006-LA MAISON.pdf</t>
  </si>
  <si>
    <t>20161202-007</t>
  </si>
  <si>
    <t>309*Tradition(1,15€)+138*Pain Burger(1,20€)+176*Croissant(1,05€)+64*Pain au Chocolat(1,15€)+5*Brioche Parisienne(4,00€)</t>
  </si>
  <si>
    <t>Documents Clients\Factures\Facture-20161202-007-Le Café des Dames.pdf</t>
  </si>
  <si>
    <t>20161202-008</t>
  </si>
  <si>
    <t>538*Baguette(0,95€)+81*Pain au Chocolat(1,15€)+122*Croissant(1,05€)+2*MEULE(5,00€)</t>
  </si>
  <si>
    <t>Documents Clients\Factures\Facture-20161202-008-L'Auberge Rouge.pdf</t>
  </si>
  <si>
    <t>20161202-009</t>
  </si>
  <si>
    <t>814*Tradition(1,15€)+2*Pain de Mie(2,30€)+1000*Levure(0,01€)</t>
  </si>
  <si>
    <t>Documents Clients\Factures\Facture-20161202-009-FRATELLI.pdf</t>
  </si>
  <si>
    <t>20161212-001</t>
  </si>
  <si>
    <t>275*Tradition(1,15€)+108*Demi-Tradition(0,60€)+3*Pain de Mie(2,30€)+152*Pain Burger(1,20€)+95*Croissant(1,05€)+67*Pain au Chocolat(1,15€)</t>
  </si>
  <si>
    <t>Documents Clients\Factures\Facture-20161212-001-La Table Monceau.pdf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</si>
</sst>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#,##0.00\ &quot;€&quot;;[Red]\-#,##0.00\ &quot;€&quot;"/>
    <numFmt numFmtId="164" formatCode="_-&quot;£&quot;* #,##0.00_-;\-&quot;£&quot;* #,##0.00_-;_-&quot;£&quot;* &quot;-&quot;??_-;_-@_-"/>
    <numFmt numFmtId="165" formatCode="_-* #,##0.00\ [$€-40C]_-;\-* #,##0.00\ [$€-40C]_-;_-* &quot;-&quot;??\ [$€-40C]_-;_-@_-"/>
    <numFmt numFmtId="166" formatCode="d/m;@"/>
    <numFmt numFmtId="167" formatCode="#,##0.00\ &quot;€&quot;"/>
    <numFmt numFmtId="168" formatCode="dddd"/>
  </numFmts>
  <fonts count="6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sz val="11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4"/>
      <color indexed="8"/>
      <name val="Calibri"/>
      <family val="2"/>
    </font>
    <font>
      <sz val="14"/>
      <color indexed="8"/>
      <name val="Calibri"/>
      <family val="2"/>
    </font>
    <font>
      <sz val="11"/>
      <color indexed="13"/>
      <name val="Calibri"/>
      <family val="2"/>
    </font>
    <font>
      <sz val="14"/>
      <color indexed="13"/>
      <name val="Calibri"/>
      <family val="2"/>
    </font>
    <font>
      <sz val="12"/>
      <color indexed="63"/>
      <name val="Calibri"/>
      <family val="2"/>
    </font>
    <font>
      <b/>
      <sz val="14"/>
      <color indexed="63"/>
      <name val="Calibri"/>
      <family val="2"/>
    </font>
    <font>
      <sz val="14"/>
      <color indexed="63"/>
      <name val="Calibri"/>
      <family val="2"/>
    </font>
    <font>
      <b/>
      <sz val="12"/>
      <color indexed="63"/>
      <name val="Calibri"/>
      <family val="2"/>
    </font>
    <font>
      <b/>
      <sz val="26"/>
      <color indexed="63"/>
      <name val="Calibri"/>
      <family val="2"/>
    </font>
    <font>
      <b/>
      <sz val="20"/>
      <color indexed="63"/>
      <name val="Calibri"/>
      <family val="2"/>
    </font>
    <font>
      <b/>
      <sz val="14"/>
      <name val="Calibri"/>
      <family val="2"/>
    </font>
    <font>
      <sz val="8"/>
      <name val="Verdana"/>
      <family val="2"/>
    </font>
    <font>
      <sz val="8"/>
      <color indexed="8"/>
      <name val="Calibri"/>
      <family val="2"/>
    </font>
    <font>
      <sz val="9"/>
      <color indexed="8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16"/>
      <color indexed="63"/>
      <name val="Calibri"/>
      <family val="2"/>
    </font>
    <font>
      <sz val="16"/>
      <color indexed="63"/>
      <name val="Calibri"/>
      <family val="2"/>
    </font>
    <font>
      <sz val="16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indexed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6"/>
      <color theme="0"/>
      <name val="Calibri"/>
      <family val="2"/>
    </font>
    <font>
      <sz val="12"/>
      <color theme="0" tint="-0.249977111117893"/>
      <name val="Calibri"/>
      <family val="2"/>
    </font>
    <font>
      <b/>
      <sz val="12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</font>
    <font>
      <sz val="11"/>
      <color theme="0" tint="-0.34998626667073579"/>
      <name val="Calibri"/>
      <family val="2"/>
    </font>
    <font>
      <sz val="1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name val="Calibri"/>
      <family val="2"/>
    </font>
    <font>
      <sz val="11"/>
      <color rgb="FF422100"/>
      <name val="Calibri"/>
      <family val="2"/>
    </font>
    <font>
      <sz val="14"/>
      <color rgb="FF422100"/>
      <name val="Calibri"/>
      <family val="2"/>
    </font>
    <font>
      <b/>
      <sz val="22"/>
      <color rgb="FF422100"/>
      <name val="SnellRoundhand Script"/>
      <family val="2"/>
    </font>
    <font>
      <b/>
      <sz val="24"/>
      <color rgb="FF422100"/>
      <name val="SnellRoundhand Script"/>
      <family val="2"/>
    </font>
    <font>
      <b/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1FB714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FFF4CC"/>
        <bgColor indexed="64"/>
      </patternFill>
    </fill>
  </fills>
  <borders count="63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3"/>
      </right>
      <top/>
      <bottom/>
      <diagonal/>
    </border>
    <border>
      <left style="thin">
        <color indexed="63"/>
      </left>
      <right style="thin">
        <color indexed="63"/>
      </right>
      <top/>
      <bottom/>
      <diagonal/>
    </border>
    <border>
      <left style="thin">
        <color indexed="64"/>
      </left>
      <right style="thin">
        <color indexed="63"/>
      </right>
      <top/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/>
      <top/>
      <bottom/>
      <diagonal/>
    </border>
    <border>
      <left style="thin">
        <color indexed="63"/>
      </left>
      <right/>
      <top/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/>
      <right style="thin">
        <color indexed="63"/>
      </right>
      <top/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3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/>
      <top style="thin">
        <color indexed="64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3"/>
      </bottom>
      <diagonal/>
    </border>
    <border>
      <left/>
      <right style="thin">
        <color indexed="63"/>
      </right>
      <top style="thin">
        <color indexed="64"/>
      </top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4">
    <xf numFmtId="0" fontId="0" fillId="0" borderId="0"/>
    <xf numFmtId="0" fontId="32" fillId="0" borderId="0" applyNumberForma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686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165" fontId="30" fillId="0" borderId="0" xfId="2" applyNumberFormat="1" applyFont="1"/>
    <xf numFmtId="0" fontId="0" fillId="3" borderId="0" xfId="0" applyFill="1"/>
    <xf numFmtId="0" fontId="0" fillId="0" borderId="0" xfId="0" applyAlignment="1">
      <alignment horizontal="right"/>
    </xf>
    <xf numFmtId="0" fontId="0" fillId="0" borderId="0" xfId="0" applyFont="1"/>
    <xf numFmtId="0" fontId="0" fillId="0" borderId="0" xfId="0" applyFont="1" applyBorder="1"/>
    <xf numFmtId="165" fontId="30" fillId="0" borderId="0" xfId="2" applyNumberFormat="1" applyFont="1" applyBorder="1"/>
    <xf numFmtId="165" fontId="0" fillId="0" borderId="0" xfId="0" applyNumberFormat="1"/>
    <xf numFmtId="165" fontId="30" fillId="0" borderId="0" xfId="3" applyNumberFormat="1" applyFont="1"/>
    <xf numFmtId="0" fontId="2" fillId="0" borderId="0" xfId="0" applyFont="1"/>
    <xf numFmtId="0" fontId="0" fillId="0" borderId="0" xfId="0" pivotButton="1"/>
    <xf numFmtId="0" fontId="8" fillId="0" borderId="0" xfId="0" applyFont="1"/>
    <xf numFmtId="165" fontId="30" fillId="0" borderId="0" xfId="2" applyNumberFormat="1" applyFont="1" applyFill="1"/>
    <xf numFmtId="165" fontId="8" fillId="0" borderId="0" xfId="2" applyNumberFormat="1" applyFont="1" applyFill="1"/>
    <xf numFmtId="0" fontId="32" fillId="0" borderId="0" xfId="1"/>
    <xf numFmtId="0" fontId="0" fillId="0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6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8" borderId="0" xfId="0" applyFill="1"/>
    <xf numFmtId="0" fontId="0" fillId="8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9" borderId="0" xfId="0" applyFill="1"/>
    <xf numFmtId="0" fontId="0" fillId="9" borderId="0" xfId="0" applyFill="1" applyAlignment="1">
      <alignment horizontal="right"/>
    </xf>
    <xf numFmtId="0" fontId="2" fillId="0" borderId="0" xfId="0" applyFont="1" applyFill="1"/>
    <xf numFmtId="0" fontId="10" fillId="0" borderId="0" xfId="0" applyFont="1"/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3" fillId="0" borderId="0" xfId="0" applyFont="1" applyFill="1"/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/>
    </xf>
    <xf numFmtId="0" fontId="0" fillId="0" borderId="3" xfId="0" applyFill="1" applyBorder="1"/>
    <xf numFmtId="0" fontId="13" fillId="0" borderId="4" xfId="0" applyFont="1" applyFill="1" applyBorder="1"/>
    <xf numFmtId="0" fontId="13" fillId="0" borderId="5" xfId="0" applyFont="1" applyFill="1" applyBorder="1"/>
    <xf numFmtId="0" fontId="13" fillId="0" borderId="6" xfId="0" applyFont="1" applyFill="1" applyBorder="1"/>
    <xf numFmtId="0" fontId="0" fillId="10" borderId="5" xfId="0" applyFont="1" applyFill="1" applyBorder="1"/>
    <xf numFmtId="0" fontId="11" fillId="10" borderId="0" xfId="0" applyFont="1" applyFill="1" applyBorder="1" applyAlignment="1">
      <alignment horizontal="center" vertical="center" wrapText="1"/>
    </xf>
    <xf numFmtId="0" fontId="10" fillId="10" borderId="0" xfId="0" applyNumberFormat="1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5" fillId="10" borderId="0" xfId="0" applyFont="1" applyFill="1"/>
    <xf numFmtId="165" fontId="15" fillId="10" borderId="0" xfId="2" applyNumberFormat="1" applyFont="1" applyFill="1"/>
    <xf numFmtId="0" fontId="17" fillId="10" borderId="0" xfId="0" applyFont="1" applyFill="1"/>
    <xf numFmtId="165" fontId="17" fillId="10" borderId="0" xfId="2" applyNumberFormat="1" applyFont="1" applyFill="1"/>
    <xf numFmtId="165" fontId="17" fillId="10" borderId="0" xfId="2" applyNumberFormat="1" applyFont="1" applyFill="1" applyBorder="1"/>
    <xf numFmtId="0" fontId="2" fillId="0" borderId="10" xfId="0" applyFont="1" applyBorder="1"/>
    <xf numFmtId="0" fontId="0" fillId="0" borderId="10" xfId="0" applyBorder="1"/>
    <xf numFmtId="0" fontId="6" fillId="0" borderId="0" xfId="0" applyFont="1"/>
    <xf numFmtId="165" fontId="6" fillId="0" borderId="0" xfId="2" applyNumberFormat="1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0" fillId="11" borderId="0" xfId="0" applyFill="1"/>
    <xf numFmtId="0" fontId="0" fillId="11" borderId="0" xfId="0" applyFill="1" applyAlignment="1">
      <alignment horizontal="right"/>
    </xf>
    <xf numFmtId="0" fontId="6" fillId="11" borderId="0" xfId="0" applyFont="1" applyFill="1"/>
    <xf numFmtId="0" fontId="6" fillId="11" borderId="0" xfId="0" applyFont="1" applyFill="1" applyAlignment="1">
      <alignment horizontal="right"/>
    </xf>
    <xf numFmtId="0" fontId="0" fillId="12" borderId="0" xfId="0" applyFill="1"/>
    <xf numFmtId="167" fontId="0" fillId="0" borderId="0" xfId="0" applyNumberFormat="1"/>
    <xf numFmtId="167" fontId="0" fillId="0" borderId="0" xfId="0" applyNumberFormat="1" applyFill="1"/>
    <xf numFmtId="167" fontId="0" fillId="0" borderId="0" xfId="0" pivotButton="1" applyNumberFormat="1"/>
    <xf numFmtId="0" fontId="0" fillId="12" borderId="0" xfId="0" applyFill="1" applyAlignment="1">
      <alignment horizontal="right"/>
    </xf>
    <xf numFmtId="0" fontId="0" fillId="13" borderId="0" xfId="0" applyFill="1"/>
    <xf numFmtId="0" fontId="0" fillId="13" borderId="0" xfId="0" applyFill="1" applyAlignment="1">
      <alignment horizontal="right"/>
    </xf>
    <xf numFmtId="0" fontId="0" fillId="14" borderId="4" xfId="0" applyFill="1" applyBorder="1"/>
    <xf numFmtId="0" fontId="0" fillId="14" borderId="6" xfId="0" applyFill="1" applyBorder="1"/>
    <xf numFmtId="0" fontId="0" fillId="15" borderId="4" xfId="0" applyFill="1" applyBorder="1"/>
    <xf numFmtId="0" fontId="0" fillId="15" borderId="6" xfId="0" applyFill="1" applyBorder="1"/>
    <xf numFmtId="0" fontId="0" fillId="16" borderId="4" xfId="0" applyFill="1" applyBorder="1"/>
    <xf numFmtId="0" fontId="0" fillId="16" borderId="6" xfId="0" applyFill="1" applyBorder="1"/>
    <xf numFmtId="0" fontId="0" fillId="17" borderId="4" xfId="0" applyFill="1" applyBorder="1"/>
    <xf numFmtId="0" fontId="0" fillId="17" borderId="6" xfId="0" applyFill="1" applyBorder="1"/>
    <xf numFmtId="0" fontId="0" fillId="18" borderId="0" xfId="0" applyFill="1"/>
    <xf numFmtId="0" fontId="0" fillId="18" borderId="0" xfId="0" applyFill="1" applyAlignment="1">
      <alignment horizontal="right"/>
    </xf>
    <xf numFmtId="0" fontId="0" fillId="19" borderId="0" xfId="0" applyFill="1"/>
    <xf numFmtId="0" fontId="6" fillId="19" borderId="0" xfId="0" applyFont="1" applyFill="1"/>
    <xf numFmtId="0" fontId="0" fillId="20" borderId="4" xfId="0" applyFill="1" applyBorder="1"/>
    <xf numFmtId="0" fontId="0" fillId="20" borderId="6" xfId="0" applyFill="1" applyBorder="1"/>
    <xf numFmtId="0" fontId="0" fillId="18" borderId="4" xfId="0" applyFill="1" applyBorder="1"/>
    <xf numFmtId="0" fontId="0" fillId="18" borderId="6" xfId="0" applyFill="1" applyBorder="1"/>
    <xf numFmtId="0" fontId="0" fillId="21" borderId="4" xfId="0" applyFill="1" applyBorder="1"/>
    <xf numFmtId="0" fontId="0" fillId="21" borderId="6" xfId="0" applyFill="1" applyBorder="1"/>
    <xf numFmtId="0" fontId="0" fillId="22" borderId="4" xfId="0" applyFill="1" applyBorder="1"/>
    <xf numFmtId="0" fontId="0" fillId="22" borderId="6" xfId="0" applyFill="1" applyBorder="1"/>
    <xf numFmtId="0" fontId="0" fillId="23" borderId="4" xfId="0" applyFill="1" applyBorder="1"/>
    <xf numFmtId="0" fontId="0" fillId="23" borderId="6" xfId="0" applyFill="1" applyBorder="1"/>
    <xf numFmtId="0" fontId="0" fillId="24" borderId="4" xfId="0" applyFill="1" applyBorder="1"/>
    <xf numFmtId="0" fontId="0" fillId="24" borderId="6" xfId="0" applyFill="1" applyBorder="1"/>
    <xf numFmtId="0" fontId="0" fillId="25" borderId="4" xfId="0" applyFill="1" applyBorder="1"/>
    <xf numFmtId="0" fontId="0" fillId="25" borderId="6" xfId="0" applyFill="1" applyBorder="1"/>
    <xf numFmtId="0" fontId="0" fillId="26" borderId="6" xfId="0" applyFill="1" applyBorder="1"/>
    <xf numFmtId="0" fontId="0" fillId="15" borderId="11" xfId="0" applyFill="1" applyBorder="1"/>
    <xf numFmtId="0" fontId="0" fillId="15" borderId="12" xfId="0" applyFill="1" applyBorder="1"/>
    <xf numFmtId="0" fontId="0" fillId="15" borderId="13" xfId="0" applyFill="1" applyBorder="1"/>
    <xf numFmtId="0" fontId="0" fillId="16" borderId="14" xfId="0" applyFill="1" applyBorder="1"/>
    <xf numFmtId="0" fontId="0" fillId="16" borderId="13" xfId="0" applyFill="1" applyBorder="1"/>
    <xf numFmtId="0" fontId="0" fillId="21" borderId="14" xfId="0" applyFill="1" applyBorder="1"/>
    <xf numFmtId="0" fontId="0" fillId="21" borderId="13" xfId="0" applyFill="1" applyBorder="1"/>
    <xf numFmtId="0" fontId="0" fillId="14" borderId="13" xfId="0" applyFill="1" applyBorder="1"/>
    <xf numFmtId="0" fontId="0" fillId="14" borderId="14" xfId="0" applyFill="1" applyBorder="1"/>
    <xf numFmtId="0" fontId="0" fillId="20" borderId="11" xfId="0" applyFill="1" applyBorder="1"/>
    <xf numFmtId="0" fontId="0" fillId="20" borderId="12" xfId="0" applyFill="1" applyBorder="1"/>
    <xf numFmtId="0" fontId="0" fillId="20" borderId="13" xfId="0" applyFill="1" applyBorder="1"/>
    <xf numFmtId="0" fontId="0" fillId="20" borderId="14" xfId="0" applyFill="1" applyBorder="1"/>
    <xf numFmtId="0" fontId="0" fillId="15" borderId="14" xfId="0" applyFill="1" applyBorder="1"/>
    <xf numFmtId="0" fontId="0" fillId="18" borderId="13" xfId="0" applyFill="1" applyBorder="1"/>
    <xf numFmtId="0" fontId="0" fillId="18" borderId="14" xfId="0" applyFill="1" applyBorder="1"/>
    <xf numFmtId="0" fontId="0" fillId="21" borderId="11" xfId="0" applyFill="1" applyBorder="1"/>
    <xf numFmtId="0" fontId="0" fillId="21" borderId="12" xfId="0" applyFill="1" applyBorder="1"/>
    <xf numFmtId="0" fontId="0" fillId="22" borderId="14" xfId="0" applyFill="1" applyBorder="1"/>
    <xf numFmtId="0" fontId="0" fillId="22" borderId="13" xfId="0" applyFill="1" applyBorder="1"/>
    <xf numFmtId="0" fontId="0" fillId="23" borderId="14" xfId="0" applyFill="1" applyBorder="1"/>
    <xf numFmtId="0" fontId="0" fillId="23" borderId="13" xfId="0" applyFill="1" applyBorder="1"/>
    <xf numFmtId="0" fontId="0" fillId="0" borderId="0" xfId="0" applyFill="1" applyAlignment="1">
      <alignment horizontal="center"/>
    </xf>
    <xf numFmtId="0" fontId="2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2" fillId="27" borderId="0" xfId="0" applyFont="1" applyFill="1"/>
    <xf numFmtId="0" fontId="0" fillId="27" borderId="0" xfId="0" applyFill="1"/>
    <xf numFmtId="0" fontId="0" fillId="27" borderId="0" xfId="0" applyFill="1" applyAlignment="1">
      <alignment textRotation="45"/>
    </xf>
    <xf numFmtId="165" fontId="30" fillId="27" borderId="0" xfId="2" applyNumberFormat="1" applyFont="1" applyFill="1" applyAlignment="1">
      <alignment textRotation="45"/>
    </xf>
    <xf numFmtId="0" fontId="0" fillId="27" borderId="0" xfId="0" applyFill="1" applyAlignment="1">
      <alignment horizontal="right" textRotation="45"/>
    </xf>
    <xf numFmtId="0" fontId="0" fillId="27" borderId="0" xfId="0" applyFill="1" applyAlignment="1">
      <alignment horizontal="center" textRotation="45"/>
    </xf>
    <xf numFmtId="0" fontId="0" fillId="27" borderId="10" xfId="0" applyFill="1" applyBorder="1" applyAlignment="1">
      <alignment textRotation="45"/>
    </xf>
    <xf numFmtId="0" fontId="32" fillId="27" borderId="0" xfId="1" applyFill="1" applyAlignment="1">
      <alignment horizontal="center" vertical="center"/>
    </xf>
    <xf numFmtId="0" fontId="2" fillId="27" borderId="0" xfId="0" applyFont="1" applyFill="1" applyAlignment="1">
      <alignment textRotation="45" wrapText="1"/>
    </xf>
    <xf numFmtId="14" fontId="0" fillId="27" borderId="0" xfId="0" applyNumberFormat="1" applyFill="1"/>
    <xf numFmtId="165" fontId="0" fillId="27" borderId="0" xfId="0" applyNumberFormat="1" applyFill="1"/>
    <xf numFmtId="0" fontId="9" fillId="27" borderId="0" xfId="0" applyFont="1" applyFill="1"/>
    <xf numFmtId="0" fontId="10" fillId="27" borderId="0" xfId="0" applyFont="1" applyFill="1"/>
    <xf numFmtId="166" fontId="9" fillId="27" borderId="0" xfId="0" applyNumberFormat="1" applyFont="1" applyFill="1" applyAlignment="1">
      <alignment horizontal="center"/>
    </xf>
    <xf numFmtId="0" fontId="9" fillId="27" borderId="0" xfId="0" applyFont="1" applyFill="1" applyAlignment="1">
      <alignment horizontal="center"/>
    </xf>
    <xf numFmtId="14" fontId="0" fillId="0" borderId="0" xfId="0" applyNumberFormat="1" applyFill="1" applyBorder="1"/>
    <xf numFmtId="0" fontId="0" fillId="0" borderId="0" xfId="0" applyFill="1" applyBorder="1"/>
    <xf numFmtId="167" fontId="30" fillId="0" borderId="0" xfId="2" applyNumberFormat="1" applyFont="1" applyFill="1" applyBorder="1"/>
    <xf numFmtId="165" fontId="30" fillId="0" borderId="0" xfId="2" applyNumberFormat="1" applyFont="1" applyFill="1" applyBorder="1"/>
    <xf numFmtId="0" fontId="0" fillId="0" borderId="0" xfId="0" applyFont="1"/>
    <xf numFmtId="0" fontId="11" fillId="0" borderId="15" xfId="0" applyFont="1" applyFill="1" applyBorder="1" applyAlignment="1">
      <alignment vertical="center"/>
    </xf>
    <xf numFmtId="0" fontId="12" fillId="0" borderId="16" xfId="0" applyFont="1" applyFill="1" applyBorder="1" applyAlignment="1">
      <alignment vertical="center"/>
    </xf>
    <xf numFmtId="0" fontId="12" fillId="0" borderId="17" xfId="0" applyFont="1" applyFill="1" applyBorder="1" applyAlignment="1">
      <alignment vertical="center"/>
    </xf>
    <xf numFmtId="0" fontId="1" fillId="0" borderId="10" xfId="0" applyFont="1" applyFill="1" applyBorder="1"/>
    <xf numFmtId="0" fontId="23" fillId="0" borderId="10" xfId="0" applyFont="1" applyFill="1" applyBorder="1" applyAlignment="1">
      <alignment horizontal="center"/>
    </xf>
    <xf numFmtId="0" fontId="35" fillId="0" borderId="0" xfId="0" applyFont="1"/>
    <xf numFmtId="0" fontId="0" fillId="17" borderId="11" xfId="0" applyFill="1" applyBorder="1"/>
    <xf numFmtId="0" fontId="0" fillId="17" borderId="12" xfId="0" applyFill="1" applyBorder="1"/>
    <xf numFmtId="0" fontId="0" fillId="17" borderId="13" xfId="0" applyFill="1" applyBorder="1"/>
    <xf numFmtId="0" fontId="0" fillId="26" borderId="4" xfId="0" applyFill="1" applyBorder="1"/>
    <xf numFmtId="0" fontId="0" fillId="28" borderId="0" xfId="0" applyFont="1" applyFill="1"/>
    <xf numFmtId="0" fontId="11" fillId="0" borderId="0" xfId="0" applyFont="1"/>
    <xf numFmtId="0" fontId="11" fillId="29" borderId="15" xfId="0" applyFont="1" applyFill="1" applyBorder="1" applyAlignment="1">
      <alignment vertical="center"/>
    </xf>
    <xf numFmtId="0" fontId="12" fillId="29" borderId="16" xfId="0" applyFont="1" applyFill="1" applyBorder="1" applyAlignment="1">
      <alignment vertical="center"/>
    </xf>
    <xf numFmtId="0" fontId="12" fillId="29" borderId="17" xfId="0" applyFont="1" applyFill="1" applyBorder="1" applyAlignment="1">
      <alignment vertical="center"/>
    </xf>
    <xf numFmtId="0" fontId="2" fillId="29" borderId="10" xfId="0" applyFont="1" applyFill="1" applyBorder="1"/>
    <xf numFmtId="0" fontId="2" fillId="29" borderId="10" xfId="0" applyFont="1" applyFill="1" applyBorder="1" applyAlignment="1">
      <alignment horizontal="center"/>
    </xf>
    <xf numFmtId="0" fontId="24" fillId="0" borderId="0" xfId="0" applyFont="1" applyAlignment="1">
      <alignment wrapText="1" shrinkToFit="1"/>
    </xf>
    <xf numFmtId="0" fontId="24" fillId="27" borderId="0" xfId="0" applyFont="1" applyFill="1" applyAlignment="1">
      <alignment wrapText="1" shrinkToFit="1"/>
    </xf>
    <xf numFmtId="0" fontId="9" fillId="27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 wrapText="1" shrinkToFit="1"/>
    </xf>
    <xf numFmtId="0" fontId="24" fillId="27" borderId="0" xfId="0" applyFont="1" applyFill="1" applyAlignment="1">
      <alignment horizontal="center" vertical="center" wrapText="1" shrinkToFit="1"/>
    </xf>
    <xf numFmtId="0" fontId="10" fillId="27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27" borderId="0" xfId="0" applyFont="1" applyFill="1" applyAlignment="1">
      <alignment horizontal="left"/>
    </xf>
    <xf numFmtId="166" fontId="9" fillId="27" borderId="0" xfId="0" applyNumberFormat="1" applyFont="1" applyFill="1" applyAlignment="1">
      <alignment horizontal="left"/>
    </xf>
    <xf numFmtId="0" fontId="9" fillId="27" borderId="0" xfId="0" applyFont="1" applyFill="1" applyAlignment="1">
      <alignment horizontal="left" vertical="center"/>
    </xf>
    <xf numFmtId="0" fontId="0" fillId="30" borderId="0" xfId="0" applyFill="1"/>
    <xf numFmtId="0" fontId="0" fillId="30" borderId="0" xfId="0" applyFill="1" applyBorder="1"/>
    <xf numFmtId="0" fontId="1" fillId="30" borderId="0" xfId="0" applyFont="1" applyFill="1" applyBorder="1" applyAlignment="1">
      <alignment horizontal="left"/>
    </xf>
    <xf numFmtId="0" fontId="0" fillId="30" borderId="51" xfId="0" applyFill="1" applyBorder="1"/>
    <xf numFmtId="0" fontId="0" fillId="30" borderId="52" xfId="0" applyFill="1" applyBorder="1"/>
    <xf numFmtId="0" fontId="0" fillId="30" borderId="53" xfId="0" applyFill="1" applyBorder="1"/>
    <xf numFmtId="0" fontId="0" fillId="30" borderId="54" xfId="0" applyFill="1" applyBorder="1"/>
    <xf numFmtId="0" fontId="0" fillId="30" borderId="55" xfId="0" applyFill="1" applyBorder="1"/>
    <xf numFmtId="0" fontId="0" fillId="30" borderId="56" xfId="0" applyFill="1" applyBorder="1"/>
    <xf numFmtId="0" fontId="0" fillId="30" borderId="57" xfId="0" applyFont="1" applyFill="1" applyBorder="1" applyAlignment="1">
      <alignment horizontal="right" indent="1"/>
    </xf>
    <xf numFmtId="0" fontId="0" fillId="30" borderId="57" xfId="0" applyFont="1" applyFill="1" applyBorder="1" applyAlignment="1">
      <alignment horizontal="left" indent="1"/>
    </xf>
    <xf numFmtId="0" fontId="0" fillId="30" borderId="57" xfId="0" applyFill="1" applyBorder="1"/>
    <xf numFmtId="0" fontId="0" fillId="30" borderId="58" xfId="0" applyFill="1" applyBorder="1"/>
    <xf numFmtId="0" fontId="0" fillId="30" borderId="52" xfId="0" applyFont="1" applyFill="1" applyBorder="1" applyAlignment="1">
      <alignment horizontal="left"/>
    </xf>
    <xf numFmtId="0" fontId="9" fillId="30" borderId="52" xfId="0" applyFont="1" applyFill="1" applyBorder="1" applyAlignment="1">
      <alignment horizontal="left"/>
    </xf>
    <xf numFmtId="0" fontId="33" fillId="30" borderId="52" xfId="0" applyFont="1" applyFill="1" applyBorder="1" applyAlignment="1">
      <alignment horizontal="left"/>
    </xf>
    <xf numFmtId="0" fontId="0" fillId="0" borderId="0" xfId="0" applyFont="1" applyBorder="1" applyAlignment="1">
      <alignment horizontal="center"/>
    </xf>
    <xf numFmtId="0" fontId="0" fillId="30" borderId="59" xfId="0" applyFill="1" applyBorder="1"/>
    <xf numFmtId="0" fontId="7" fillId="30" borderId="60" xfId="0" applyFont="1" applyFill="1" applyBorder="1" applyAlignment="1"/>
    <xf numFmtId="0" fontId="0" fillId="30" borderId="61" xfId="0" applyFill="1" applyBorder="1"/>
    <xf numFmtId="0" fontId="10" fillId="29" borderId="0" xfId="0" applyFont="1" applyFill="1"/>
    <xf numFmtId="0" fontId="12" fillId="29" borderId="0" xfId="0" applyFont="1" applyFill="1"/>
    <xf numFmtId="0" fontId="10" fillId="28" borderId="62" xfId="0" applyFont="1" applyFill="1" applyBorder="1" applyAlignment="1">
      <alignment horizontal="center" vertical="center"/>
    </xf>
    <xf numFmtId="0" fontId="0" fillId="30" borderId="0" xfId="0" applyFont="1" applyFill="1"/>
    <xf numFmtId="0" fontId="0" fillId="28" borderId="5" xfId="0" applyFill="1" applyBorder="1"/>
    <xf numFmtId="0" fontId="0" fillId="28" borderId="2" xfId="0" applyFill="1" applyBorder="1"/>
    <xf numFmtId="0" fontId="0" fillId="28" borderId="0" xfId="0" applyFill="1" applyBorder="1"/>
    <xf numFmtId="0" fontId="0" fillId="28" borderId="9" xfId="0" applyFill="1" applyBorder="1"/>
    <xf numFmtId="0" fontId="0" fillId="28" borderId="12" xfId="0" applyFill="1" applyBorder="1"/>
    <xf numFmtId="0" fontId="0" fillId="28" borderId="13" xfId="0" applyFill="1" applyBorder="1"/>
    <xf numFmtId="0" fontId="0" fillId="28" borderId="14" xfId="0" applyFill="1" applyBorder="1"/>
    <xf numFmtId="0" fontId="0" fillId="28" borderId="18" xfId="0" applyFill="1" applyBorder="1"/>
    <xf numFmtId="0" fontId="0" fillId="28" borderId="6" xfId="0" applyFill="1" applyBorder="1"/>
    <xf numFmtId="0" fontId="0" fillId="28" borderId="3" xfId="0" applyFill="1" applyBorder="1"/>
    <xf numFmtId="0" fontId="0" fillId="28" borderId="4" xfId="0" applyFill="1" applyBorder="1"/>
    <xf numFmtId="0" fontId="33" fillId="28" borderId="0" xfId="0" applyFont="1" applyFill="1"/>
    <xf numFmtId="0" fontId="0" fillId="28" borderId="0" xfId="0" applyFill="1"/>
    <xf numFmtId="0" fontId="0" fillId="28" borderId="0" xfId="0" applyFill="1" applyAlignment="1">
      <alignment vertical="center"/>
    </xf>
    <xf numFmtId="0" fontId="0" fillId="0" borderId="0" xfId="0" applyAlignment="1">
      <alignment horizontal="center" wrapText="1"/>
    </xf>
    <xf numFmtId="0" fontId="0" fillId="28" borderId="0" xfId="0" applyFill="1" applyAlignment="1">
      <alignment horizontal="center"/>
    </xf>
    <xf numFmtId="168" fontId="0" fillId="28" borderId="0" xfId="0" applyNumberFormat="1" applyFill="1" applyAlignment="1">
      <alignment horizontal="center"/>
    </xf>
    <xf numFmtId="14" fontId="0" fillId="28" borderId="0" xfId="0" applyNumberFormat="1" applyFill="1" applyAlignment="1">
      <alignment horizontal="center"/>
    </xf>
    <xf numFmtId="0" fontId="33" fillId="30" borderId="0" xfId="0" applyFont="1" applyFill="1" applyBorder="1"/>
    <xf numFmtId="165" fontId="33" fillId="30" borderId="0" xfId="0" applyNumberFormat="1" applyFont="1" applyFill="1" applyBorder="1"/>
    <xf numFmtId="0" fontId="2" fillId="28" borderId="0" xfId="0" applyFont="1" applyFill="1" applyBorder="1" applyAlignment="1">
      <alignment vertical="center"/>
    </xf>
    <xf numFmtId="0" fontId="2" fillId="28" borderId="0" xfId="0" applyFont="1" applyFill="1" applyBorder="1" applyAlignment="1">
      <alignment horizontal="center" vertical="center"/>
    </xf>
    <xf numFmtId="165" fontId="2" fillId="28" borderId="0" xfId="2" applyNumberFormat="1" applyFont="1" applyFill="1" applyBorder="1" applyAlignment="1">
      <alignment horizontal="center" vertical="center"/>
    </xf>
    <xf numFmtId="0" fontId="20" fillId="10" borderId="0" xfId="0" applyFont="1" applyFill="1" applyAlignment="1">
      <alignment horizontal="left" vertical="center"/>
    </xf>
    <xf numFmtId="0" fontId="1" fillId="28" borderId="62" xfId="0" applyFont="1" applyFill="1" applyBorder="1" applyAlignment="1">
      <alignment horizontal="center" vertical="center" wrapText="1"/>
    </xf>
    <xf numFmtId="0" fontId="0" fillId="30" borderId="0" xfId="0" applyFont="1" applyFill="1" applyAlignment="1">
      <alignment horizontal="center" vertical="center" wrapText="1"/>
    </xf>
    <xf numFmtId="0" fontId="2" fillId="30" borderId="0" xfId="0" applyFont="1" applyFill="1" applyAlignment="1">
      <alignment horizontal="center" vertical="center" wrapText="1"/>
    </xf>
    <xf numFmtId="0" fontId="31" fillId="30" borderId="0" xfId="0" applyFont="1" applyFill="1" applyAlignment="1">
      <alignment horizontal="center" vertical="center" wrapText="1"/>
    </xf>
    <xf numFmtId="0" fontId="36" fillId="30" borderId="0" xfId="0" applyFont="1" applyFill="1" applyAlignment="1">
      <alignment horizontal="center" vertical="center" wrapText="1"/>
    </xf>
    <xf numFmtId="14" fontId="0" fillId="28" borderId="0" xfId="0" applyNumberFormat="1" applyFill="1" applyAlignment="1">
      <alignment horizontal="left"/>
    </xf>
    <xf numFmtId="0" fontId="37" fillId="0" borderId="0" xfId="0" applyFont="1" applyAlignment="1">
      <alignment horizontal="center" vertical="center" wrapText="1"/>
    </xf>
    <xf numFmtId="0" fontId="38" fillId="30" borderId="0" xfId="0" applyFont="1" applyFill="1"/>
    <xf numFmtId="0" fontId="26" fillId="30" borderId="0" xfId="0" applyFont="1" applyFill="1"/>
    <xf numFmtId="0" fontId="34" fillId="30" borderId="0" xfId="0" applyFont="1" applyFill="1" applyAlignment="1">
      <alignment horizontal="center" vertical="center" wrapText="1"/>
    </xf>
    <xf numFmtId="0" fontId="25" fillId="30" borderId="0" xfId="0" applyFont="1" applyFill="1" applyAlignment="1">
      <alignment horizontal="center" vertical="center" wrapText="1"/>
    </xf>
    <xf numFmtId="0" fontId="39" fillId="31" borderId="0" xfId="0" applyFont="1" applyFill="1" applyAlignment="1">
      <alignment vertical="center"/>
    </xf>
    <xf numFmtId="0" fontId="36" fillId="31" borderId="0" xfId="0" applyFont="1" applyFill="1" applyAlignment="1">
      <alignment vertical="center"/>
    </xf>
    <xf numFmtId="0" fontId="31" fillId="31" borderId="0" xfId="0" applyFont="1" applyFill="1" applyAlignment="1">
      <alignment vertical="center"/>
    </xf>
    <xf numFmtId="0" fontId="31" fillId="31" borderId="0" xfId="0" quotePrefix="1" applyFont="1" applyFill="1" applyAlignment="1">
      <alignment vertical="center"/>
    </xf>
    <xf numFmtId="0" fontId="35" fillId="28" borderId="0" xfId="0" applyFont="1" applyFill="1"/>
    <xf numFmtId="0" fontId="33" fillId="28" borderId="0" xfId="0" applyFont="1" applyFill="1" applyAlignment="1">
      <alignment horizontal="left" vertical="center" indent="1"/>
    </xf>
    <xf numFmtId="0" fontId="0" fillId="28" borderId="0" xfId="0" applyFill="1" applyAlignment="1">
      <alignment horizontal="left" vertical="center" indent="1"/>
    </xf>
    <xf numFmtId="0" fontId="0" fillId="28" borderId="0" xfId="0" applyFill="1" applyAlignment="1">
      <alignment horizontal="center" vertical="center"/>
    </xf>
    <xf numFmtId="0" fontId="33" fillId="28" borderId="0" xfId="0" applyFont="1" applyFill="1" applyAlignment="1">
      <alignment horizontal="center" vertical="center"/>
    </xf>
    <xf numFmtId="0" fontId="40" fillId="28" borderId="62" xfId="0" applyFont="1" applyFill="1" applyBorder="1" applyAlignment="1">
      <alignment horizontal="center" vertical="center"/>
    </xf>
    <xf numFmtId="14" fontId="0" fillId="27" borderId="0" xfId="0" applyNumberFormat="1" applyFill="1" applyAlignment="1">
      <alignment wrapText="1"/>
    </xf>
    <xf numFmtId="0" fontId="0" fillId="27" borderId="0" xfId="0" applyFill="1" applyAlignment="1">
      <alignment wrapText="1"/>
    </xf>
    <xf numFmtId="165" fontId="0" fillId="27" borderId="0" xfId="0" applyNumberFormat="1" applyFill="1" applyAlignment="1">
      <alignment wrapText="1"/>
    </xf>
    <xf numFmtId="0" fontId="0" fillId="0" borderId="0" xfId="0" applyAlignment="1">
      <alignment wrapText="1"/>
    </xf>
    <xf numFmtId="165" fontId="0" fillId="0" borderId="0" xfId="0" applyNumberFormat="1" applyAlignment="1">
      <alignment wrapText="1"/>
    </xf>
    <xf numFmtId="165" fontId="30" fillId="30" borderId="0" xfId="2" applyNumberFormat="1" applyFont="1" applyFill="1" applyBorder="1"/>
    <xf numFmtId="0" fontId="10" fillId="28" borderId="62" xfId="0" quotePrefix="1" applyFont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37" fillId="30" borderId="0" xfId="0" applyFont="1" applyFill="1" applyAlignment="1">
      <alignment horizontal="center" vertical="top" wrapText="1"/>
    </xf>
    <xf numFmtId="0" fontId="37" fillId="28" borderId="0" xfId="0" applyFont="1" applyFill="1" applyAlignment="1">
      <alignment horizontal="center"/>
    </xf>
    <xf numFmtId="168" fontId="37" fillId="28" borderId="0" xfId="0" applyNumberFormat="1" applyFont="1" applyFill="1" applyAlignment="1">
      <alignment horizontal="center"/>
    </xf>
    <xf numFmtId="14" fontId="37" fillId="28" borderId="0" xfId="0" applyNumberFormat="1" applyFont="1" applyFill="1" applyAlignment="1">
      <alignment horizontal="center"/>
    </xf>
    <xf numFmtId="0" fontId="37" fillId="0" borderId="0" xfId="0" applyFont="1" applyAlignment="1">
      <alignment horizontal="center" vertical="top" wrapText="1"/>
    </xf>
    <xf numFmtId="0" fontId="37" fillId="0" borderId="0" xfId="0" applyFont="1" applyAlignment="1">
      <alignment horizontal="center" wrapText="1"/>
    </xf>
    <xf numFmtId="0" fontId="37" fillId="0" borderId="0" xfId="0" applyFont="1" applyAlignment="1">
      <alignment horizontal="center"/>
    </xf>
    <xf numFmtId="8" fontId="37" fillId="0" borderId="0" xfId="0" applyNumberFormat="1" applyFont="1" applyAlignment="1">
      <alignment horizontal="center" vertical="center" wrapText="1"/>
    </xf>
    <xf numFmtId="0" fontId="32" fillId="30" borderId="0" xfId="1" applyFill="1" applyAlignment="1">
      <alignment horizontal="left" vertical="center" wrapText="1"/>
    </xf>
    <xf numFmtId="0" fontId="31" fillId="30" borderId="0" xfId="0" applyFont="1" applyFill="1" applyAlignment="1">
      <alignment horizontal="left" vertical="center" wrapText="1"/>
    </xf>
    <xf numFmtId="0" fontId="0" fillId="30" borderId="0" xfId="0" applyFont="1" applyFill="1" applyAlignment="1">
      <alignment horizontal="left" vertical="center" wrapText="1"/>
    </xf>
    <xf numFmtId="0" fontId="34" fillId="30" borderId="0" xfId="0" applyFont="1" applyFill="1" applyAlignment="1">
      <alignment horizontal="left" vertical="center" wrapText="1"/>
    </xf>
    <xf numFmtId="0" fontId="33" fillId="30" borderId="0" xfId="0" applyFont="1" applyFill="1" applyAlignment="1">
      <alignment horizontal="center" vertical="center" wrapText="1"/>
    </xf>
    <xf numFmtId="0" fontId="41" fillId="30" borderId="0" xfId="0" applyFont="1" applyFill="1"/>
    <xf numFmtId="0" fontId="42" fillId="30" borderId="0" xfId="0" applyFont="1" applyFill="1"/>
    <xf numFmtId="0" fontId="43" fillId="30" borderId="0" xfId="0" applyFont="1" applyFill="1" applyAlignment="1">
      <alignment horizontal="center" vertical="center" wrapText="1"/>
    </xf>
    <xf numFmtId="0" fontId="44" fillId="28" borderId="62" xfId="0" applyFont="1" applyFill="1" applyBorder="1" applyAlignment="1">
      <alignment horizontal="center" vertical="center" wrapText="1"/>
    </xf>
    <xf numFmtId="0" fontId="45" fillId="28" borderId="62" xfId="0" applyFont="1" applyFill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14" fontId="0" fillId="28" borderId="0" xfId="0" applyNumberFormat="1" applyFont="1" applyFill="1"/>
    <xf numFmtId="165" fontId="30" fillId="27" borderId="0" xfId="2" applyNumberFormat="1" applyFont="1" applyFill="1" applyAlignment="1">
      <alignment textRotation="45"/>
    </xf>
    <xf numFmtId="0" fontId="10" fillId="29" borderId="9" xfId="0" applyFont="1" applyFill="1" applyBorder="1"/>
    <xf numFmtId="0" fontId="32" fillId="0" borderId="0" xfId="1" applyAlignment="1">
      <alignment wrapText="1"/>
    </xf>
    <xf numFmtId="0" fontId="17" fillId="10" borderId="0" xfId="0" applyFont="1" applyFill="1" applyBorder="1"/>
    <xf numFmtId="0" fontId="17" fillId="10" borderId="19" xfId="0" applyFont="1" applyFill="1" applyBorder="1" applyAlignment="1"/>
    <xf numFmtId="165" fontId="17" fillId="10" borderId="20" xfId="2" applyNumberFormat="1" applyFont="1" applyFill="1" applyBorder="1"/>
    <xf numFmtId="0" fontId="17" fillId="10" borderId="8" xfId="2" applyNumberFormat="1" applyFont="1" applyFill="1" applyBorder="1" applyAlignment="1">
      <alignment horizontal="left" indent="1"/>
    </xf>
    <xf numFmtId="0" fontId="17" fillId="10" borderId="0" xfId="2" applyNumberFormat="1" applyFont="1" applyFill="1" applyBorder="1" applyAlignment="1">
      <alignment horizontal="left" indent="1"/>
    </xf>
    <xf numFmtId="0" fontId="17" fillId="10" borderId="9" xfId="2" applyNumberFormat="1" applyFont="1" applyFill="1" applyBorder="1" applyAlignment="1">
      <alignment horizontal="left" indent="1"/>
    </xf>
    <xf numFmtId="0" fontId="17" fillId="10" borderId="21" xfId="0" applyFont="1" applyFill="1" applyBorder="1" applyAlignment="1"/>
    <xf numFmtId="0" fontId="17" fillId="10" borderId="9" xfId="0" applyFont="1" applyFill="1" applyBorder="1" applyAlignment="1"/>
    <xf numFmtId="9" fontId="17" fillId="10" borderId="19" xfId="0" applyNumberFormat="1" applyFont="1" applyFill="1" applyBorder="1" applyAlignment="1"/>
    <xf numFmtId="0" fontId="17" fillId="10" borderId="22" xfId="0" applyFont="1" applyFill="1" applyBorder="1"/>
    <xf numFmtId="0" fontId="17" fillId="10" borderId="23" xfId="0" applyFont="1" applyFill="1" applyBorder="1"/>
    <xf numFmtId="0" fontId="17" fillId="10" borderId="24" xfId="0" applyFont="1" applyFill="1" applyBorder="1" applyAlignment="1">
      <alignment horizontal="center"/>
    </xf>
    <xf numFmtId="0" fontId="17" fillId="10" borderId="19" xfId="0" applyFont="1" applyFill="1" applyBorder="1"/>
    <xf numFmtId="10" fontId="17" fillId="10" borderId="25" xfId="3" applyNumberFormat="1" applyFont="1" applyFill="1" applyBorder="1" applyAlignment="1"/>
    <xf numFmtId="0" fontId="17" fillId="10" borderId="26" xfId="0" applyFont="1" applyFill="1" applyBorder="1"/>
    <xf numFmtId="0" fontId="17" fillId="10" borderId="26" xfId="0" applyFont="1" applyFill="1" applyBorder="1" applyAlignment="1">
      <alignment vertical="top"/>
    </xf>
    <xf numFmtId="0" fontId="17" fillId="10" borderId="0" xfId="0" applyFont="1" applyFill="1" applyBorder="1" applyAlignment="1">
      <alignment vertical="top"/>
    </xf>
    <xf numFmtId="0" fontId="17" fillId="10" borderId="19" xfId="0" applyFont="1" applyFill="1" applyBorder="1" applyAlignment="1">
      <alignment vertical="top"/>
    </xf>
    <xf numFmtId="0" fontId="17" fillId="10" borderId="27" xfId="0" applyFont="1" applyFill="1" applyBorder="1"/>
    <xf numFmtId="0" fontId="17" fillId="10" borderId="28" xfId="0" applyFont="1" applyFill="1" applyBorder="1"/>
    <xf numFmtId="14" fontId="17" fillId="10" borderId="28" xfId="0" applyNumberFormat="1" applyFont="1" applyFill="1" applyBorder="1" applyAlignment="1">
      <alignment horizontal="left"/>
    </xf>
    <xf numFmtId="0" fontId="17" fillId="10" borderId="29" xfId="0" applyFont="1" applyFill="1" applyBorder="1"/>
    <xf numFmtId="0" fontId="17" fillId="10" borderId="27" xfId="0" applyFont="1" applyFill="1" applyBorder="1" applyAlignment="1">
      <alignment vertical="top"/>
    </xf>
    <xf numFmtId="0" fontId="17" fillId="10" borderId="28" xfId="0" applyFont="1" applyFill="1" applyBorder="1" applyAlignment="1">
      <alignment vertical="top"/>
    </xf>
    <xf numFmtId="0" fontId="17" fillId="10" borderId="29" xfId="0" applyFont="1" applyFill="1" applyBorder="1" applyAlignment="1">
      <alignment vertical="top"/>
    </xf>
    <xf numFmtId="0" fontId="27" fillId="10" borderId="0" xfId="0" applyFont="1" applyFill="1"/>
    <xf numFmtId="0" fontId="28" fillId="10" borderId="0" xfId="0" applyFont="1" applyFill="1"/>
    <xf numFmtId="165" fontId="28" fillId="10" borderId="0" xfId="2" applyNumberFormat="1" applyFont="1" applyFill="1"/>
    <xf numFmtId="165" fontId="28" fillId="10" borderId="0" xfId="2" applyNumberFormat="1" applyFont="1" applyFill="1" applyBorder="1"/>
    <xf numFmtId="0" fontId="29" fillId="29" borderId="0" xfId="0" applyFont="1" applyFill="1"/>
    <xf numFmtId="0" fontId="28" fillId="10" borderId="0" xfId="0" applyFont="1" applyFill="1" applyBorder="1"/>
    <xf numFmtId="0" fontId="28" fillId="10" borderId="0" xfId="0" applyFont="1" applyFill="1" applyBorder="1" applyAlignment="1">
      <alignment horizontal="left"/>
    </xf>
    <xf numFmtId="0" fontId="47" fillId="29" borderId="0" xfId="0" applyFont="1" applyFill="1"/>
    <xf numFmtId="0" fontId="29" fillId="0" borderId="0" xfId="0" applyFont="1"/>
    <xf numFmtId="0" fontId="0" fillId="0" borderId="0" xfId="0" applyAlignment="1">
      <alignment horizontal="center"/>
    </xf>
    <xf numFmtId="0" fontId="0" fillId="32" borderId="0" xfId="0" applyFill="1"/>
    <xf numFmtId="0" fontId="0" fillId="32" borderId="0" xfId="0" applyFill="1" applyAlignment="1">
      <alignment horizontal="righ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49" fontId="0" fillId="0" borderId="0" xfId="0" applyNumberFormat="1" applyFill="1" applyBorder="1"/>
    <xf numFmtId="0" fontId="0" fillId="0" borderId="0" xfId="0" applyFill="1" applyBorder="1" applyAlignment="1">
      <alignment horizontal="center"/>
    </xf>
    <xf numFmtId="165" fontId="0" fillId="0" borderId="0" xfId="2" applyNumberFormat="1" applyFont="1" applyFill="1" applyBorder="1"/>
    <xf numFmtId="0" fontId="1" fillId="0" borderId="0" xfId="0" applyFont="1" applyFill="1" applyBorder="1"/>
    <xf numFmtId="0" fontId="34" fillId="33" borderId="0" xfId="0" applyFont="1" applyFill="1" applyBorder="1"/>
    <xf numFmtId="165" fontId="34" fillId="33" borderId="0" xfId="2" applyNumberFormat="1" applyFont="1" applyFill="1" applyBorder="1"/>
    <xf numFmtId="0" fontId="34" fillId="33" borderId="0" xfId="0" applyFont="1" applyFill="1" applyBorder="1" applyAlignment="1">
      <alignment horizontal="center"/>
    </xf>
    <xf numFmtId="167" fontId="34" fillId="33" borderId="0" xfId="2" applyNumberFormat="1" applyFont="1" applyFill="1" applyBorder="1"/>
    <xf numFmtId="0" fontId="34" fillId="33" borderId="0" xfId="0" applyFont="1" applyFill="1"/>
    <xf numFmtId="14" fontId="34" fillId="33" borderId="0" xfId="0" applyNumberFormat="1" applyFont="1" applyFill="1" applyBorder="1"/>
    <xf numFmtId="49" fontId="34" fillId="33" borderId="0" xfId="0" applyNumberFormat="1" applyFont="1" applyFill="1" applyBorder="1"/>
    <xf numFmtId="0" fontId="0" fillId="34" borderId="4" xfId="0" applyFill="1" applyBorder="1"/>
    <xf numFmtId="0" fontId="0" fillId="34" borderId="6" xfId="0" applyFill="1" applyBorder="1"/>
    <xf numFmtId="0" fontId="0" fillId="34" borderId="14" xfId="0" applyFill="1" applyBorder="1"/>
    <xf numFmtId="0" fontId="0" fillId="34" borderId="13" xfId="0" applyFill="1" applyBorder="1"/>
    <xf numFmtId="165" fontId="34" fillId="0" borderId="0" xfId="2" applyNumberFormat="1" applyFont="1"/>
    <xf numFmtId="0" fontId="34" fillId="0" borderId="0" xfId="0" applyFont="1"/>
    <xf numFmtId="0" fontId="34" fillId="2" borderId="0" xfId="0" applyFont="1" applyFill="1"/>
    <xf numFmtId="0" fontId="34" fillId="12" borderId="0" xfId="0" applyFont="1" applyFill="1"/>
    <xf numFmtId="0" fontId="34" fillId="12" borderId="0" xfId="0" applyFont="1" applyFill="1" applyAlignment="1">
      <alignment horizontal="right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right"/>
    </xf>
    <xf numFmtId="0" fontId="11" fillId="10" borderId="0" xfId="0" applyFont="1" applyFill="1" applyBorder="1" applyAlignment="1">
      <alignment horizontal="center" vertical="center" wrapText="1"/>
    </xf>
    <xf numFmtId="0" fontId="34" fillId="0" borderId="0" xfId="0" applyFont="1" applyFill="1"/>
    <xf numFmtId="0" fontId="48" fillId="0" borderId="0" xfId="0" applyFont="1" applyFill="1" applyAlignment="1">
      <alignment horizontal="center" vertical="center" wrapText="1"/>
    </xf>
    <xf numFmtId="0" fontId="48" fillId="0" borderId="0" xfId="0" applyFont="1" applyFill="1" applyAlignment="1">
      <alignment horizontal="center"/>
    </xf>
    <xf numFmtId="0" fontId="49" fillId="35" borderId="7" xfId="0" applyFont="1" applyFill="1" applyBorder="1"/>
    <xf numFmtId="0" fontId="49" fillId="35" borderId="5" xfId="0" applyFont="1" applyFill="1" applyBorder="1"/>
    <xf numFmtId="0" fontId="49" fillId="35" borderId="2" xfId="0" applyFont="1" applyFill="1" applyBorder="1"/>
    <xf numFmtId="0" fontId="50" fillId="35" borderId="8" xfId="0" applyFont="1" applyFill="1" applyBorder="1" applyAlignment="1">
      <alignment horizontal="center" vertical="center" wrapText="1"/>
    </xf>
    <xf numFmtId="0" fontId="50" fillId="35" borderId="9" xfId="0" applyFont="1" applyFill="1" applyBorder="1" applyAlignment="1">
      <alignment horizontal="center" vertical="center" wrapText="1"/>
    </xf>
    <xf numFmtId="0" fontId="50" fillId="35" borderId="8" xfId="0" applyFont="1" applyFill="1" applyBorder="1" applyAlignment="1">
      <alignment horizontal="center"/>
    </xf>
    <xf numFmtId="0" fontId="50" fillId="35" borderId="9" xfId="0" applyFont="1" applyFill="1" applyBorder="1" applyAlignment="1">
      <alignment horizontal="center"/>
    </xf>
    <xf numFmtId="0" fontId="49" fillId="35" borderId="4" xfId="0" applyFont="1" applyFill="1" applyBorder="1"/>
    <xf numFmtId="0" fontId="49" fillId="35" borderId="3" xfId="0" applyFont="1" applyFill="1" applyBorder="1"/>
    <xf numFmtId="0" fontId="50" fillId="35" borderId="0" xfId="0" applyFont="1" applyFill="1" applyBorder="1" applyAlignment="1">
      <alignment horizontal="center" vertical="center" wrapText="1"/>
    </xf>
    <xf numFmtId="0" fontId="50" fillId="35" borderId="0" xfId="0" applyFont="1" applyFill="1" applyBorder="1" applyAlignment="1">
      <alignment horizontal="center"/>
    </xf>
    <xf numFmtId="0" fontId="49" fillId="35" borderId="6" xfId="0" applyFont="1" applyFill="1" applyBorder="1"/>
    <xf numFmtId="0" fontId="52" fillId="35" borderId="0" xfId="0" applyFont="1" applyFill="1" applyBorder="1" applyAlignment="1">
      <alignment vertical="center" wrapText="1"/>
    </xf>
    <xf numFmtId="0" fontId="50" fillId="35" borderId="0" xfId="0" applyFont="1" applyFill="1" applyBorder="1" applyAlignment="1">
      <alignment horizontal="center"/>
    </xf>
    <xf numFmtId="0" fontId="51" fillId="35" borderId="0" xfId="0" applyFont="1" applyFill="1" applyBorder="1" applyAlignment="1">
      <alignment vertical="center" wrapText="1"/>
    </xf>
    <xf numFmtId="0" fontId="53" fillId="28" borderId="0" xfId="0" applyFont="1" applyFill="1" applyAlignment="1">
      <alignment horizontal="left" vertical="center" inden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horizontal="left" vertical="top" wrapText="1"/>
    </xf>
    <xf numFmtId="0" fontId="0" fillId="0" borderId="0" xfId="0" applyAlignment="1">
      <alignment horizontal="center"/>
    </xf>
    <xf numFmtId="0" fontId="54" fillId="0" borderId="0" xfId="0" applyFont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33" fillId="0" borderId="0" xfId="0" applyFont="1" applyAlignment="1">
      <alignment vertical="center"/>
    </xf>
    <xf numFmtId="0" fontId="55" fillId="0" borderId="10" xfId="0" applyFont="1" applyBorder="1" applyAlignment="1">
      <alignment horizontal="right" vertical="center"/>
    </xf>
    <xf numFmtId="0" fontId="33" fillId="0" borderId="10" xfId="0" applyFont="1" applyBorder="1" applyAlignment="1">
      <alignment horizontal="center" vertical="center"/>
    </xf>
    <xf numFmtId="0" fontId="56" fillId="0" borderId="0" xfId="0" applyFont="1"/>
    <xf numFmtId="0" fontId="56" fillId="0" borderId="15" xfId="0" applyFont="1" applyBorder="1" applyAlignment="1">
      <alignment vertical="center"/>
    </xf>
    <xf numFmtId="0" fontId="56" fillId="0" borderId="16" xfId="0" applyFont="1" applyBorder="1" applyAlignment="1">
      <alignment vertical="center"/>
    </xf>
    <xf numFmtId="0" fontId="56" fillId="0" borderId="16" xfId="0" applyFont="1" applyBorder="1"/>
    <xf numFmtId="0" fontId="56" fillId="0" borderId="16" xfId="0" applyFont="1" applyBorder="1" applyAlignment="1"/>
    <xf numFmtId="0" fontId="56" fillId="0" borderId="16" xfId="0" applyFont="1" applyBorder="1" applyAlignment="1">
      <alignment horizontal="right"/>
    </xf>
    <xf numFmtId="0" fontId="56" fillId="0" borderId="17" xfId="0" applyFont="1" applyBorder="1" applyAlignment="1">
      <alignment horizontal="right"/>
    </xf>
    <xf numFmtId="165" fontId="1" fillId="0" borderId="0" xfId="0" applyNumberFormat="1" applyFont="1" applyFill="1" applyBorder="1"/>
    <xf numFmtId="0" fontId="1" fillId="0" borderId="0" xfId="0" applyFont="1" applyFill="1" applyBorder="1" applyAlignment="1">
      <alignment horizontal="center"/>
    </xf>
    <xf numFmtId="167" fontId="1" fillId="0" borderId="0" xfId="0" applyNumberFormat="1" applyFont="1" applyFill="1" applyBorder="1"/>
    <xf numFmtId="0" fontId="0" fillId="0" borderId="0" xfId="0" applyAlignment="1">
      <alignment horizontal="center"/>
    </xf>
    <xf numFmtId="10" fontId="0" fillId="0" borderId="0" xfId="3" applyNumberFormat="1" applyFont="1"/>
    <xf numFmtId="165" fontId="17" fillId="10" borderId="26" xfId="2" applyNumberFormat="1" applyFont="1" applyFill="1" applyBorder="1"/>
    <xf numFmtId="10" fontId="17" fillId="10" borderId="9" xfId="0" applyNumberFormat="1" applyFont="1" applyFill="1" applyBorder="1" applyAlignment="1"/>
    <xf numFmtId="10" fontId="17" fillId="10" borderId="26" xfId="2" applyNumberFormat="1" applyFont="1" applyFill="1" applyBorder="1"/>
    <xf numFmtId="0" fontId="57" fillId="0" borderId="10" xfId="0" applyFont="1" applyBorder="1" applyAlignment="1">
      <alignment horizontal="center" vertical="center"/>
    </xf>
    <xf numFmtId="0" fontId="56" fillId="0" borderId="10" xfId="0" applyFont="1" applyBorder="1" applyAlignment="1">
      <alignment horizontal="center" vertical="center"/>
    </xf>
    <xf numFmtId="0" fontId="56" fillId="0" borderId="16" xfId="0" applyFont="1" applyBorder="1" applyAlignment="1">
      <alignment horizontal="right" vertical="center"/>
    </xf>
    <xf numFmtId="0" fontId="56" fillId="0" borderId="17" xfId="0" applyFont="1" applyBorder="1" applyAlignment="1">
      <alignment horizontal="right" vertical="center"/>
    </xf>
    <xf numFmtId="0" fontId="56" fillId="0" borderId="0" xfId="0" applyFont="1" applyAlignment="1">
      <alignment vertical="center"/>
    </xf>
    <xf numFmtId="0" fontId="0" fillId="0" borderId="0" xfId="0" applyAlignment="1">
      <alignment horizontal="center"/>
    </xf>
    <xf numFmtId="167" fontId="0" fillId="0" borderId="0" xfId="2" applyNumberFormat="1" applyFont="1" applyFill="1" applyBorder="1"/>
    <xf numFmtId="0" fontId="0" fillId="0" borderId="0" xfId="0" applyAlignment="1">
      <alignment horizontal="center"/>
    </xf>
    <xf numFmtId="165" fontId="0" fillId="0" borderId="0" xfId="2" applyNumberFormat="1" applyFont="1"/>
    <xf numFmtId="0" fontId="0" fillId="0" borderId="0" xfId="0" applyAlignment="1">
      <alignment horizontal="center"/>
    </xf>
    <xf numFmtId="0" fontId="58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8" fontId="0" fillId="0" borderId="0" xfId="0" quotePrefix="1" applyNumberFormat="1"/>
    <xf numFmtId="0" fontId="0" fillId="0" borderId="0" xfId="0" quotePrefix="1"/>
    <xf numFmtId="165" fontId="33" fillId="28" borderId="0" xfId="2" applyNumberFormat="1" applyFont="1" applyFill="1"/>
    <xf numFmtId="0" fontId="0" fillId="25" borderId="14" xfId="0" applyFill="1" applyBorder="1"/>
    <xf numFmtId="0" fontId="0" fillId="25" borderId="13" xfId="0" applyFill="1" applyBorder="1"/>
    <xf numFmtId="167" fontId="59" fillId="0" borderId="0" xfId="2" applyNumberFormat="1" applyFont="1" applyFill="1" applyBorder="1"/>
    <xf numFmtId="165" fontId="59" fillId="0" borderId="0" xfId="2" applyNumberFormat="1" applyFont="1" applyFill="1" applyBorder="1"/>
    <xf numFmtId="0" fontId="0" fillId="0" borderId="0" xfId="0" applyAlignment="1">
      <alignment horizontal="center"/>
    </xf>
    <xf numFmtId="0" fontId="34" fillId="27" borderId="0" xfId="0" applyFont="1" applyFill="1" applyAlignment="1">
      <alignment textRotation="45"/>
    </xf>
    <xf numFmtId="0" fontId="0" fillId="0" borderId="0" xfId="0" applyAlignment="1">
      <alignment horizontal="center"/>
    </xf>
    <xf numFmtId="0" fontId="17" fillId="10" borderId="0" xfId="0" applyFont="1" applyFill="1" applyBorder="1"/>
    <xf numFmtId="8" fontId="37" fillId="0" borderId="0" xfId="0" applyNumberFormat="1" applyFont="1" applyAlignment="1">
      <alignment horizontal="left" vertical="top" wrapText="1"/>
    </xf>
    <xf numFmtId="0" fontId="37" fillId="0" borderId="0" xfId="0" applyFont="1" applyAlignment="1">
      <alignment horizontal="left" vertical="top" wrapText="1"/>
    </xf>
    <xf numFmtId="0" fontId="56" fillId="0" borderId="7" xfId="0" applyFont="1" applyBorder="1" applyAlignment="1">
      <alignment horizontal="center" vertical="center"/>
    </xf>
    <xf numFmtId="0" fontId="56" fillId="0" borderId="5" xfId="0" applyFont="1" applyBorder="1" applyAlignment="1">
      <alignment horizontal="center" vertical="center"/>
    </xf>
    <xf numFmtId="0" fontId="56" fillId="0" borderId="2" xfId="0" applyFont="1" applyBorder="1" applyAlignment="1">
      <alignment horizontal="center" vertical="center"/>
    </xf>
    <xf numFmtId="0" fontId="16" fillId="30" borderId="1" xfId="0" applyFont="1" applyFill="1" applyBorder="1" applyAlignment="1">
      <alignment horizontal="center"/>
    </xf>
    <xf numFmtId="165" fontId="17" fillId="10" borderId="7" xfId="0" applyNumberFormat="1" applyFont="1" applyFill="1" applyBorder="1" applyAlignment="1">
      <alignment horizontal="center"/>
    </xf>
    <xf numFmtId="165" fontId="17" fillId="10" borderId="2" xfId="0" applyNumberFormat="1" applyFont="1" applyFill="1" applyBorder="1" applyAlignment="1">
      <alignment horizontal="center"/>
    </xf>
    <xf numFmtId="165" fontId="17" fillId="10" borderId="8" xfId="0" applyNumberFormat="1" applyFont="1" applyFill="1" applyBorder="1" applyAlignment="1">
      <alignment horizontal="center"/>
    </xf>
    <xf numFmtId="165" fontId="17" fillId="10" borderId="9" xfId="0" applyNumberFormat="1" applyFont="1" applyFill="1" applyBorder="1" applyAlignment="1">
      <alignment horizontal="center"/>
    </xf>
    <xf numFmtId="0" fontId="0" fillId="29" borderId="0" xfId="0" applyFont="1" applyFill="1" applyBorder="1" applyAlignment="1">
      <alignment horizontal="left" indent="1"/>
    </xf>
    <xf numFmtId="0" fontId="10" fillId="28" borderId="59" xfId="0" applyFont="1" applyFill="1" applyBorder="1" applyAlignment="1">
      <alignment horizontal="center" vertical="center"/>
    </xf>
    <xf numFmtId="0" fontId="10" fillId="28" borderId="61" xfId="0" applyFont="1" applyFill="1" applyBorder="1" applyAlignment="1">
      <alignment horizontal="center" vertical="center"/>
    </xf>
    <xf numFmtId="0" fontId="18" fillId="30" borderId="10" xfId="0" applyFont="1" applyFill="1" applyBorder="1" applyAlignment="1">
      <alignment horizontal="center" vertical="top" wrapText="1"/>
    </xf>
    <xf numFmtId="0" fontId="19" fillId="10" borderId="0" xfId="0" applyFont="1" applyFill="1" applyAlignment="1">
      <alignment horizontal="center"/>
    </xf>
    <xf numFmtId="0" fontId="17" fillId="10" borderId="37" xfId="0" applyFont="1" applyFill="1" applyBorder="1" applyAlignment="1">
      <alignment horizontal="center"/>
    </xf>
    <xf numFmtId="0" fontId="17" fillId="10" borderId="38" xfId="0" applyFont="1" applyFill="1" applyBorder="1" applyAlignment="1">
      <alignment horizontal="center"/>
    </xf>
    <xf numFmtId="0" fontId="17" fillId="10" borderId="39" xfId="0" applyFont="1" applyFill="1" applyBorder="1" applyAlignment="1">
      <alignment horizontal="center"/>
    </xf>
    <xf numFmtId="14" fontId="17" fillId="10" borderId="37" xfId="0" applyNumberFormat="1" applyFont="1" applyFill="1" applyBorder="1" applyAlignment="1">
      <alignment horizontal="center"/>
    </xf>
    <xf numFmtId="14" fontId="17" fillId="10" borderId="39" xfId="0" applyNumberFormat="1" applyFont="1" applyFill="1" applyBorder="1" applyAlignment="1">
      <alignment horizontal="center"/>
    </xf>
    <xf numFmtId="0" fontId="18" fillId="30" borderId="30" xfId="0" applyFont="1" applyFill="1" applyBorder="1" applyAlignment="1">
      <alignment horizontal="center" vertical="top" wrapText="1"/>
    </xf>
    <xf numFmtId="0" fontId="18" fillId="30" borderId="31" xfId="0" applyFont="1" applyFill="1" applyBorder="1" applyAlignment="1">
      <alignment horizontal="center" vertical="top" wrapText="1"/>
    </xf>
    <xf numFmtId="0" fontId="18" fillId="30" borderId="7" xfId="0" applyFont="1" applyFill="1" applyBorder="1" applyAlignment="1">
      <alignment horizontal="center" vertical="top" wrapText="1"/>
    </xf>
    <xf numFmtId="0" fontId="18" fillId="30" borderId="5" xfId="0" applyFont="1" applyFill="1" applyBorder="1" applyAlignment="1">
      <alignment horizontal="center" vertical="top" wrapText="1"/>
    </xf>
    <xf numFmtId="0" fontId="18" fillId="30" borderId="2" xfId="0" applyFont="1" applyFill="1" applyBorder="1" applyAlignment="1">
      <alignment horizontal="center" vertical="top" wrapText="1"/>
    </xf>
    <xf numFmtId="0" fontId="18" fillId="30" borderId="4" xfId="0" applyFont="1" applyFill="1" applyBorder="1" applyAlignment="1">
      <alignment horizontal="center" vertical="top" wrapText="1"/>
    </xf>
    <xf numFmtId="0" fontId="18" fillId="30" borderId="6" xfId="0" applyFont="1" applyFill="1" applyBorder="1" applyAlignment="1">
      <alignment horizontal="center" vertical="top" wrapText="1"/>
    </xf>
    <xf numFmtId="0" fontId="18" fillId="30" borderId="3" xfId="0" applyFont="1" applyFill="1" applyBorder="1" applyAlignment="1">
      <alignment horizontal="center" vertical="top" wrapText="1"/>
    </xf>
    <xf numFmtId="14" fontId="0" fillId="29" borderId="0" xfId="0" applyNumberFormat="1" applyFont="1" applyFill="1" applyBorder="1" applyAlignment="1">
      <alignment horizontal="left" indent="1"/>
    </xf>
    <xf numFmtId="9" fontId="0" fillId="29" borderId="0" xfId="3" applyFont="1" applyFill="1" applyBorder="1" applyAlignment="1">
      <alignment horizontal="left" indent="1"/>
    </xf>
    <xf numFmtId="0" fontId="2" fillId="29" borderId="0" xfId="0" applyFont="1" applyFill="1" applyBorder="1" applyAlignment="1">
      <alignment horizontal="left" indent="1"/>
    </xf>
    <xf numFmtId="0" fontId="0" fillId="29" borderId="0" xfId="0" applyFont="1" applyFill="1" applyBorder="1" applyAlignment="1">
      <alignment horizontal="left" vertical="top" indent="1"/>
    </xf>
    <xf numFmtId="0" fontId="1" fillId="29" borderId="0" xfId="0" applyFont="1" applyFill="1" applyBorder="1" applyAlignment="1">
      <alignment vertical="top" wrapText="1"/>
    </xf>
    <xf numFmtId="0" fontId="0" fillId="0" borderId="0" xfId="0" applyAlignment="1">
      <alignment horizontal="center"/>
    </xf>
    <xf numFmtId="165" fontId="17" fillId="10" borderId="4" xfId="0" applyNumberFormat="1" applyFont="1" applyFill="1" applyBorder="1" applyAlignment="1">
      <alignment horizontal="center"/>
    </xf>
    <xf numFmtId="165" fontId="17" fillId="10" borderId="3" xfId="0" applyNumberFormat="1" applyFont="1" applyFill="1" applyBorder="1" applyAlignment="1">
      <alignment horizontal="center"/>
    </xf>
    <xf numFmtId="0" fontId="17" fillId="10" borderId="8" xfId="2" applyNumberFormat="1" applyFont="1" applyFill="1" applyBorder="1" applyAlignment="1">
      <alignment horizontal="left" indent="1"/>
    </xf>
    <xf numFmtId="0" fontId="17" fillId="10" borderId="0" xfId="2" applyNumberFormat="1" applyFont="1" applyFill="1" applyBorder="1" applyAlignment="1">
      <alignment horizontal="left" indent="1"/>
    </xf>
    <xf numFmtId="0" fontId="17" fillId="10" borderId="9" xfId="2" applyNumberFormat="1" applyFont="1" applyFill="1" applyBorder="1" applyAlignment="1">
      <alignment horizontal="left" indent="1"/>
    </xf>
    <xf numFmtId="14" fontId="17" fillId="10" borderId="0" xfId="0" applyNumberFormat="1" applyFont="1" applyFill="1" applyBorder="1" applyAlignment="1">
      <alignment horizontal="left"/>
    </xf>
    <xf numFmtId="14" fontId="17" fillId="10" borderId="19" xfId="0" applyNumberFormat="1" applyFont="1" applyFill="1" applyBorder="1" applyAlignment="1">
      <alignment horizontal="left"/>
    </xf>
    <xf numFmtId="167" fontId="17" fillId="10" borderId="0" xfId="0" applyNumberFormat="1" applyFont="1" applyFill="1" applyBorder="1" applyAlignment="1">
      <alignment horizontal="left"/>
    </xf>
    <xf numFmtId="167" fontId="17" fillId="10" borderId="19" xfId="0" applyNumberFormat="1" applyFont="1" applyFill="1" applyBorder="1" applyAlignment="1">
      <alignment horizontal="left"/>
    </xf>
    <xf numFmtId="165" fontId="16" fillId="10" borderId="34" xfId="2" applyNumberFormat="1" applyFont="1" applyFill="1" applyBorder="1" applyAlignment="1">
      <alignment horizontal="center"/>
    </xf>
    <xf numFmtId="165" fontId="16" fillId="10" borderId="35" xfId="2" applyNumberFormat="1" applyFont="1" applyFill="1" applyBorder="1" applyAlignment="1">
      <alignment horizontal="center"/>
    </xf>
    <xf numFmtId="165" fontId="16" fillId="10" borderId="36" xfId="2" applyNumberFormat="1" applyFont="1" applyFill="1" applyBorder="1" applyAlignment="1">
      <alignment horizontal="center"/>
    </xf>
    <xf numFmtId="165" fontId="17" fillId="10" borderId="34" xfId="0" applyNumberFormat="1" applyFont="1" applyFill="1" applyBorder="1" applyAlignment="1">
      <alignment horizontal="center"/>
    </xf>
    <xf numFmtId="165" fontId="17" fillId="10" borderId="36" xfId="0" applyNumberFormat="1" applyFont="1" applyFill="1" applyBorder="1" applyAlignment="1">
      <alignment horizontal="center"/>
    </xf>
    <xf numFmtId="0" fontId="16" fillId="10" borderId="26" xfId="0" applyFont="1" applyFill="1" applyBorder="1"/>
    <xf numFmtId="0" fontId="16" fillId="10" borderId="0" xfId="0" applyFont="1" applyFill="1" applyBorder="1"/>
    <xf numFmtId="0" fontId="16" fillId="10" borderId="19" xfId="0" applyFont="1" applyFill="1" applyBorder="1"/>
    <xf numFmtId="0" fontId="17" fillId="10" borderId="15" xfId="0" applyFont="1" applyFill="1" applyBorder="1" applyAlignment="1">
      <alignment horizontal="center"/>
    </xf>
    <xf numFmtId="0" fontId="17" fillId="10" borderId="32" xfId="0" applyFont="1" applyFill="1" applyBorder="1" applyAlignment="1">
      <alignment horizontal="center"/>
    </xf>
    <xf numFmtId="0" fontId="17" fillId="10" borderId="33" xfId="0" applyFont="1" applyFill="1" applyBorder="1" applyAlignment="1">
      <alignment horizontal="center"/>
    </xf>
    <xf numFmtId="165" fontId="16" fillId="30" borderId="33" xfId="2" applyNumberFormat="1" applyFont="1" applyFill="1" applyBorder="1" applyAlignment="1">
      <alignment horizontal="center"/>
    </xf>
    <xf numFmtId="165" fontId="16" fillId="30" borderId="16" xfId="2" applyNumberFormat="1" applyFont="1" applyFill="1" applyBorder="1" applyAlignment="1">
      <alignment horizontal="center"/>
    </xf>
    <xf numFmtId="165" fontId="16" fillId="30" borderId="17" xfId="2" applyNumberFormat="1" applyFont="1" applyFill="1" applyBorder="1" applyAlignment="1">
      <alignment horizontal="center"/>
    </xf>
    <xf numFmtId="0" fontId="17" fillId="10" borderId="0" xfId="0" applyFont="1" applyFill="1" applyBorder="1"/>
    <xf numFmtId="0" fontId="17" fillId="10" borderId="19" xfId="0" applyFont="1" applyFill="1" applyBorder="1"/>
    <xf numFmtId="0" fontId="17" fillId="10" borderId="7" xfId="2" applyNumberFormat="1" applyFont="1" applyFill="1" applyBorder="1" applyAlignment="1">
      <alignment horizontal="left" indent="1"/>
    </xf>
    <xf numFmtId="0" fontId="17" fillId="10" borderId="5" xfId="2" applyNumberFormat="1" applyFont="1" applyFill="1" applyBorder="1" applyAlignment="1">
      <alignment horizontal="left" indent="1"/>
    </xf>
    <xf numFmtId="0" fontId="17" fillId="10" borderId="2" xfId="2" applyNumberFormat="1" applyFont="1" applyFill="1" applyBorder="1" applyAlignment="1">
      <alignment horizontal="left" indent="1"/>
    </xf>
    <xf numFmtId="0" fontId="11" fillId="27" borderId="15" xfId="0" applyFont="1" applyFill="1" applyBorder="1" applyAlignment="1">
      <alignment horizontal="center"/>
    </xf>
    <xf numFmtId="0" fontId="11" fillId="27" borderId="16" xfId="0" applyFont="1" applyFill="1" applyBorder="1" applyAlignment="1">
      <alignment horizontal="center"/>
    </xf>
    <xf numFmtId="0" fontId="11" fillId="27" borderId="17" xfId="0" applyFont="1" applyFill="1" applyBorder="1" applyAlignment="1">
      <alignment horizontal="center"/>
    </xf>
    <xf numFmtId="0" fontId="0" fillId="28" borderId="7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8" borderId="2" xfId="0" applyFill="1" applyBorder="1" applyAlignment="1">
      <alignment horizontal="center" vertical="center"/>
    </xf>
    <xf numFmtId="0" fontId="0" fillId="28" borderId="8" xfId="0" applyFill="1" applyBorder="1" applyAlignment="1">
      <alignment horizontal="center" vertical="center"/>
    </xf>
    <xf numFmtId="0" fontId="0" fillId="28" borderId="0" xfId="0" applyFill="1" applyBorder="1" applyAlignment="1">
      <alignment horizontal="center" vertical="center"/>
    </xf>
    <xf numFmtId="0" fontId="0" fillId="28" borderId="9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 wrapText="1"/>
    </xf>
    <xf numFmtId="0" fontId="0" fillId="14" borderId="5" xfId="0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0" fillId="14" borderId="0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21" fillId="28" borderId="0" xfId="0" applyFont="1" applyFill="1" applyBorder="1" applyAlignment="1">
      <alignment horizontal="center" vertical="center"/>
    </xf>
    <xf numFmtId="0" fontId="0" fillId="28" borderId="49" xfId="0" applyFill="1" applyBorder="1" applyAlignment="1">
      <alignment horizontal="center" vertical="center"/>
    </xf>
    <xf numFmtId="0" fontId="0" fillId="28" borderId="47" xfId="0" applyFill="1" applyBorder="1" applyAlignment="1">
      <alignment horizontal="center" vertical="center"/>
    </xf>
    <xf numFmtId="0" fontId="0" fillId="28" borderId="50" xfId="0" applyFill="1" applyBorder="1" applyAlignment="1">
      <alignment horizontal="center" vertical="center"/>
    </xf>
    <xf numFmtId="0" fontId="0" fillId="28" borderId="42" xfId="0" applyFill="1" applyBorder="1" applyAlignment="1">
      <alignment horizontal="center" vertical="center"/>
    </xf>
    <xf numFmtId="0" fontId="0" fillId="15" borderId="44" xfId="0" applyFill="1" applyBorder="1" applyAlignment="1">
      <alignment horizontal="center" vertical="center" wrapText="1"/>
    </xf>
    <xf numFmtId="0" fontId="0" fillId="15" borderId="0" xfId="0" applyFill="1" applyBorder="1" applyAlignment="1">
      <alignment horizontal="center" vertical="center" wrapText="1"/>
    </xf>
    <xf numFmtId="0" fontId="0" fillId="15" borderId="9" xfId="0" applyFill="1" applyBorder="1" applyAlignment="1">
      <alignment horizontal="center" vertical="center" wrapText="1"/>
    </xf>
    <xf numFmtId="0" fontId="0" fillId="15" borderId="8" xfId="0" applyFill="1" applyBorder="1" applyAlignment="1">
      <alignment horizontal="center" vertical="center" wrapText="1"/>
    </xf>
    <xf numFmtId="0" fontId="0" fillId="34" borderId="8" xfId="0" applyFill="1" applyBorder="1" applyAlignment="1">
      <alignment horizontal="center" vertical="center" wrapText="1"/>
    </xf>
    <xf numFmtId="0" fontId="0" fillId="34" borderId="0" xfId="0" applyFill="1" applyBorder="1" applyAlignment="1">
      <alignment horizontal="center" vertical="center" wrapText="1"/>
    </xf>
    <xf numFmtId="0" fontId="0" fillId="34" borderId="9" xfId="0" applyFill="1" applyBorder="1" applyAlignment="1">
      <alignment horizontal="center" vertical="center" wrapText="1"/>
    </xf>
    <xf numFmtId="0" fontId="0" fillId="14" borderId="42" xfId="0" applyFill="1" applyBorder="1" applyAlignment="1">
      <alignment horizontal="center" vertical="center" wrapText="1"/>
    </xf>
    <xf numFmtId="0" fontId="0" fillId="15" borderId="7" xfId="0" applyFill="1" applyBorder="1" applyAlignment="1">
      <alignment horizontal="center" vertical="center" wrapText="1"/>
    </xf>
    <xf numFmtId="0" fontId="0" fillId="15" borderId="5" xfId="0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 wrapText="1"/>
    </xf>
    <xf numFmtId="0" fontId="0" fillId="14" borderId="6" xfId="0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41" xfId="0" applyFill="1" applyBorder="1" applyAlignment="1">
      <alignment horizontal="center" vertical="center" wrapText="1"/>
    </xf>
    <xf numFmtId="0" fontId="0" fillId="15" borderId="6" xfId="0" applyFill="1" applyBorder="1" applyAlignment="1">
      <alignment horizontal="center"/>
    </xf>
    <xf numFmtId="0" fontId="0" fillId="15" borderId="3" xfId="0" applyFill="1" applyBorder="1" applyAlignment="1">
      <alignment horizontal="center"/>
    </xf>
    <xf numFmtId="0" fontId="0" fillId="15" borderId="43" xfId="0" applyFill="1" applyBorder="1" applyAlignment="1">
      <alignment horizontal="center" vertical="center" wrapText="1"/>
    </xf>
    <xf numFmtId="0" fontId="0" fillId="14" borderId="45" xfId="0" applyFill="1" applyBorder="1" applyAlignment="1">
      <alignment horizontal="center"/>
    </xf>
    <xf numFmtId="0" fontId="0" fillId="14" borderId="13" xfId="0" applyFill="1" applyBorder="1" applyAlignment="1">
      <alignment horizontal="center"/>
    </xf>
    <xf numFmtId="0" fontId="0" fillId="14" borderId="18" xfId="0" applyFill="1" applyBorder="1" applyAlignment="1">
      <alignment horizontal="center"/>
    </xf>
    <xf numFmtId="0" fontId="33" fillId="28" borderId="46" xfId="0" applyFont="1" applyFill="1" applyBorder="1" applyAlignment="1">
      <alignment horizontal="center" vertical="center"/>
    </xf>
    <xf numFmtId="0" fontId="33" fillId="28" borderId="47" xfId="0" applyFont="1" applyFill="1" applyBorder="1" applyAlignment="1">
      <alignment horizontal="center" vertical="center"/>
    </xf>
    <xf numFmtId="0" fontId="33" fillId="28" borderId="48" xfId="0" applyFont="1" applyFill="1" applyBorder="1" applyAlignment="1">
      <alignment horizontal="center" vertical="center"/>
    </xf>
    <xf numFmtId="0" fontId="33" fillId="28" borderId="44" xfId="0" applyFont="1" applyFill="1" applyBorder="1" applyAlignment="1">
      <alignment horizontal="center" vertical="center"/>
    </xf>
    <xf numFmtId="0" fontId="33" fillId="28" borderId="0" xfId="0" applyFont="1" applyFill="1" applyBorder="1" applyAlignment="1">
      <alignment horizontal="center" vertical="center"/>
    </xf>
    <xf numFmtId="0" fontId="33" fillId="28" borderId="9" xfId="0" applyFont="1" applyFill="1" applyBorder="1" applyAlignment="1">
      <alignment horizontal="center" vertical="center"/>
    </xf>
    <xf numFmtId="0" fontId="0" fillId="28" borderId="4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 wrapText="1"/>
    </xf>
    <xf numFmtId="0" fontId="0" fillId="16" borderId="5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0" fillId="16" borderId="8" xfId="0" applyFill="1" applyBorder="1" applyAlignment="1">
      <alignment horizontal="center" vertical="center" wrapText="1"/>
    </xf>
    <xf numFmtId="0" fontId="0" fillId="16" borderId="0" xfId="0" applyFill="1" applyBorder="1" applyAlignment="1">
      <alignment horizontal="center" vertical="center" wrapText="1"/>
    </xf>
    <xf numFmtId="0" fontId="0" fillId="16" borderId="9" xfId="0" applyFill="1" applyBorder="1" applyAlignment="1">
      <alignment horizontal="center" vertical="center" wrapText="1"/>
    </xf>
    <xf numFmtId="0" fontId="0" fillId="34" borderId="6" xfId="0" applyFill="1" applyBorder="1" applyAlignment="1">
      <alignment horizontal="center"/>
    </xf>
    <xf numFmtId="0" fontId="0" fillId="34" borderId="3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0" fillId="15" borderId="40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16" borderId="40" xfId="0" applyFill="1" applyBorder="1" applyAlignment="1">
      <alignment horizontal="center"/>
    </xf>
    <xf numFmtId="0" fontId="0" fillId="14" borderId="40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33" fillId="28" borderId="49" xfId="0" applyFont="1" applyFill="1" applyBorder="1" applyAlignment="1">
      <alignment horizontal="center" vertical="center"/>
    </xf>
    <xf numFmtId="0" fontId="33" fillId="28" borderId="8" xfId="0" applyFont="1" applyFill="1" applyBorder="1" applyAlignment="1">
      <alignment horizontal="center" vertical="center"/>
    </xf>
    <xf numFmtId="0" fontId="0" fillId="14" borderId="43" xfId="0" applyFill="1" applyBorder="1" applyAlignment="1">
      <alignment horizontal="center" vertical="center" wrapText="1"/>
    </xf>
    <xf numFmtId="0" fontId="0" fillId="14" borderId="44" xfId="0" applyFill="1" applyBorder="1" applyAlignment="1">
      <alignment horizontal="center" vertical="center" wrapText="1"/>
    </xf>
    <xf numFmtId="0" fontId="0" fillId="28" borderId="46" xfId="0" applyFill="1" applyBorder="1" applyAlignment="1">
      <alignment horizontal="center" vertical="center"/>
    </xf>
    <xf numFmtId="0" fontId="0" fillId="28" borderId="44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18" borderId="6" xfId="0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0" fontId="0" fillId="20" borderId="46" xfId="0" applyFill="1" applyBorder="1" applyAlignment="1">
      <alignment horizontal="center" vertical="center" wrapText="1"/>
    </xf>
    <xf numFmtId="0" fontId="0" fillId="20" borderId="47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 wrapText="1"/>
    </xf>
    <xf numFmtId="0" fontId="0" fillId="20" borderId="0" xfId="0" applyFill="1" applyBorder="1" applyAlignment="1">
      <alignment horizontal="center" vertical="center" wrapText="1"/>
    </xf>
    <xf numFmtId="0" fontId="0" fillId="20" borderId="9" xfId="0" applyFill="1" applyBorder="1" applyAlignment="1">
      <alignment horizontal="center" vertical="center" wrapText="1"/>
    </xf>
    <xf numFmtId="0" fontId="0" fillId="20" borderId="49" xfId="0" applyFill="1" applyBorder="1" applyAlignment="1">
      <alignment horizontal="center" vertical="center" wrapText="1"/>
    </xf>
    <xf numFmtId="0" fontId="0" fillId="20" borderId="8" xfId="0" applyFill="1" applyBorder="1" applyAlignment="1">
      <alignment horizontal="center" vertical="center" wrapText="1"/>
    </xf>
    <xf numFmtId="0" fontId="0" fillId="18" borderId="49" xfId="0" applyFill="1" applyBorder="1" applyAlignment="1">
      <alignment horizontal="center" vertical="center" wrapText="1"/>
    </xf>
    <xf numFmtId="0" fontId="0" fillId="18" borderId="47" xfId="0" applyFill="1" applyBorder="1" applyAlignment="1">
      <alignment horizontal="center" vertical="center" wrapText="1"/>
    </xf>
    <xf numFmtId="0" fontId="0" fillId="18" borderId="48" xfId="0" applyFill="1" applyBorder="1" applyAlignment="1">
      <alignment horizontal="center" vertical="center" wrapText="1"/>
    </xf>
    <xf numFmtId="0" fontId="0" fillId="18" borderId="8" xfId="0" applyFill="1" applyBorder="1" applyAlignment="1">
      <alignment horizontal="center" vertical="center" wrapText="1"/>
    </xf>
    <xf numFmtId="0" fontId="0" fillId="18" borderId="0" xfId="0" applyFill="1" applyBorder="1" applyAlignment="1">
      <alignment horizontal="center" vertical="center" wrapText="1"/>
    </xf>
    <xf numFmtId="0" fontId="0" fillId="18" borderId="9" xfId="0" applyFill="1" applyBorder="1" applyAlignment="1">
      <alignment horizontal="center" vertical="center" wrapText="1"/>
    </xf>
    <xf numFmtId="0" fontId="0" fillId="14" borderId="49" xfId="0" applyFill="1" applyBorder="1" applyAlignment="1">
      <alignment horizontal="center" vertical="center" wrapText="1"/>
    </xf>
    <xf numFmtId="0" fontId="0" fillId="14" borderId="47" xfId="0" applyFill="1" applyBorder="1" applyAlignment="1">
      <alignment horizontal="center" vertical="center" wrapText="1"/>
    </xf>
    <xf numFmtId="0" fontId="0" fillId="14" borderId="50" xfId="0" applyFill="1" applyBorder="1" applyAlignment="1">
      <alignment horizontal="center" vertical="center" wrapText="1"/>
    </xf>
    <xf numFmtId="0" fontId="0" fillId="20" borderId="43" xfId="0" applyFill="1" applyBorder="1" applyAlignment="1">
      <alignment horizontal="center" vertical="center" wrapText="1"/>
    </xf>
    <xf numFmtId="0" fontId="0" fillId="20" borderId="5" xfId="0" applyFill="1" applyBorder="1" applyAlignment="1">
      <alignment horizontal="center" vertical="center" wrapText="1"/>
    </xf>
    <xf numFmtId="0" fontId="0" fillId="20" borderId="2" xfId="0" applyFill="1" applyBorder="1" applyAlignment="1">
      <alignment horizontal="center" vertical="center" wrapText="1"/>
    </xf>
    <xf numFmtId="0" fontId="0" fillId="20" borderId="7" xfId="0" applyFill="1" applyBorder="1" applyAlignment="1">
      <alignment horizontal="center" vertical="center" wrapText="1"/>
    </xf>
    <xf numFmtId="0" fontId="0" fillId="18" borderId="7" xfId="0" applyFill="1" applyBorder="1" applyAlignment="1">
      <alignment horizontal="center" vertical="center" wrapText="1"/>
    </xf>
    <xf numFmtId="0" fontId="0" fillId="18" borderId="5" xfId="0" applyFill="1" applyBorder="1" applyAlignment="1">
      <alignment horizontal="center" vertical="center" wrapText="1"/>
    </xf>
    <xf numFmtId="0" fontId="0" fillId="18" borderId="2" xfId="0" applyFill="1" applyBorder="1" applyAlignment="1">
      <alignment horizontal="center" vertical="center" wrapText="1"/>
    </xf>
    <xf numFmtId="0" fontId="0" fillId="34" borderId="7" xfId="0" applyFill="1" applyBorder="1" applyAlignment="1">
      <alignment horizontal="center" vertical="center" wrapText="1"/>
    </xf>
    <xf numFmtId="0" fontId="0" fillId="34" borderId="5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 wrapText="1"/>
    </xf>
    <xf numFmtId="0" fontId="0" fillId="28" borderId="49" xfId="0" applyFont="1" applyFill="1" applyBorder="1" applyAlignment="1">
      <alignment horizontal="center" vertical="center"/>
    </xf>
    <xf numFmtId="0" fontId="0" fillId="28" borderId="47" xfId="0" applyFont="1" applyFill="1" applyBorder="1" applyAlignment="1">
      <alignment horizontal="center" vertical="center"/>
    </xf>
    <xf numFmtId="0" fontId="0" fillId="28" borderId="48" xfId="0" applyFont="1" applyFill="1" applyBorder="1" applyAlignment="1">
      <alignment horizontal="center" vertical="center"/>
    </xf>
    <xf numFmtId="0" fontId="0" fillId="28" borderId="8" xfId="0" applyFont="1" applyFill="1" applyBorder="1" applyAlignment="1">
      <alignment horizontal="center" vertical="center"/>
    </xf>
    <xf numFmtId="0" fontId="0" fillId="28" borderId="0" xfId="0" applyFont="1" applyFill="1" applyBorder="1" applyAlignment="1">
      <alignment horizontal="center" vertical="center"/>
    </xf>
    <xf numFmtId="0" fontId="0" fillId="28" borderId="9" xfId="0" applyFont="1" applyFill="1" applyBorder="1" applyAlignment="1">
      <alignment horizontal="center" vertical="center"/>
    </xf>
    <xf numFmtId="0" fontId="0" fillId="20" borderId="13" xfId="0" applyFill="1" applyBorder="1" applyAlignment="1">
      <alignment horizontal="center"/>
    </xf>
    <xf numFmtId="0" fontId="0" fillId="20" borderId="40" xfId="0" applyFill="1" applyBorder="1" applyAlignment="1">
      <alignment horizontal="center"/>
    </xf>
    <xf numFmtId="0" fontId="0" fillId="18" borderId="13" xfId="0" applyFill="1" applyBorder="1" applyAlignment="1">
      <alignment horizontal="center"/>
    </xf>
    <xf numFmtId="0" fontId="0" fillId="18" borderId="40" xfId="0" applyFill="1" applyBorder="1" applyAlignment="1">
      <alignment horizontal="center"/>
    </xf>
    <xf numFmtId="0" fontId="0" fillId="34" borderId="13" xfId="0" applyFill="1" applyBorder="1" applyAlignment="1">
      <alignment horizontal="center"/>
    </xf>
    <xf numFmtId="0" fontId="0" fillId="34" borderId="40" xfId="0" applyFill="1" applyBorder="1" applyAlignment="1">
      <alignment horizontal="center"/>
    </xf>
    <xf numFmtId="0" fontId="0" fillId="23" borderId="43" xfId="0" applyFill="1" applyBorder="1" applyAlignment="1">
      <alignment horizontal="center" vertical="center" wrapText="1"/>
    </xf>
    <xf numFmtId="0" fontId="0" fillId="23" borderId="5" xfId="0" applyFill="1" applyBorder="1" applyAlignment="1">
      <alignment horizontal="center" vertical="center" wrapText="1"/>
    </xf>
    <xf numFmtId="0" fontId="0" fillId="23" borderId="2" xfId="0" applyFill="1" applyBorder="1" applyAlignment="1">
      <alignment horizontal="center" vertical="center" wrapText="1"/>
    </xf>
    <xf numFmtId="0" fontId="0" fillId="23" borderId="44" xfId="0" applyFill="1" applyBorder="1" applyAlignment="1">
      <alignment horizontal="center" vertical="center" wrapText="1"/>
    </xf>
    <xf numFmtId="0" fontId="0" fillId="23" borderId="0" xfId="0" applyFill="1" applyBorder="1" applyAlignment="1">
      <alignment horizontal="center" vertical="center" wrapText="1"/>
    </xf>
    <xf numFmtId="0" fontId="0" fillId="23" borderId="9" xfId="0" applyFill="1" applyBorder="1" applyAlignment="1">
      <alignment horizontal="center" vertical="center" wrapText="1"/>
    </xf>
    <xf numFmtId="0" fontId="0" fillId="23" borderId="7" xfId="0" applyFill="1" applyBorder="1" applyAlignment="1">
      <alignment horizontal="center" vertical="center" wrapText="1"/>
    </xf>
    <xf numFmtId="0" fontId="0" fillId="23" borderId="8" xfId="0" applyFill="1" applyBorder="1" applyAlignment="1">
      <alignment horizontal="center" vertical="center" wrapText="1"/>
    </xf>
    <xf numFmtId="0" fontId="0" fillId="21" borderId="6" xfId="0" applyFill="1" applyBorder="1" applyAlignment="1">
      <alignment horizontal="center"/>
    </xf>
    <xf numFmtId="0" fontId="0" fillId="21" borderId="3" xfId="0" applyFill="1" applyBorder="1" applyAlignment="1">
      <alignment horizontal="center"/>
    </xf>
    <xf numFmtId="0" fontId="0" fillId="22" borderId="6" xfId="0" applyFill="1" applyBorder="1" applyAlignment="1">
      <alignment horizontal="center"/>
    </xf>
    <xf numFmtId="0" fontId="0" fillId="22" borderId="3" xfId="0" applyFill="1" applyBorder="1" applyAlignment="1">
      <alignment horizontal="center"/>
    </xf>
    <xf numFmtId="0" fontId="0" fillId="23" borderId="6" xfId="0" applyFill="1" applyBorder="1" applyAlignment="1">
      <alignment horizontal="center"/>
    </xf>
    <xf numFmtId="0" fontId="0" fillId="23" borderId="45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1" borderId="46" xfId="0" applyFill="1" applyBorder="1" applyAlignment="1">
      <alignment horizontal="center" vertical="center" wrapText="1"/>
    </xf>
    <xf numFmtId="0" fontId="0" fillId="21" borderId="47" xfId="0" applyFill="1" applyBorder="1" applyAlignment="1">
      <alignment horizontal="center" vertical="center" wrapText="1"/>
    </xf>
    <xf numFmtId="0" fontId="0" fillId="21" borderId="48" xfId="0" applyFill="1" applyBorder="1" applyAlignment="1">
      <alignment horizontal="center" vertical="center" wrapText="1"/>
    </xf>
    <xf numFmtId="0" fontId="0" fillId="21" borderId="44" xfId="0" applyFill="1" applyBorder="1" applyAlignment="1">
      <alignment horizontal="center" vertical="center" wrapText="1"/>
    </xf>
    <xf numFmtId="0" fontId="0" fillId="21" borderId="0" xfId="0" applyFill="1" applyBorder="1" applyAlignment="1">
      <alignment horizontal="center" vertical="center" wrapText="1"/>
    </xf>
    <xf numFmtId="0" fontId="0" fillId="21" borderId="9" xfId="0" applyFill="1" applyBorder="1" applyAlignment="1">
      <alignment horizontal="center" vertical="center" wrapText="1"/>
    </xf>
    <xf numFmtId="0" fontId="0" fillId="21" borderId="49" xfId="0" applyFill="1" applyBorder="1" applyAlignment="1">
      <alignment horizontal="center" vertical="center" wrapText="1"/>
    </xf>
    <xf numFmtId="0" fontId="0" fillId="21" borderId="8" xfId="0" applyFill="1" applyBorder="1" applyAlignment="1">
      <alignment horizontal="center" vertical="center" wrapText="1"/>
    </xf>
    <xf numFmtId="0" fontId="0" fillId="22" borderId="49" xfId="0" applyFill="1" applyBorder="1" applyAlignment="1">
      <alignment horizontal="center" vertical="center" wrapText="1"/>
    </xf>
    <xf numFmtId="0" fontId="0" fillId="22" borderId="47" xfId="0" applyFill="1" applyBorder="1" applyAlignment="1">
      <alignment horizontal="center" vertical="center" wrapText="1"/>
    </xf>
    <xf numFmtId="0" fontId="0" fillId="22" borderId="48" xfId="0" applyFill="1" applyBorder="1" applyAlignment="1">
      <alignment horizontal="center" vertical="center" wrapText="1"/>
    </xf>
    <xf numFmtId="0" fontId="0" fillId="22" borderId="8" xfId="0" applyFill="1" applyBorder="1" applyAlignment="1">
      <alignment horizontal="center"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22" borderId="9" xfId="0" applyFill="1" applyBorder="1" applyAlignment="1">
      <alignment horizontal="center" vertical="center" wrapText="1"/>
    </xf>
    <xf numFmtId="0" fontId="0" fillId="23" borderId="49" xfId="0" applyFill="1" applyBorder="1" applyAlignment="1">
      <alignment horizontal="center" vertical="center" wrapText="1"/>
    </xf>
    <xf numFmtId="0" fontId="0" fillId="23" borderId="47" xfId="0" applyFill="1" applyBorder="1" applyAlignment="1">
      <alignment horizontal="center" vertical="center" wrapText="1"/>
    </xf>
    <xf numFmtId="0" fontId="0" fillId="23" borderId="50" xfId="0" applyFill="1" applyBorder="1" applyAlignment="1">
      <alignment horizontal="center" vertical="center" wrapText="1"/>
    </xf>
    <xf numFmtId="0" fontId="0" fillId="23" borderId="42" xfId="0" applyFill="1" applyBorder="1" applyAlignment="1">
      <alignment horizontal="center" vertical="center" wrapText="1"/>
    </xf>
    <xf numFmtId="0" fontId="0" fillId="21" borderId="43" xfId="0" applyFill="1" applyBorder="1" applyAlignment="1">
      <alignment horizontal="center" vertical="center" wrapText="1"/>
    </xf>
    <xf numFmtId="0" fontId="0" fillId="21" borderId="5" xfId="0" applyFill="1" applyBorder="1" applyAlignment="1">
      <alignment horizontal="center" vertical="center" wrapText="1"/>
    </xf>
    <xf numFmtId="0" fontId="0" fillId="21" borderId="2" xfId="0" applyFill="1" applyBorder="1" applyAlignment="1">
      <alignment horizontal="center" vertical="center" wrapText="1"/>
    </xf>
    <xf numFmtId="0" fontId="0" fillId="21" borderId="7" xfId="0" applyFill="1" applyBorder="1" applyAlignment="1">
      <alignment horizontal="center" vertical="center" wrapText="1"/>
    </xf>
    <xf numFmtId="0" fontId="0" fillId="22" borderId="7" xfId="0" applyFill="1" applyBorder="1" applyAlignment="1">
      <alignment horizontal="center" vertical="center" wrapText="1"/>
    </xf>
    <xf numFmtId="0" fontId="0" fillId="22" borderId="5" xfId="0" applyFill="1" applyBorder="1" applyAlignment="1">
      <alignment horizontal="center" vertical="center" wrapText="1"/>
    </xf>
    <xf numFmtId="0" fontId="0" fillId="22" borderId="2" xfId="0" applyFill="1" applyBorder="1" applyAlignment="1">
      <alignment horizontal="center" vertical="center" wrapText="1"/>
    </xf>
    <xf numFmtId="0" fontId="0" fillId="23" borderId="41" xfId="0" applyFill="1" applyBorder="1" applyAlignment="1">
      <alignment horizontal="center" vertical="center" wrapText="1"/>
    </xf>
    <xf numFmtId="0" fontId="0" fillId="21" borderId="13" xfId="0" applyFill="1" applyBorder="1" applyAlignment="1">
      <alignment horizontal="center"/>
    </xf>
    <xf numFmtId="0" fontId="0" fillId="21" borderId="40" xfId="0" applyFill="1" applyBorder="1" applyAlignment="1">
      <alignment horizontal="center"/>
    </xf>
    <xf numFmtId="0" fontId="0" fillId="22" borderId="13" xfId="0" applyFill="1" applyBorder="1" applyAlignment="1">
      <alignment horizontal="center"/>
    </xf>
    <xf numFmtId="0" fontId="0" fillId="22" borderId="40" xfId="0" applyFill="1" applyBorder="1" applyAlignment="1">
      <alignment horizontal="center"/>
    </xf>
    <xf numFmtId="0" fontId="0" fillId="23" borderId="13" xfId="0" applyFill="1" applyBorder="1" applyAlignment="1">
      <alignment horizontal="center"/>
    </xf>
    <xf numFmtId="0" fontId="0" fillId="23" borderId="40" xfId="0" applyFill="1" applyBorder="1" applyAlignment="1">
      <alignment horizontal="center"/>
    </xf>
    <xf numFmtId="0" fontId="0" fillId="23" borderId="18" xfId="0" applyFill="1" applyBorder="1" applyAlignment="1">
      <alignment horizontal="center"/>
    </xf>
    <xf numFmtId="0" fontId="0" fillId="24" borderId="6" xfId="0" applyFill="1" applyBorder="1" applyAlignment="1">
      <alignment horizontal="center"/>
    </xf>
    <xf numFmtId="0" fontId="0" fillId="24" borderId="3" xfId="0" applyFill="1" applyBorder="1" applyAlignment="1">
      <alignment horizontal="center"/>
    </xf>
    <xf numFmtId="0" fontId="0" fillId="26" borderId="6" xfId="0" applyFill="1" applyBorder="1" applyAlignment="1">
      <alignment horizontal="center"/>
    </xf>
    <xf numFmtId="0" fontId="0" fillId="26" borderId="45" xfId="0" applyFill="1" applyBorder="1" applyAlignment="1">
      <alignment horizontal="center"/>
    </xf>
    <xf numFmtId="0" fontId="0" fillId="15" borderId="46" xfId="0" applyFill="1" applyBorder="1" applyAlignment="1">
      <alignment horizontal="center" vertical="center" wrapText="1"/>
    </xf>
    <xf numFmtId="0" fontId="0" fillId="15" borderId="47" xfId="0" applyFill="1" applyBorder="1" applyAlignment="1">
      <alignment horizontal="center" vertical="center" wrapText="1"/>
    </xf>
    <xf numFmtId="0" fontId="0" fillId="15" borderId="48" xfId="0" applyFill="1" applyBorder="1" applyAlignment="1">
      <alignment horizontal="center" vertical="center" wrapText="1"/>
    </xf>
    <xf numFmtId="0" fontId="0" fillId="15" borderId="49" xfId="0" applyFill="1" applyBorder="1" applyAlignment="1">
      <alignment horizontal="center" vertical="center" wrapText="1"/>
    </xf>
    <xf numFmtId="0" fontId="0" fillId="16" borderId="49" xfId="0" applyFill="1" applyBorder="1" applyAlignment="1">
      <alignment horizontal="center" vertical="center" wrapText="1"/>
    </xf>
    <xf numFmtId="0" fontId="0" fillId="16" borderId="47" xfId="0" applyFill="1" applyBorder="1" applyAlignment="1">
      <alignment horizontal="center" vertical="center" wrapText="1"/>
    </xf>
    <xf numFmtId="0" fontId="0" fillId="16" borderId="48" xfId="0" applyFill="1" applyBorder="1" applyAlignment="1">
      <alignment horizontal="center" vertical="center" wrapText="1"/>
    </xf>
    <xf numFmtId="0" fontId="0" fillId="24" borderId="49" xfId="0" applyFill="1" applyBorder="1" applyAlignment="1">
      <alignment horizontal="center" vertical="center" wrapText="1"/>
    </xf>
    <xf numFmtId="0" fontId="0" fillId="24" borderId="47" xfId="0" applyFill="1" applyBorder="1" applyAlignment="1">
      <alignment horizontal="center" vertical="center" wrapText="1"/>
    </xf>
    <xf numFmtId="0" fontId="0" fillId="24" borderId="48" xfId="0" applyFill="1" applyBorder="1" applyAlignment="1">
      <alignment horizontal="center" vertical="center" wrapText="1"/>
    </xf>
    <xf numFmtId="0" fontId="0" fillId="24" borderId="8" xfId="0" applyFill="1" applyBorder="1" applyAlignment="1">
      <alignment horizontal="center" vertical="center" wrapText="1"/>
    </xf>
    <xf numFmtId="0" fontId="0" fillId="24" borderId="0" xfId="0" applyFill="1" applyBorder="1" applyAlignment="1">
      <alignment horizontal="center" vertical="center" wrapText="1"/>
    </xf>
    <xf numFmtId="0" fontId="0" fillId="24" borderId="9" xfId="0" applyFill="1" applyBorder="1" applyAlignment="1">
      <alignment horizontal="center" vertical="center" wrapText="1"/>
    </xf>
    <xf numFmtId="0" fontId="0" fillId="26" borderId="49" xfId="0" applyFill="1" applyBorder="1" applyAlignment="1">
      <alignment horizontal="center" vertical="center" wrapText="1"/>
    </xf>
    <xf numFmtId="0" fontId="0" fillId="26" borderId="47" xfId="0" applyFill="1" applyBorder="1" applyAlignment="1">
      <alignment horizontal="center" vertical="center" wrapText="1"/>
    </xf>
    <xf numFmtId="0" fontId="0" fillId="26" borderId="50" xfId="0" applyFill="1" applyBorder="1" applyAlignment="1">
      <alignment horizontal="center" vertical="center" wrapText="1"/>
    </xf>
    <xf numFmtId="0" fontId="0" fillId="26" borderId="8" xfId="0" applyFill="1" applyBorder="1" applyAlignment="1">
      <alignment horizontal="center" vertical="center" wrapText="1"/>
    </xf>
    <xf numFmtId="0" fontId="0" fillId="26" borderId="0" xfId="0" applyFill="1" applyBorder="1" applyAlignment="1">
      <alignment horizontal="center" vertical="center" wrapText="1"/>
    </xf>
    <xf numFmtId="0" fontId="0" fillId="26" borderId="42" xfId="0" applyFill="1" applyBorder="1" applyAlignment="1">
      <alignment horizontal="center" vertical="center" wrapText="1"/>
    </xf>
    <xf numFmtId="0" fontId="0" fillId="24" borderId="7" xfId="0" applyFill="1" applyBorder="1" applyAlignment="1">
      <alignment horizontal="center" vertical="center" wrapText="1"/>
    </xf>
    <xf numFmtId="0" fontId="0" fillId="24" borderId="5" xfId="0" applyFill="1" applyBorder="1" applyAlignment="1">
      <alignment horizontal="center" vertical="center" wrapText="1"/>
    </xf>
    <xf numFmtId="0" fontId="0" fillId="24" borderId="2" xfId="0" applyFill="1" applyBorder="1" applyAlignment="1">
      <alignment horizontal="center" vertical="center" wrapText="1"/>
    </xf>
    <xf numFmtId="0" fontId="0" fillId="26" borderId="7" xfId="0" applyFill="1" applyBorder="1" applyAlignment="1">
      <alignment horizontal="center" vertical="center" wrapText="1"/>
    </xf>
    <xf numFmtId="0" fontId="0" fillId="26" borderId="5" xfId="0" applyFill="1" applyBorder="1" applyAlignment="1">
      <alignment horizontal="center" vertical="center" wrapText="1"/>
    </xf>
    <xf numFmtId="0" fontId="0" fillId="26" borderId="41" xfId="0" applyFill="1" applyBorder="1" applyAlignment="1">
      <alignment horizontal="center" vertical="center" wrapText="1"/>
    </xf>
    <xf numFmtId="0" fontId="0" fillId="25" borderId="7" xfId="0" applyFill="1" applyBorder="1" applyAlignment="1">
      <alignment horizontal="center" vertical="center" wrapText="1"/>
    </xf>
    <xf numFmtId="0" fontId="0" fillId="25" borderId="5" xfId="0" applyFill="1" applyBorder="1" applyAlignment="1">
      <alignment horizontal="center" vertical="center" wrapText="1"/>
    </xf>
    <xf numFmtId="0" fontId="0" fillId="25" borderId="2" xfId="0" applyFill="1" applyBorder="1" applyAlignment="1">
      <alignment horizontal="center" vertical="center" wrapText="1"/>
    </xf>
    <xf numFmtId="0" fontId="0" fillId="25" borderId="8" xfId="0" applyFill="1" applyBorder="1" applyAlignment="1">
      <alignment horizontal="center" vertical="center" wrapText="1"/>
    </xf>
    <xf numFmtId="0" fontId="0" fillId="25" borderId="0" xfId="0" applyFill="1" applyBorder="1" applyAlignment="1">
      <alignment horizontal="center" vertical="center" wrapText="1"/>
    </xf>
    <xf numFmtId="0" fontId="0" fillId="25" borderId="9" xfId="0" applyFill="1" applyBorder="1" applyAlignment="1">
      <alignment horizontal="center" vertical="center" wrapText="1"/>
    </xf>
    <xf numFmtId="0" fontId="0" fillId="25" borderId="6" xfId="0" applyFill="1" applyBorder="1" applyAlignment="1">
      <alignment horizontal="center"/>
    </xf>
    <xf numFmtId="0" fontId="0" fillId="25" borderId="3" xfId="0" applyFill="1" applyBorder="1" applyAlignment="1">
      <alignment horizontal="center"/>
    </xf>
    <xf numFmtId="0" fontId="0" fillId="34" borderId="41" xfId="0" applyFill="1" applyBorder="1" applyAlignment="1">
      <alignment horizontal="center" vertical="center" wrapText="1"/>
    </xf>
    <xf numFmtId="0" fontId="0" fillId="34" borderId="42" xfId="0" applyFill="1" applyBorder="1" applyAlignment="1">
      <alignment horizontal="center" vertical="center" wrapText="1"/>
    </xf>
    <xf numFmtId="0" fontId="0" fillId="25" borderId="13" xfId="0" applyFill="1" applyBorder="1" applyAlignment="1">
      <alignment horizontal="center"/>
    </xf>
    <xf numFmtId="0" fontId="0" fillId="25" borderId="40" xfId="0" applyFill="1" applyBorder="1" applyAlignment="1">
      <alignment horizontal="center"/>
    </xf>
    <xf numFmtId="0" fontId="0" fillId="34" borderId="18" xfId="0" applyFill="1" applyBorder="1" applyAlignment="1">
      <alignment horizontal="center"/>
    </xf>
    <xf numFmtId="0" fontId="0" fillId="17" borderId="6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46" xfId="0" applyFill="1" applyBorder="1" applyAlignment="1">
      <alignment horizontal="center" vertical="center" wrapText="1"/>
    </xf>
    <xf numFmtId="0" fontId="0" fillId="17" borderId="47" xfId="0" applyFill="1" applyBorder="1" applyAlignment="1">
      <alignment horizontal="center" vertical="center" wrapText="1"/>
    </xf>
    <xf numFmtId="0" fontId="0" fillId="17" borderId="48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0" xfId="0" applyFill="1" applyBorder="1" applyAlignment="1">
      <alignment horizontal="center" vertical="center" wrapText="1"/>
    </xf>
    <xf numFmtId="0" fontId="0" fillId="17" borderId="9" xfId="0" applyFill="1" applyBorder="1" applyAlignment="1">
      <alignment horizontal="center" vertical="center" wrapText="1"/>
    </xf>
    <xf numFmtId="0" fontId="0" fillId="17" borderId="49" xfId="0" applyFill="1" applyBorder="1" applyAlignment="1">
      <alignment horizontal="center" vertical="center" wrapText="1"/>
    </xf>
    <xf numFmtId="0" fontId="0" fillId="17" borderId="8" xfId="0" applyFill="1" applyBorder="1" applyAlignment="1">
      <alignment horizontal="center" vertical="center" wrapText="1"/>
    </xf>
    <xf numFmtId="0" fontId="0" fillId="14" borderId="48" xfId="0" applyFill="1" applyBorder="1" applyAlignment="1">
      <alignment horizontal="center" vertical="center" wrapText="1"/>
    </xf>
    <xf numFmtId="0" fontId="0" fillId="17" borderId="43" xfId="0" applyFill="1" applyBorder="1" applyAlignment="1">
      <alignment horizontal="center" vertical="center" wrapText="1"/>
    </xf>
    <xf numFmtId="0" fontId="0" fillId="17" borderId="5" xfId="0" applyFill="1" applyBorder="1" applyAlignment="1">
      <alignment horizontal="center" vertical="center" wrapText="1"/>
    </xf>
    <xf numFmtId="0" fontId="0" fillId="17" borderId="2" xfId="0" applyFill="1" applyBorder="1" applyAlignment="1">
      <alignment horizontal="center" vertical="center" wrapText="1"/>
    </xf>
    <xf numFmtId="0" fontId="0" fillId="17" borderId="7" xfId="0" applyFill="1" applyBorder="1" applyAlignment="1">
      <alignment horizontal="center" vertical="center" wrapText="1"/>
    </xf>
    <xf numFmtId="0" fontId="0" fillId="17" borderId="13" xfId="0" applyFill="1" applyBorder="1" applyAlignment="1">
      <alignment horizontal="center"/>
    </xf>
    <xf numFmtId="0" fontId="0" fillId="17" borderId="40" xfId="0" applyFill="1" applyBorder="1" applyAlignment="1">
      <alignment horizontal="center"/>
    </xf>
    <xf numFmtId="0" fontId="33" fillId="28" borderId="50" xfId="0" applyFont="1" applyFill="1" applyBorder="1" applyAlignment="1">
      <alignment horizontal="center" vertical="center"/>
    </xf>
    <xf numFmtId="0" fontId="33" fillId="28" borderId="42" xfId="0" applyFont="1" applyFill="1" applyBorder="1" applyAlignment="1">
      <alignment horizontal="center" vertical="center"/>
    </xf>
    <xf numFmtId="0" fontId="0" fillId="34" borderId="49" xfId="0" applyFill="1" applyBorder="1" applyAlignment="1">
      <alignment horizontal="center" vertical="center" wrapText="1"/>
    </xf>
    <xf numFmtId="0" fontId="0" fillId="34" borderId="47" xfId="0" applyFill="1" applyBorder="1" applyAlignment="1">
      <alignment horizontal="center" vertical="center" wrapText="1"/>
    </xf>
    <xf numFmtId="0" fontId="0" fillId="34" borderId="48" xfId="0" applyFill="1" applyBorder="1" applyAlignment="1">
      <alignment horizontal="center" vertical="center" wrapText="1"/>
    </xf>
    <xf numFmtId="0" fontId="50" fillId="35" borderId="0" xfId="0" applyFont="1" applyFill="1" applyBorder="1" applyAlignment="1">
      <alignment horizontal="center"/>
    </xf>
    <xf numFmtId="0" fontId="51" fillId="35" borderId="0" xfId="0" applyFont="1" applyFill="1" applyBorder="1" applyAlignment="1">
      <alignment horizontal="center" vertical="center" wrapText="1"/>
    </xf>
    <xf numFmtId="8" fontId="50" fillId="35" borderId="0" xfId="0" applyNumberFormat="1" applyFont="1" applyFill="1" applyBorder="1" applyAlignment="1">
      <alignment horizontal="center"/>
    </xf>
    <xf numFmtId="0" fontId="52" fillId="35" borderId="0" xfId="0" applyFont="1" applyFill="1" applyBorder="1" applyAlignment="1">
      <alignment horizontal="center" vertical="center" wrapText="1"/>
    </xf>
    <xf numFmtId="0" fontId="11" fillId="10" borderId="9" xfId="0" applyFont="1" applyFill="1" applyBorder="1" applyAlignment="1">
      <alignment horizontal="center" vertical="center" wrapText="1"/>
    </xf>
  </cellXfs>
  <cellStyles count="4">
    <cellStyle name="Lien hypertexte" xfId="1" builtinId="8"/>
    <cellStyle name="Monétaire" xfId="2" builtinId="4"/>
    <cellStyle name="Normal" xfId="0" builtinId="0"/>
    <cellStyle name="Pourcentage" xfId="3" builtinId="5"/>
  </cellStyles>
  <dxfs count="2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7" formatCode="#,##0.00\ &quot;€&quot;"/>
    </dxf>
    <dxf>
      <numFmt numFmtId="167" formatCode="#,##0.00\ &quot;€&quot;"/>
    </dxf>
    <dxf>
      <numFmt numFmtId="167" formatCode="#,##0.00\ &quot;€&quot;"/>
    </dxf>
    <dxf>
      <numFmt numFmtId="167" formatCode="#,##0.00\ &quot;€&quot;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.00\ [$€-40C]_-;\-* #,##0.00\ [$€-40C]_-;_-* &quot;-&quot;??\ [$€-40C]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22100"/>
      <color rgb="FF401E02"/>
      <color rgb="FFFFF4CC"/>
      <color rgb="FFFEFFC1"/>
      <color rgb="FFFFF3AB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381000</xdr:colOff>
          <xdr:row>0</xdr:row>
          <xdr:rowOff>127000</xdr:rowOff>
        </xdr:from>
        <xdr:to>
          <xdr:col>28</xdr:col>
          <xdr:colOff>508000</xdr:colOff>
          <xdr:row>2</xdr:row>
          <xdr:rowOff>88900</xdr:rowOff>
        </xdr:to>
        <xdr:sp macro="" textlink="">
          <xdr:nvSpPr>
            <xdr:cNvPr id="118785" name="Button 1" hidden="1">
              <a:extLst>
                <a:ext uri="{63B3BB69-23CF-44E3-9099-C40C66FF867C}">
                  <a14:compatExt spid="_x0000_s11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819150</xdr:colOff>
          <xdr:row>1</xdr:row>
          <xdr:rowOff>19050</xdr:rowOff>
        </xdr:from>
        <xdr:to>
          <xdr:col>0</xdr:col>
          <xdr:colOff>1409700</xdr:colOff>
          <xdr:row>2</xdr:row>
          <xdr:rowOff>114300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819150</xdr:colOff>
          <xdr:row>30</xdr:row>
          <xdr:rowOff>19050</xdr:rowOff>
        </xdr:from>
        <xdr:to>
          <xdr:col>0</xdr:col>
          <xdr:colOff>1409700</xdr:colOff>
          <xdr:row>31</xdr:row>
          <xdr:rowOff>114300</xdr:rowOff>
        </xdr:to>
        <xdr:sp macro="" textlink="">
          <xdr:nvSpPr>
            <xdr:cNvPr id="131093" name="Button 21" hidden="1">
              <a:extLst>
                <a:ext uri="{63B3BB69-23CF-44E3-9099-C40C66FF867C}">
                  <a14:compatExt spid="_x0000_s13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1009650</xdr:colOff>
          <xdr:row>1</xdr:row>
          <xdr:rowOff>107950</xdr:rowOff>
        </xdr:from>
        <xdr:to>
          <xdr:col>6</xdr:col>
          <xdr:colOff>1314450</xdr:colOff>
          <xdr:row>1</xdr:row>
          <xdr:rowOff>393700</xdr:rowOff>
        </xdr:to>
        <xdr:sp macro="" textlink="">
          <xdr:nvSpPr>
            <xdr:cNvPr id="158721" name="Check Box 1" hidden="1">
              <a:extLst>
                <a:ext uri="{63B3BB69-23CF-44E3-9099-C40C66FF867C}">
                  <a14:compatExt spid="_x0000_s158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914400</xdr:colOff>
          <xdr:row>1</xdr:row>
          <xdr:rowOff>107950</xdr:rowOff>
        </xdr:from>
        <xdr:to>
          <xdr:col>7</xdr:col>
          <xdr:colOff>1200150</xdr:colOff>
          <xdr:row>1</xdr:row>
          <xdr:rowOff>393700</xdr:rowOff>
        </xdr:to>
        <xdr:sp macro="" textlink="">
          <xdr:nvSpPr>
            <xdr:cNvPr id="158722" name="Check Box 2" hidden="1">
              <a:extLst>
                <a:ext uri="{63B3BB69-23CF-44E3-9099-C40C66FF867C}">
                  <a14:compatExt spid="_x0000_s158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</xdr:row>
          <xdr:rowOff>88900</xdr:rowOff>
        </xdr:from>
        <xdr:to>
          <xdr:col>9</xdr:col>
          <xdr:colOff>361950</xdr:colOff>
          <xdr:row>1</xdr:row>
          <xdr:rowOff>304800</xdr:rowOff>
        </xdr:to>
        <xdr:sp macro="" textlink="">
          <xdr:nvSpPr>
            <xdr:cNvPr id="140289" name="Check Box 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793750</xdr:colOff>
          <xdr:row>1</xdr:row>
          <xdr:rowOff>88900</xdr:rowOff>
        </xdr:from>
        <xdr:to>
          <xdr:col>10</xdr:col>
          <xdr:colOff>285750</xdr:colOff>
          <xdr:row>1</xdr:row>
          <xdr:rowOff>304800</xdr:rowOff>
        </xdr:to>
        <xdr:sp macro="" textlink="">
          <xdr:nvSpPr>
            <xdr:cNvPr id="140290" name="Check Box 2" hidden="1">
              <a:extLst>
                <a:ext uri="{63B3BB69-23CF-44E3-9099-C40C66FF867C}">
                  <a14:compatExt spid="_x0000_s140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82550</xdr:rowOff>
        </xdr:from>
        <xdr:to>
          <xdr:col>10</xdr:col>
          <xdr:colOff>425450</xdr:colOff>
          <xdr:row>8</xdr:row>
          <xdr:rowOff>69850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12700</xdr:rowOff>
        </xdr:from>
        <xdr:to>
          <xdr:col>10</xdr:col>
          <xdr:colOff>425450</xdr:colOff>
          <xdr:row>10</xdr:row>
          <xdr:rowOff>177800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50800</xdr:colOff>
          <xdr:row>0</xdr:row>
          <xdr:rowOff>31750</xdr:rowOff>
        </xdr:from>
        <xdr:to>
          <xdr:col>11</xdr:col>
          <xdr:colOff>12700</xdr:colOff>
          <xdr:row>0</xdr:row>
          <xdr:rowOff>400050</xdr:rowOff>
        </xdr:to>
        <xdr:sp macro="" textlink="">
          <xdr:nvSpPr>
            <xdr:cNvPr id="175105" name="Button 1" hidden="1">
              <a:extLst>
                <a:ext uri="{63B3BB69-23CF-44E3-9099-C40C66FF867C}">
                  <a14:compatExt spid="_x0000_s175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3</xdr:row>
          <xdr:rowOff>12700</xdr:rowOff>
        </xdr:from>
        <xdr:to>
          <xdr:col>0</xdr:col>
          <xdr:colOff>1670050</xdr:colOff>
          <xdr:row>4</xdr:row>
          <xdr:rowOff>184150</xdr:rowOff>
        </xdr:to>
        <xdr:sp macro="" textlink="">
          <xdr:nvSpPr>
            <xdr:cNvPr id="78864" name="Button 16" hidden="1">
              <a:extLst>
                <a:ext uri="{63B3BB69-23CF-44E3-9099-C40C66FF867C}">
                  <a14:compatExt spid="_x0000_s78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12700</xdr:rowOff>
        </xdr:from>
        <xdr:to>
          <xdr:col>0</xdr:col>
          <xdr:colOff>1657350</xdr:colOff>
          <xdr:row>8</xdr:row>
          <xdr:rowOff>0</xdr:rowOff>
        </xdr:to>
        <xdr:sp macro="" textlink="">
          <xdr:nvSpPr>
            <xdr:cNvPr id="78867" name="Button 19" hidden="1">
              <a:extLst>
                <a:ext uri="{63B3BB69-23CF-44E3-9099-C40C66FF867C}">
                  <a14:compatExt spid="_x0000_s78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tous les PDF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31750</xdr:colOff>
          <xdr:row>1</xdr:row>
          <xdr:rowOff>152400</xdr:rowOff>
        </xdr:from>
        <xdr:to>
          <xdr:col>48</xdr:col>
          <xdr:colOff>698500</xdr:colOff>
          <xdr:row>4</xdr:row>
          <xdr:rowOff>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146050</xdr:colOff>
          <xdr:row>5</xdr:row>
          <xdr:rowOff>38100</xdr:rowOff>
        </xdr:from>
        <xdr:to>
          <xdr:col>48</xdr:col>
          <xdr:colOff>666750</xdr:colOff>
          <xdr:row>7</xdr:row>
          <xdr:rowOff>50800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50800</xdr:colOff>
          <xdr:row>8</xdr:row>
          <xdr:rowOff>95250</xdr:rowOff>
        </xdr:from>
        <xdr:to>
          <xdr:col>48</xdr:col>
          <xdr:colOff>622300</xdr:colOff>
          <xdr:row>11</xdr:row>
          <xdr:rowOff>31750</xdr:rowOff>
        </xdr:to>
        <xdr:sp macro="" textlink="">
          <xdr:nvSpPr>
            <xdr:cNvPr id="69642" name="cbCaisseSimulateur" hidden="1">
              <a:extLst>
                <a:ext uri="{63B3BB69-23CF-44E3-9099-C40C66FF867C}">
                  <a14:compatExt spid="_x0000_s69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171450</xdr:rowOff>
        </xdr:from>
        <xdr:to>
          <xdr:col>2</xdr:col>
          <xdr:colOff>31750</xdr:colOff>
          <xdr:row>9</xdr:row>
          <xdr:rowOff>184150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Recopier 1ère étiquette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133350</xdr:colOff>
          <xdr:row>1</xdr:row>
          <xdr:rowOff>184150</xdr:rowOff>
        </xdr:from>
        <xdr:to>
          <xdr:col>84</xdr:col>
          <xdr:colOff>266700</xdr:colOff>
          <xdr:row>2</xdr:row>
          <xdr:rowOff>203200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Recopier Modèle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222250</xdr:colOff>
          <xdr:row>3</xdr:row>
          <xdr:rowOff>203200</xdr:rowOff>
        </xdr:from>
        <xdr:to>
          <xdr:col>2</xdr:col>
          <xdr:colOff>12700</xdr:colOff>
          <xdr:row>5</xdr:row>
          <xdr:rowOff>171450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0</xdr:rowOff>
        </xdr:from>
        <xdr:to>
          <xdr:col>2</xdr:col>
          <xdr:colOff>19050</xdr:colOff>
          <xdr:row>3</xdr:row>
          <xdr:rowOff>12700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 produits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35699</xdr:colOff>
      <xdr:row>1</xdr:row>
      <xdr:rowOff>170489</xdr:rowOff>
    </xdr:from>
    <xdr:to>
      <xdr:col>21</xdr:col>
      <xdr:colOff>10886</xdr:colOff>
      <xdr:row>8</xdr:row>
      <xdr:rowOff>24813</xdr:rowOff>
    </xdr:to>
    <xdr:grpSp>
      <xdr:nvGrpSpPr>
        <xdr:cNvPr id="27" name="Groupe 26"/>
        <xdr:cNvGrpSpPr/>
      </xdr:nvGrpSpPr>
      <xdr:grpSpPr>
        <a:xfrm>
          <a:off x="2584770" y="370060"/>
          <a:ext cx="3313473" cy="1314824"/>
          <a:chOff x="2435154" y="353951"/>
          <a:chExt cx="3135329" cy="1325772"/>
        </a:xfrm>
      </xdr:grpSpPr>
      <xdr:grpSp>
        <xdr:nvGrpSpPr>
          <xdr:cNvPr id="26" name="Groupe 25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3" name="Connecteur droit 2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Connecteur droit 8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Connecteur droit 9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" name="Connecteur droit 10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" name="Ellipse 4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" name="Ellipse 30"/>
          <xdr:cNvSpPr/>
        </xdr:nvSpPr>
        <xdr:spPr>
          <a:xfrm>
            <a:off x="2495386" y="391142"/>
            <a:ext cx="3003658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23</xdr:col>
      <xdr:colOff>30443</xdr:colOff>
      <xdr:row>1</xdr:row>
      <xdr:rowOff>170489</xdr:rowOff>
    </xdr:from>
    <xdr:to>
      <xdr:col>39</xdr:col>
      <xdr:colOff>5630</xdr:colOff>
      <xdr:row>8</xdr:row>
      <xdr:rowOff>24813</xdr:rowOff>
    </xdr:to>
    <xdr:grpSp>
      <xdr:nvGrpSpPr>
        <xdr:cNvPr id="34" name="Groupe 33"/>
        <xdr:cNvGrpSpPr/>
      </xdr:nvGrpSpPr>
      <xdr:grpSpPr>
        <a:xfrm>
          <a:off x="6335086" y="370060"/>
          <a:ext cx="3313473" cy="1314824"/>
          <a:chOff x="2435154" y="353951"/>
          <a:chExt cx="3135329" cy="1325772"/>
        </a:xfrm>
      </xdr:grpSpPr>
      <xdr:grpSp>
        <xdr:nvGrpSpPr>
          <xdr:cNvPr id="35" name="Groupe 34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38" name="Connecteur droit 37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" name="Connecteur droit 38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0" name="Connecteur droit 39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1" name="Connecteur droit 40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" name="Ellipse 35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7" name="Ellipse 36"/>
          <xdr:cNvSpPr/>
        </xdr:nvSpPr>
        <xdr:spPr>
          <a:xfrm>
            <a:off x="2495386" y="391142"/>
            <a:ext cx="3003659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41</xdr:col>
      <xdr:colOff>38326</xdr:colOff>
      <xdr:row>1</xdr:row>
      <xdr:rowOff>199393</xdr:rowOff>
    </xdr:from>
    <xdr:to>
      <xdr:col>57</xdr:col>
      <xdr:colOff>13513</xdr:colOff>
      <xdr:row>8</xdr:row>
      <xdr:rowOff>53717</xdr:rowOff>
    </xdr:to>
    <xdr:grpSp>
      <xdr:nvGrpSpPr>
        <xdr:cNvPr id="42" name="Groupe 41"/>
        <xdr:cNvGrpSpPr/>
      </xdr:nvGrpSpPr>
      <xdr:grpSpPr>
        <a:xfrm>
          <a:off x="10098540" y="398964"/>
          <a:ext cx="3313473" cy="1314824"/>
          <a:chOff x="2435154" y="353951"/>
          <a:chExt cx="3135329" cy="1325772"/>
        </a:xfrm>
      </xdr:grpSpPr>
      <xdr:grpSp>
        <xdr:nvGrpSpPr>
          <xdr:cNvPr id="43" name="Groupe 42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46" name="Connecteur droit 45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" name="Connecteur droit 46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" name="Connecteur droit 47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" name="Connecteur droit 48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4" name="Ellipse 43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5" name="Ellipse 44"/>
          <xdr:cNvSpPr/>
        </xdr:nvSpPr>
        <xdr:spPr>
          <a:xfrm>
            <a:off x="2495386" y="391142"/>
            <a:ext cx="3003659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62</xdr:col>
      <xdr:colOff>27215</xdr:colOff>
      <xdr:row>1</xdr:row>
      <xdr:rowOff>152638</xdr:rowOff>
    </xdr:from>
    <xdr:to>
      <xdr:col>78</xdr:col>
      <xdr:colOff>2402</xdr:colOff>
      <xdr:row>8</xdr:row>
      <xdr:rowOff>4004</xdr:rowOff>
    </xdr:to>
    <xdr:grpSp>
      <xdr:nvGrpSpPr>
        <xdr:cNvPr id="675" name="Groupe 674"/>
        <xdr:cNvGrpSpPr/>
      </xdr:nvGrpSpPr>
      <xdr:grpSpPr>
        <a:xfrm>
          <a:off x="14695715" y="352209"/>
          <a:ext cx="3313473" cy="1311866"/>
          <a:chOff x="2435154" y="353951"/>
          <a:chExt cx="3135329" cy="1325772"/>
        </a:xfrm>
      </xdr:grpSpPr>
      <xdr:grpSp>
        <xdr:nvGrpSpPr>
          <xdr:cNvPr id="676" name="Groupe 675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679" name="Connecteur droit 678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0" name="Connecteur droit 679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1" name="Connecteur droit 680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2" name="Connecteur droit 681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77" name="Ellipse 676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78" name="Ellipse 677"/>
          <xdr:cNvSpPr/>
        </xdr:nvSpPr>
        <xdr:spPr>
          <a:xfrm>
            <a:off x="2495386" y="391142"/>
            <a:ext cx="3003658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5</xdr:col>
      <xdr:colOff>35699</xdr:colOff>
      <xdr:row>9</xdr:row>
      <xdr:rowOff>170489</xdr:rowOff>
    </xdr:from>
    <xdr:to>
      <xdr:col>21</xdr:col>
      <xdr:colOff>10886</xdr:colOff>
      <xdr:row>16</xdr:row>
      <xdr:rowOff>24813</xdr:rowOff>
    </xdr:to>
    <xdr:grpSp>
      <xdr:nvGrpSpPr>
        <xdr:cNvPr id="683" name="Groupe 682"/>
        <xdr:cNvGrpSpPr/>
      </xdr:nvGrpSpPr>
      <xdr:grpSpPr>
        <a:xfrm>
          <a:off x="2584770" y="2039203"/>
          <a:ext cx="3313473" cy="1314824"/>
          <a:chOff x="2435154" y="353951"/>
          <a:chExt cx="3135329" cy="1325772"/>
        </a:xfrm>
      </xdr:grpSpPr>
      <xdr:grpSp>
        <xdr:nvGrpSpPr>
          <xdr:cNvPr id="684" name="Groupe 683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687" name="Connecteur droit 686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8" name="Connecteur droit 687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9" name="Connecteur droit 688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0" name="Connecteur droit 689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85" name="Ellipse 684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86" name="Ellipse 685"/>
          <xdr:cNvSpPr/>
        </xdr:nvSpPr>
        <xdr:spPr>
          <a:xfrm>
            <a:off x="2495386" y="391142"/>
            <a:ext cx="3003658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23</xdr:col>
      <xdr:colOff>30443</xdr:colOff>
      <xdr:row>9</xdr:row>
      <xdr:rowOff>170489</xdr:rowOff>
    </xdr:from>
    <xdr:to>
      <xdr:col>39</xdr:col>
      <xdr:colOff>5630</xdr:colOff>
      <xdr:row>16</xdr:row>
      <xdr:rowOff>24813</xdr:rowOff>
    </xdr:to>
    <xdr:grpSp>
      <xdr:nvGrpSpPr>
        <xdr:cNvPr id="691" name="Groupe 690"/>
        <xdr:cNvGrpSpPr/>
      </xdr:nvGrpSpPr>
      <xdr:grpSpPr>
        <a:xfrm>
          <a:off x="6335086" y="2039203"/>
          <a:ext cx="3313473" cy="1314824"/>
          <a:chOff x="2435154" y="353951"/>
          <a:chExt cx="3135329" cy="1325772"/>
        </a:xfrm>
      </xdr:grpSpPr>
      <xdr:grpSp>
        <xdr:nvGrpSpPr>
          <xdr:cNvPr id="692" name="Groupe 691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695" name="Connecteur droit 694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6" name="Connecteur droit 695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7" name="Connecteur droit 696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8" name="Connecteur droit 697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93" name="Ellipse 692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94" name="Ellipse 693"/>
          <xdr:cNvSpPr/>
        </xdr:nvSpPr>
        <xdr:spPr>
          <a:xfrm>
            <a:off x="2495386" y="391142"/>
            <a:ext cx="3003659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41</xdr:col>
      <xdr:colOff>38326</xdr:colOff>
      <xdr:row>9</xdr:row>
      <xdr:rowOff>199393</xdr:rowOff>
    </xdr:from>
    <xdr:to>
      <xdr:col>57</xdr:col>
      <xdr:colOff>13513</xdr:colOff>
      <xdr:row>16</xdr:row>
      <xdr:rowOff>53717</xdr:rowOff>
    </xdr:to>
    <xdr:grpSp>
      <xdr:nvGrpSpPr>
        <xdr:cNvPr id="699" name="Groupe 698"/>
        <xdr:cNvGrpSpPr/>
      </xdr:nvGrpSpPr>
      <xdr:grpSpPr>
        <a:xfrm>
          <a:off x="10098540" y="2068107"/>
          <a:ext cx="3313473" cy="1314824"/>
          <a:chOff x="2435154" y="353951"/>
          <a:chExt cx="3135329" cy="1325772"/>
        </a:xfrm>
      </xdr:grpSpPr>
      <xdr:grpSp>
        <xdr:nvGrpSpPr>
          <xdr:cNvPr id="700" name="Groupe 699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703" name="Connecteur droit 702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4" name="Connecteur droit 703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5" name="Connecteur droit 704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6" name="Connecteur droit 705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01" name="Ellipse 700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02" name="Ellipse 701"/>
          <xdr:cNvSpPr/>
        </xdr:nvSpPr>
        <xdr:spPr>
          <a:xfrm>
            <a:off x="2495386" y="391142"/>
            <a:ext cx="3003659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5</xdr:col>
      <xdr:colOff>35699</xdr:colOff>
      <xdr:row>17</xdr:row>
      <xdr:rowOff>170489</xdr:rowOff>
    </xdr:from>
    <xdr:to>
      <xdr:col>21</xdr:col>
      <xdr:colOff>10886</xdr:colOff>
      <xdr:row>24</xdr:row>
      <xdr:rowOff>24813</xdr:rowOff>
    </xdr:to>
    <xdr:grpSp>
      <xdr:nvGrpSpPr>
        <xdr:cNvPr id="707" name="Groupe 706"/>
        <xdr:cNvGrpSpPr/>
      </xdr:nvGrpSpPr>
      <xdr:grpSpPr>
        <a:xfrm>
          <a:off x="2584770" y="3708346"/>
          <a:ext cx="3313473" cy="1314824"/>
          <a:chOff x="2435154" y="353951"/>
          <a:chExt cx="3135329" cy="1325772"/>
        </a:xfrm>
      </xdr:grpSpPr>
      <xdr:grpSp>
        <xdr:nvGrpSpPr>
          <xdr:cNvPr id="708" name="Groupe 707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711" name="Connecteur droit 710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2" name="Connecteur droit 711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3" name="Connecteur droit 712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14" name="Connecteur droit 713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09" name="Ellipse 708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10" name="Ellipse 709"/>
          <xdr:cNvSpPr/>
        </xdr:nvSpPr>
        <xdr:spPr>
          <a:xfrm>
            <a:off x="2495386" y="391142"/>
            <a:ext cx="3003658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23</xdr:col>
      <xdr:colOff>30443</xdr:colOff>
      <xdr:row>17</xdr:row>
      <xdr:rowOff>170489</xdr:rowOff>
    </xdr:from>
    <xdr:to>
      <xdr:col>39</xdr:col>
      <xdr:colOff>5630</xdr:colOff>
      <xdr:row>24</xdr:row>
      <xdr:rowOff>24813</xdr:rowOff>
    </xdr:to>
    <xdr:grpSp>
      <xdr:nvGrpSpPr>
        <xdr:cNvPr id="715" name="Groupe 714"/>
        <xdr:cNvGrpSpPr/>
      </xdr:nvGrpSpPr>
      <xdr:grpSpPr>
        <a:xfrm>
          <a:off x="6335086" y="3708346"/>
          <a:ext cx="3313473" cy="1314824"/>
          <a:chOff x="2435154" y="353951"/>
          <a:chExt cx="3135329" cy="1325772"/>
        </a:xfrm>
      </xdr:grpSpPr>
      <xdr:grpSp>
        <xdr:nvGrpSpPr>
          <xdr:cNvPr id="716" name="Groupe 715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719" name="Connecteur droit 718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20" name="Connecteur droit 719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21" name="Connecteur droit 720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22" name="Connecteur droit 721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17" name="Ellipse 716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18" name="Ellipse 717"/>
          <xdr:cNvSpPr/>
        </xdr:nvSpPr>
        <xdr:spPr>
          <a:xfrm>
            <a:off x="2495386" y="391142"/>
            <a:ext cx="3003659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41</xdr:col>
      <xdr:colOff>38326</xdr:colOff>
      <xdr:row>17</xdr:row>
      <xdr:rowOff>199393</xdr:rowOff>
    </xdr:from>
    <xdr:to>
      <xdr:col>57</xdr:col>
      <xdr:colOff>13513</xdr:colOff>
      <xdr:row>24</xdr:row>
      <xdr:rowOff>53717</xdr:rowOff>
    </xdr:to>
    <xdr:grpSp>
      <xdr:nvGrpSpPr>
        <xdr:cNvPr id="723" name="Groupe 722"/>
        <xdr:cNvGrpSpPr/>
      </xdr:nvGrpSpPr>
      <xdr:grpSpPr>
        <a:xfrm>
          <a:off x="10098540" y="3737250"/>
          <a:ext cx="3313473" cy="1314824"/>
          <a:chOff x="2435154" y="353951"/>
          <a:chExt cx="3135329" cy="1325772"/>
        </a:xfrm>
      </xdr:grpSpPr>
      <xdr:grpSp>
        <xdr:nvGrpSpPr>
          <xdr:cNvPr id="724" name="Groupe 723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727" name="Connecteur droit 726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28" name="Connecteur droit 727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29" name="Connecteur droit 728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0" name="Connecteur droit 729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5" name="Ellipse 724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26" name="Ellipse 725"/>
          <xdr:cNvSpPr/>
        </xdr:nvSpPr>
        <xdr:spPr>
          <a:xfrm>
            <a:off x="2495386" y="391142"/>
            <a:ext cx="3003659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5</xdr:col>
      <xdr:colOff>35699</xdr:colOff>
      <xdr:row>25</xdr:row>
      <xdr:rowOff>170489</xdr:rowOff>
    </xdr:from>
    <xdr:to>
      <xdr:col>21</xdr:col>
      <xdr:colOff>10886</xdr:colOff>
      <xdr:row>32</xdr:row>
      <xdr:rowOff>24813</xdr:rowOff>
    </xdr:to>
    <xdr:grpSp>
      <xdr:nvGrpSpPr>
        <xdr:cNvPr id="731" name="Groupe 730"/>
        <xdr:cNvGrpSpPr/>
      </xdr:nvGrpSpPr>
      <xdr:grpSpPr>
        <a:xfrm>
          <a:off x="2584770" y="5377489"/>
          <a:ext cx="3313473" cy="1314824"/>
          <a:chOff x="2435154" y="353951"/>
          <a:chExt cx="3135329" cy="1325772"/>
        </a:xfrm>
      </xdr:grpSpPr>
      <xdr:grpSp>
        <xdr:nvGrpSpPr>
          <xdr:cNvPr id="732" name="Groupe 731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735" name="Connecteur droit 734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6" name="Connecteur droit 735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7" name="Connecteur droit 736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38" name="Connecteur droit 737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33" name="Ellipse 732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34" name="Ellipse 733"/>
          <xdr:cNvSpPr/>
        </xdr:nvSpPr>
        <xdr:spPr>
          <a:xfrm>
            <a:off x="2495386" y="391142"/>
            <a:ext cx="3003658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23</xdr:col>
      <xdr:colOff>30443</xdr:colOff>
      <xdr:row>25</xdr:row>
      <xdr:rowOff>170489</xdr:rowOff>
    </xdr:from>
    <xdr:to>
      <xdr:col>39</xdr:col>
      <xdr:colOff>5630</xdr:colOff>
      <xdr:row>32</xdr:row>
      <xdr:rowOff>24813</xdr:rowOff>
    </xdr:to>
    <xdr:grpSp>
      <xdr:nvGrpSpPr>
        <xdr:cNvPr id="739" name="Groupe 738"/>
        <xdr:cNvGrpSpPr/>
      </xdr:nvGrpSpPr>
      <xdr:grpSpPr>
        <a:xfrm>
          <a:off x="6335086" y="5377489"/>
          <a:ext cx="3313473" cy="1314824"/>
          <a:chOff x="2435154" y="353951"/>
          <a:chExt cx="3135329" cy="1325772"/>
        </a:xfrm>
      </xdr:grpSpPr>
      <xdr:grpSp>
        <xdr:nvGrpSpPr>
          <xdr:cNvPr id="740" name="Groupe 739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743" name="Connecteur droit 742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4" name="Connecteur droit 743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5" name="Connecteur droit 744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6" name="Connecteur droit 745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41" name="Ellipse 740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42" name="Ellipse 741"/>
          <xdr:cNvSpPr/>
        </xdr:nvSpPr>
        <xdr:spPr>
          <a:xfrm>
            <a:off x="2495386" y="391142"/>
            <a:ext cx="3003659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41</xdr:col>
      <xdr:colOff>38326</xdr:colOff>
      <xdr:row>25</xdr:row>
      <xdr:rowOff>199393</xdr:rowOff>
    </xdr:from>
    <xdr:to>
      <xdr:col>57</xdr:col>
      <xdr:colOff>13513</xdr:colOff>
      <xdr:row>32</xdr:row>
      <xdr:rowOff>53717</xdr:rowOff>
    </xdr:to>
    <xdr:grpSp>
      <xdr:nvGrpSpPr>
        <xdr:cNvPr id="747" name="Groupe 746"/>
        <xdr:cNvGrpSpPr/>
      </xdr:nvGrpSpPr>
      <xdr:grpSpPr>
        <a:xfrm>
          <a:off x="10098540" y="5406393"/>
          <a:ext cx="3313473" cy="1314824"/>
          <a:chOff x="2435154" y="353951"/>
          <a:chExt cx="3135329" cy="1325772"/>
        </a:xfrm>
      </xdr:grpSpPr>
      <xdr:grpSp>
        <xdr:nvGrpSpPr>
          <xdr:cNvPr id="748" name="Groupe 747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751" name="Connecteur droit 750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2" name="Connecteur droit 751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3" name="Connecteur droit 752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4" name="Connecteur droit 753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49" name="Ellipse 748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50" name="Ellipse 749"/>
          <xdr:cNvSpPr/>
        </xdr:nvSpPr>
        <xdr:spPr>
          <a:xfrm>
            <a:off x="2495386" y="391142"/>
            <a:ext cx="3003659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5</xdr:col>
      <xdr:colOff>35699</xdr:colOff>
      <xdr:row>33</xdr:row>
      <xdr:rowOff>170489</xdr:rowOff>
    </xdr:from>
    <xdr:to>
      <xdr:col>21</xdr:col>
      <xdr:colOff>10886</xdr:colOff>
      <xdr:row>40</xdr:row>
      <xdr:rowOff>24813</xdr:rowOff>
    </xdr:to>
    <xdr:grpSp>
      <xdr:nvGrpSpPr>
        <xdr:cNvPr id="755" name="Groupe 754"/>
        <xdr:cNvGrpSpPr/>
      </xdr:nvGrpSpPr>
      <xdr:grpSpPr>
        <a:xfrm>
          <a:off x="2584770" y="7046632"/>
          <a:ext cx="3313473" cy="1314824"/>
          <a:chOff x="2435154" y="353951"/>
          <a:chExt cx="3135329" cy="1325772"/>
        </a:xfrm>
      </xdr:grpSpPr>
      <xdr:grpSp>
        <xdr:nvGrpSpPr>
          <xdr:cNvPr id="756" name="Groupe 755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759" name="Connecteur droit 758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60" name="Connecteur droit 759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61" name="Connecteur droit 760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62" name="Connecteur droit 761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57" name="Ellipse 756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58" name="Ellipse 757"/>
          <xdr:cNvSpPr/>
        </xdr:nvSpPr>
        <xdr:spPr>
          <a:xfrm>
            <a:off x="2495386" y="391142"/>
            <a:ext cx="3003658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23</xdr:col>
      <xdr:colOff>30443</xdr:colOff>
      <xdr:row>33</xdr:row>
      <xdr:rowOff>170489</xdr:rowOff>
    </xdr:from>
    <xdr:to>
      <xdr:col>39</xdr:col>
      <xdr:colOff>5630</xdr:colOff>
      <xdr:row>40</xdr:row>
      <xdr:rowOff>24813</xdr:rowOff>
    </xdr:to>
    <xdr:grpSp>
      <xdr:nvGrpSpPr>
        <xdr:cNvPr id="763" name="Groupe 762"/>
        <xdr:cNvGrpSpPr/>
      </xdr:nvGrpSpPr>
      <xdr:grpSpPr>
        <a:xfrm>
          <a:off x="6335086" y="7046632"/>
          <a:ext cx="3313473" cy="1314824"/>
          <a:chOff x="2435154" y="353951"/>
          <a:chExt cx="3135329" cy="1325772"/>
        </a:xfrm>
      </xdr:grpSpPr>
      <xdr:grpSp>
        <xdr:nvGrpSpPr>
          <xdr:cNvPr id="764" name="Groupe 763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767" name="Connecteur droit 766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68" name="Connecteur droit 767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69" name="Connecteur droit 768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70" name="Connecteur droit 769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65" name="Ellipse 764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66" name="Ellipse 765"/>
          <xdr:cNvSpPr/>
        </xdr:nvSpPr>
        <xdr:spPr>
          <a:xfrm>
            <a:off x="2495386" y="391142"/>
            <a:ext cx="3003659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41</xdr:col>
      <xdr:colOff>38326</xdr:colOff>
      <xdr:row>33</xdr:row>
      <xdr:rowOff>199393</xdr:rowOff>
    </xdr:from>
    <xdr:to>
      <xdr:col>57</xdr:col>
      <xdr:colOff>13513</xdr:colOff>
      <xdr:row>40</xdr:row>
      <xdr:rowOff>53717</xdr:rowOff>
    </xdr:to>
    <xdr:grpSp>
      <xdr:nvGrpSpPr>
        <xdr:cNvPr id="771" name="Groupe 770"/>
        <xdr:cNvGrpSpPr/>
      </xdr:nvGrpSpPr>
      <xdr:grpSpPr>
        <a:xfrm>
          <a:off x="10098540" y="7075536"/>
          <a:ext cx="3313473" cy="1314824"/>
          <a:chOff x="2435154" y="353951"/>
          <a:chExt cx="3135329" cy="1325772"/>
        </a:xfrm>
      </xdr:grpSpPr>
      <xdr:grpSp>
        <xdr:nvGrpSpPr>
          <xdr:cNvPr id="772" name="Groupe 771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775" name="Connecteur droit 774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76" name="Connecteur droit 775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77" name="Connecteur droit 776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78" name="Connecteur droit 777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73" name="Ellipse 772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74" name="Ellipse 773"/>
          <xdr:cNvSpPr/>
        </xdr:nvSpPr>
        <xdr:spPr>
          <a:xfrm>
            <a:off x="2495386" y="391142"/>
            <a:ext cx="3003659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5</xdr:col>
      <xdr:colOff>35699</xdr:colOff>
      <xdr:row>41</xdr:row>
      <xdr:rowOff>170489</xdr:rowOff>
    </xdr:from>
    <xdr:to>
      <xdr:col>21</xdr:col>
      <xdr:colOff>10886</xdr:colOff>
      <xdr:row>48</xdr:row>
      <xdr:rowOff>24813</xdr:rowOff>
    </xdr:to>
    <xdr:grpSp>
      <xdr:nvGrpSpPr>
        <xdr:cNvPr id="779" name="Groupe 778"/>
        <xdr:cNvGrpSpPr/>
      </xdr:nvGrpSpPr>
      <xdr:grpSpPr>
        <a:xfrm>
          <a:off x="2584770" y="8715775"/>
          <a:ext cx="3313473" cy="1314824"/>
          <a:chOff x="2435154" y="353951"/>
          <a:chExt cx="3135329" cy="1325772"/>
        </a:xfrm>
      </xdr:grpSpPr>
      <xdr:grpSp>
        <xdr:nvGrpSpPr>
          <xdr:cNvPr id="780" name="Groupe 779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783" name="Connecteur droit 782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84" name="Connecteur droit 783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85" name="Connecteur droit 784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86" name="Connecteur droit 785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1" name="Ellipse 780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82" name="Ellipse 781"/>
          <xdr:cNvSpPr/>
        </xdr:nvSpPr>
        <xdr:spPr>
          <a:xfrm>
            <a:off x="2495386" y="391142"/>
            <a:ext cx="3003658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23</xdr:col>
      <xdr:colOff>30443</xdr:colOff>
      <xdr:row>41</xdr:row>
      <xdr:rowOff>170489</xdr:rowOff>
    </xdr:from>
    <xdr:to>
      <xdr:col>39</xdr:col>
      <xdr:colOff>5630</xdr:colOff>
      <xdr:row>48</xdr:row>
      <xdr:rowOff>24813</xdr:rowOff>
    </xdr:to>
    <xdr:grpSp>
      <xdr:nvGrpSpPr>
        <xdr:cNvPr id="787" name="Groupe 786"/>
        <xdr:cNvGrpSpPr/>
      </xdr:nvGrpSpPr>
      <xdr:grpSpPr>
        <a:xfrm>
          <a:off x="6335086" y="8715775"/>
          <a:ext cx="3313473" cy="1314824"/>
          <a:chOff x="2435154" y="353951"/>
          <a:chExt cx="3135329" cy="1325772"/>
        </a:xfrm>
      </xdr:grpSpPr>
      <xdr:grpSp>
        <xdr:nvGrpSpPr>
          <xdr:cNvPr id="788" name="Groupe 787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791" name="Connecteur droit 790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92" name="Connecteur droit 791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93" name="Connecteur droit 792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94" name="Connecteur droit 793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9" name="Ellipse 788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90" name="Ellipse 789"/>
          <xdr:cNvSpPr/>
        </xdr:nvSpPr>
        <xdr:spPr>
          <a:xfrm>
            <a:off x="2495386" y="391142"/>
            <a:ext cx="3003659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41</xdr:col>
      <xdr:colOff>38326</xdr:colOff>
      <xdr:row>41</xdr:row>
      <xdr:rowOff>199393</xdr:rowOff>
    </xdr:from>
    <xdr:to>
      <xdr:col>57</xdr:col>
      <xdr:colOff>13513</xdr:colOff>
      <xdr:row>48</xdr:row>
      <xdr:rowOff>53717</xdr:rowOff>
    </xdr:to>
    <xdr:grpSp>
      <xdr:nvGrpSpPr>
        <xdr:cNvPr id="795" name="Groupe 794"/>
        <xdr:cNvGrpSpPr/>
      </xdr:nvGrpSpPr>
      <xdr:grpSpPr>
        <a:xfrm>
          <a:off x="10098540" y="8744679"/>
          <a:ext cx="3313473" cy="1314824"/>
          <a:chOff x="2435154" y="353951"/>
          <a:chExt cx="3135329" cy="1325772"/>
        </a:xfrm>
      </xdr:grpSpPr>
      <xdr:grpSp>
        <xdr:nvGrpSpPr>
          <xdr:cNvPr id="796" name="Groupe 795"/>
          <xdr:cNvGrpSpPr/>
        </xdr:nvGrpSpPr>
        <xdr:grpSpPr>
          <a:xfrm>
            <a:off x="2668642" y="1317270"/>
            <a:ext cx="2664667" cy="58407"/>
            <a:chOff x="2668642" y="1317270"/>
            <a:chExt cx="2664667" cy="58407"/>
          </a:xfrm>
        </xdr:grpSpPr>
        <xdr:cxnSp macro="">
          <xdr:nvCxnSpPr>
            <xdr:cNvPr id="799" name="Connecteur droit 798"/>
            <xdr:cNvCxnSpPr/>
          </xdr:nvCxnSpPr>
          <xdr:spPr>
            <a:xfrm>
              <a:off x="2668642" y="1317270"/>
              <a:ext cx="93914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00" name="Connecteur droit 799"/>
            <xdr:cNvCxnSpPr/>
          </xdr:nvCxnSpPr>
          <xdr:spPr>
            <a:xfrm>
              <a:off x="2775799" y="1375677"/>
              <a:ext cx="831992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01" name="Connecteur droit 800"/>
            <xdr:cNvCxnSpPr/>
          </xdr:nvCxnSpPr>
          <xdr:spPr>
            <a:xfrm>
              <a:off x="4386640" y="1317270"/>
              <a:ext cx="946669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02" name="Connecteur droit 801"/>
            <xdr:cNvCxnSpPr/>
          </xdr:nvCxnSpPr>
          <xdr:spPr>
            <a:xfrm>
              <a:off x="4386640" y="1375677"/>
              <a:ext cx="826353" cy="0"/>
            </a:xfrm>
            <a:prstGeom prst="line">
              <a:avLst/>
            </a:prstGeom>
            <a:ln w="28575">
              <a:solidFill>
                <a:srgbClr val="401E0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97" name="Ellipse 796"/>
          <xdr:cNvSpPr/>
        </xdr:nvSpPr>
        <xdr:spPr>
          <a:xfrm>
            <a:off x="2435154" y="353951"/>
            <a:ext cx="3135329" cy="1325772"/>
          </a:xfrm>
          <a:prstGeom prst="ellipse">
            <a:avLst/>
          </a:prstGeom>
          <a:noFill/>
          <a:ln w="12700"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98" name="Ellipse 797"/>
          <xdr:cNvSpPr/>
        </xdr:nvSpPr>
        <xdr:spPr>
          <a:xfrm>
            <a:off x="2495386" y="391142"/>
            <a:ext cx="3003659" cy="1243380"/>
          </a:xfrm>
          <a:prstGeom prst="ellipse">
            <a:avLst/>
          </a:prstGeom>
          <a:noFill/>
          <a:ln>
            <a:solidFill>
              <a:srgbClr val="4221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Svetlana" refreshedDate="42684.533513888891" createdVersion="1" refreshedVersion="4" recordCount="1298">
  <cacheSource type="worksheet">
    <worksheetSource ref="A1:L1299" sheet="Factures fournisseur"/>
  </cacheSource>
  <cacheFields count="13">
    <cacheField name="Date" numFmtId="14">
      <sharedItems containsSemiMixedTypes="0" containsNonDate="0" containsDate="1" containsString="0" minDate="2015-09-01T00:00:00" maxDate="2016-11-11T00:00:00" count="354">
        <d v="2015-09-01T00:00:00"/>
        <d v="2015-09-02T00:00:00"/>
        <d v="2015-09-03T00:00:00"/>
        <d v="2015-09-04T00:00:00"/>
        <d v="2015-09-07T00:00:00"/>
        <d v="2015-09-08T00:00:00"/>
        <d v="2015-09-09T00:00:00"/>
        <d v="2015-09-10T00:00:00"/>
        <d v="2015-09-11T00:00:00"/>
        <d v="2015-09-12T00:00:00"/>
        <d v="2015-09-14T00:00:00"/>
        <d v="2015-09-15T00:00:00"/>
        <d v="2015-09-16T00:00:00"/>
        <d v="2015-09-17T00:00:00"/>
        <d v="2015-09-18T00:00:00"/>
        <d v="2015-09-19T00:00:00"/>
        <d v="2015-09-21T00:00:00"/>
        <d v="2015-09-22T00:00:00"/>
        <d v="2015-09-23T00:00:00"/>
        <d v="2015-09-24T00:00:00"/>
        <d v="2015-09-25T00:00:00"/>
        <d v="2015-09-28T00:00:00"/>
        <d v="2015-09-29T00:00:00"/>
        <d v="2015-09-30T00:00:00"/>
        <d v="2015-10-01T00:00:00"/>
        <d v="2015-10-02T00:00:00"/>
        <d v="2015-10-03T00:00:00"/>
        <d v="2015-10-05T00:00:00"/>
        <d v="2015-10-06T00:00:00"/>
        <d v="2015-10-07T00:00:00"/>
        <d v="2015-10-08T00:00:00"/>
        <d v="2015-10-09T00:00:00"/>
        <d v="2015-10-12T00:00:00"/>
        <d v="2015-10-13T00:00:00"/>
        <d v="2015-10-14T00:00:00"/>
        <d v="2015-10-15T00:00:00"/>
        <d v="2015-10-16T00:00:00"/>
        <d v="2015-10-17T00:00:00"/>
        <d v="2015-10-19T00:00:00"/>
        <d v="2015-10-20T00:00:00"/>
        <d v="2015-10-21T00:00:00"/>
        <d v="2015-10-22T00:00:00"/>
        <d v="2015-10-23T00:00:00"/>
        <d v="2015-10-24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9T00:00:00"/>
        <d v="2015-11-10T00:00:00"/>
        <d v="2015-11-12T00:00:00"/>
        <d v="2015-11-13T00:00:00"/>
        <d v="2015-11-16T00:00:00"/>
        <d v="2015-11-17T00:00:00"/>
        <d v="2015-11-18T00:00:00"/>
        <d v="2015-11-19T00:00:00"/>
        <d v="2015-11-20T00:00:00"/>
        <d v="2015-11-21T00:00:00"/>
        <d v="2015-11-23T00:00:00"/>
        <d v="2015-11-24T00:00:00"/>
        <d v="2015-11-25T00:00:00"/>
        <d v="2015-11-26T00:00:00"/>
        <d v="2015-11-27T00:00:00"/>
        <d v="2015-11-28T00:00:00"/>
        <d v="2015-11-30T00:00:00"/>
        <d v="2015-12-01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2T00:00:00"/>
        <d v="2015-12-14T00:00:00"/>
        <d v="2015-12-15T00:00:00"/>
        <d v="2015-12-16T00:00:00"/>
        <d v="2015-12-17T00:00:00"/>
        <d v="2015-12-18T00:00:00"/>
        <d v="2015-12-19T00:00:00"/>
        <d v="2015-12-21T00:00:00"/>
        <d v="2015-12-22T00:00:00"/>
        <d v="2015-12-23T00:00:00"/>
        <d v="2015-12-24T00:00:00"/>
        <d v="2015-12-26T00:00:00"/>
        <d v="2015-12-28T00:00:00"/>
        <d v="2015-12-29T00:00:00"/>
        <d v="2015-12-30T00:00:00"/>
        <d v="2015-12-31T00:00:00"/>
        <d v="2016-01-01T00:00:00"/>
        <d v="2016-01-04T00:00:00"/>
        <d v="2016-01-05T00:00:00"/>
        <d v="2016-01-06T00:00:00"/>
        <d v="2016-01-07T00:00:00"/>
        <d v="2016-01-08T00:00:00"/>
        <d v="2016-01-09T00:00:00"/>
        <d v="2016-01-11T00:00:00"/>
        <d v="2016-01-12T00:00:00"/>
        <d v="2016-01-13T00:00:00"/>
        <d v="2016-01-14T00:00:00"/>
        <d v="2016-01-15T00:00:00"/>
        <d v="2016-01-16T00:00:00"/>
        <d v="2016-01-18T00:00:00"/>
        <d v="2016-01-19T00:00:00"/>
        <d v="2016-01-20T00:00:00"/>
        <d v="2016-01-21T00:00:00"/>
        <d v="2016-01-22T00:00:00"/>
        <d v="2016-01-25T00:00:00"/>
        <d v="2016-01-26T00:00:00"/>
        <d v="2016-01-27T00:00:00"/>
        <d v="2016-01-28T00:00:00"/>
        <d v="2016-01-29T00:00:00"/>
        <d v="2016-01-30T00:00:00"/>
        <d v="2016-02-01T00:00:00"/>
        <d v="2016-02-02T00:00:00"/>
        <d v="2016-02-03T00:00:00"/>
        <d v="2016-02-04T00:00:00"/>
        <d v="2016-02-05T00:00:00"/>
        <d v="2016-02-08T00:00:00"/>
        <d v="2016-02-09T00:00:00"/>
        <d v="2016-02-10T00:00:00"/>
        <d v="2016-02-11T00:00:00"/>
        <d v="2016-02-12T00:00:00"/>
        <d v="2016-02-13T00:00:00"/>
        <d v="2016-02-15T00:00:00"/>
        <d v="2016-02-16T00:00:00"/>
        <d v="2016-02-17T00:00:00"/>
        <d v="2016-02-18T00:00:00"/>
        <d v="2016-02-19T00:00:00"/>
        <d v="2016-02-20T00:00:00"/>
        <d v="2016-02-22T00:00:00"/>
        <d v="2016-02-23T00:00:00"/>
        <d v="2016-02-24T00:00:00"/>
        <d v="2016-02-25T00:00:00"/>
        <d v="2016-02-26T00:00:00"/>
        <d v="2016-02-27T00:00:00"/>
        <d v="2016-02-29T00:00:00"/>
        <d v="2016-03-01T00:00:00"/>
        <d v="2016-03-02T00:00:00"/>
        <d v="2016-03-03T00:00:00"/>
        <d v="2016-03-04T00:00:00"/>
        <d v="2016-03-07T00:00:00"/>
        <d v="2016-03-08T00:00:00"/>
        <d v="2016-03-10T00:00:00"/>
        <d v="2016-03-11T00:00:00"/>
        <d v="2016-03-14T00:00:00"/>
        <d v="2016-03-15T00:00:00"/>
        <d v="2016-03-16T00:00:00"/>
        <d v="2016-03-17T00:00:00"/>
        <d v="2016-03-18T00:00:00"/>
        <d v="2016-03-19T00:00:00"/>
        <d v="2016-03-21T00:00:00"/>
        <d v="2016-03-22T00:00:00"/>
        <d v="2016-03-23T00:00:00"/>
        <d v="2016-03-24T00:00:00"/>
        <d v="2016-03-25T00:00:00"/>
        <d v="2016-03-26T00:00:00"/>
        <d v="2016-03-29T00:00:00"/>
        <d v="2016-03-30T00:00:00"/>
        <d v="2016-03-31T00:00:00"/>
        <d v="2016-04-01T00:00:00"/>
        <d v="2016-04-02T00:00:00"/>
        <d v="2016-04-04T00:00:00"/>
        <d v="2016-04-05T00:00:00"/>
        <d v="2016-04-06T00:00:00"/>
        <d v="2016-04-07T00:00:00"/>
        <d v="2016-04-08T00:00:00"/>
        <d v="2016-04-09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2T00:00:00"/>
        <d v="2016-05-03T00:00:00"/>
        <d v="2016-05-04T00:00:00"/>
        <d v="2016-05-05T00:00:00"/>
        <d v="2016-05-06T00:00:00"/>
        <d v="2016-05-07T00:00:00"/>
        <d v="2016-05-09T00:00:00"/>
        <d v="2016-05-10T00:00:00"/>
        <d v="2016-05-11T00:00:00"/>
        <d v="2016-05-12T00:00:00"/>
        <d v="2016-05-13T00:00:00"/>
        <d v="2016-05-14T00:00:00"/>
        <d v="2016-05-17T00:00:00"/>
        <d v="2016-05-18T00:00:00"/>
        <d v="2016-05-19T00:00:00"/>
        <d v="2016-05-20T00:00:00"/>
        <d v="2016-05-21T00:00:00"/>
        <d v="2016-05-23T00:00:00"/>
        <d v="2016-05-24T00:00:00"/>
        <d v="2016-05-25T00:00:00"/>
        <d v="2016-05-26T00:00:00"/>
        <d v="2016-05-27T00:00:00"/>
        <d v="2016-05-28T00:00:00"/>
        <d v="2016-05-30T00:00:00"/>
        <d v="2016-05-31T00:00:00"/>
        <d v="2016-06-01T00:00:00"/>
        <d v="2016-06-02T00:00:00"/>
        <d v="2016-06-03T00:00:00"/>
        <d v="2016-06-04T00:00:00"/>
        <d v="2016-06-06T00:00:00"/>
        <d v="2016-06-07T00:00:00"/>
        <d v="2016-06-08T00:00:00"/>
        <d v="2016-06-09T00:00:00"/>
        <d v="2016-06-10T00:00:00"/>
        <d v="2016-06-11T00:00:00"/>
        <d v="2016-06-13T00:00:00"/>
        <d v="2016-06-14T00:00:00"/>
        <d v="2016-06-15T00:00:00"/>
        <d v="2016-06-16T00:00:00"/>
        <d v="2016-06-17T00:00:00"/>
        <d v="2016-06-18T00:00:00"/>
        <d v="2016-06-20T00:00:00"/>
        <d v="2016-06-21T00:00:00"/>
        <d v="2016-06-22T00:00:00"/>
        <d v="2016-06-23T00:00:00"/>
        <d v="2016-06-24T00:00:00"/>
        <d v="2016-06-25T00:00:00"/>
        <d v="2016-06-27T00:00:00"/>
        <d v="2016-06-28T00:00:00"/>
        <d v="2016-06-29T00:00:00"/>
        <d v="2016-06-30T00:00:00"/>
        <d v="2016-07-01T00:00:00"/>
        <d v="2016-07-02T00:00:00"/>
        <d v="2016-07-04T00:00:00"/>
        <d v="2016-07-05T00:00:00"/>
        <d v="2016-07-06T00:00:00"/>
        <d v="2016-07-07T00:00:00"/>
        <d v="2016-07-08T00:00:00"/>
        <d v="2016-07-09T00:00:00"/>
        <d v="2016-07-11T00:00:00"/>
        <d v="2016-07-12T00:00:00"/>
        <d v="2016-07-13T00:00:00"/>
        <d v="2016-07-15T00:00:00"/>
        <d v="2016-07-16T00:00:00"/>
        <d v="2016-07-18T00:00:00"/>
        <d v="2016-07-19T00:00:00"/>
        <d v="2016-07-20T00:00:00"/>
        <d v="2016-07-21T00:00:00"/>
        <d v="2016-07-22T00:00:00"/>
        <d v="2016-07-23T00:00:00"/>
        <d v="2016-07-25T00:00:00"/>
        <d v="2016-07-26T00:00:00"/>
        <d v="2016-07-27T00:00:00"/>
        <d v="2016-07-28T00:00:00"/>
        <d v="2016-07-29T00:00:00"/>
        <d v="2016-07-30T00:00:00"/>
        <d v="2016-08-01T00:00:00"/>
        <d v="2016-08-02T00:00:00"/>
        <d v="2016-08-03T00:00:00"/>
        <d v="2016-08-04T00:00:00"/>
        <d v="2016-08-05T00:00:00"/>
        <d v="2016-08-06T00:00:00"/>
        <d v="2016-08-08T00:00:00"/>
        <d v="2016-08-09T00:00:00"/>
        <d v="2016-08-10T00:00:00"/>
        <d v="2016-08-11T00:00:00"/>
        <d v="2016-08-12T00:00:00"/>
        <d v="2016-08-17T00:00:00"/>
        <d v="2016-08-18T00:00:00"/>
        <d v="2016-08-19T00:00:00"/>
        <d v="2016-08-20T00:00:00"/>
        <d v="2016-08-22T00:00:00"/>
        <d v="2016-08-23T00:00:00"/>
        <d v="2016-08-24T00:00:00"/>
        <d v="2016-08-25T00:00:00"/>
        <d v="2016-08-26T00:00:00"/>
        <d v="2016-08-27T00:00:00"/>
        <d v="2016-08-29T00:00:00"/>
        <d v="2016-08-30T00:00:00"/>
        <d v="2016-08-31T00:00:00"/>
        <d v="2016-09-01T00:00:00"/>
        <d v="2016-09-02T00:00:00"/>
        <d v="2016-09-03T00:00:00"/>
        <d v="2016-09-05T00:00:00"/>
        <d v="2016-09-06T00:00:00"/>
        <d v="2016-09-07T00:00:00"/>
        <d v="2016-09-08T00:00:00"/>
        <d v="2016-09-09T00:00:00"/>
        <d v="2016-09-10T00:00:00"/>
        <d v="2016-09-12T00:00:00"/>
        <d v="2016-09-13T00:00:00"/>
        <d v="2016-09-14T00:00:00"/>
        <d v="2016-09-15T00:00:00"/>
        <d v="2016-09-16T00:00:00"/>
        <d v="2016-09-17T00:00:00"/>
        <d v="2016-09-19T00:00:00"/>
        <d v="2016-09-20T00:00:00"/>
        <d v="2016-09-21T00:00:00"/>
        <d v="2016-09-22T00:00:00"/>
        <d v="2016-09-23T00:00:00"/>
        <d v="2016-09-24T00:00:00"/>
        <d v="2016-09-26T00:00:00"/>
        <d v="2016-09-27T00:00:00"/>
        <d v="2016-09-28T00:00:00"/>
        <d v="2016-09-29T00:00:00"/>
        <d v="2016-09-30T00:00:00"/>
        <d v="2016-10-01T00:00:00"/>
        <d v="2016-10-03T00:00:00"/>
        <d v="2016-10-04T00:00:00"/>
        <d v="2016-10-05T00:00:00"/>
        <d v="2016-10-06T00:00:00"/>
        <d v="2016-10-07T00:00:00"/>
        <d v="2016-10-08T00:00:00"/>
        <d v="2016-10-10T00:00:00"/>
        <d v="2016-10-11T00:00:00"/>
        <d v="2016-10-13T00:00:00"/>
        <d v="2016-10-14T00:00:00"/>
        <d v="2016-10-15T00:00:00"/>
        <d v="2016-10-17T00:00:00"/>
        <d v="2016-10-18T00:00:00"/>
        <d v="2016-10-19T00:00:00"/>
        <d v="2016-10-20T00:00:00"/>
        <d v="2016-10-21T00:00:00"/>
        <d v="2016-10-22T00:00:00"/>
        <d v="2016-10-25T00:00:00"/>
        <d v="2016-10-26T00:00:00"/>
        <d v="2016-10-28T00:00:00"/>
        <d v="2016-10-29T00:00:00"/>
        <d v="2016-10-31T00:00:00"/>
        <d v="2016-11-03T00:00:00"/>
        <d v="2016-10-24T00:00:00"/>
        <d v="2016-11-04T00:00:00"/>
        <d v="2016-11-07T00:00:00"/>
        <d v="2016-11-02T00:00:00"/>
        <d v="2016-11-08T00:00:00"/>
        <d v="2016-11-10T00:00:00"/>
      </sharedItems>
      <fieldGroup par="12" base="0">
        <rangePr groupBy="months" startDate="2015-09-01T00:00:00" endDate="2016-11-11T00:00:00"/>
        <groupItems count="14">
          <s v="&lt;01/09/2015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11/11/2016"/>
        </groupItems>
      </fieldGroup>
    </cacheField>
    <cacheField name="No facture" numFmtId="49">
      <sharedItems containsBlank="1" containsMixedTypes="1" containsNumber="1" containsInteger="1" minValue="52831" maxValue="3351107005"/>
    </cacheField>
    <cacheField name="Fournisseur" numFmtId="0">
      <sharedItems count="20">
        <s v="BRANDECISION"/>
        <s v="FLJ Distribution"/>
        <s v="MONEL"/>
        <s v="VAL DE SEINE"/>
        <s v="EMB Service"/>
        <s v="TRANSGOURMET"/>
        <s v="LOSTE TRADY"/>
        <s v="Moulins de Cherisy"/>
        <s v="PACKDIS"/>
        <s v="Grand moulins "/>
        <s v="PRONATUREL"/>
        <s v="REVES DE CAFE"/>
        <s v="DEROCHE"/>
        <s v="PURATOS"/>
        <s v="PATISFRAIS"/>
        <s v="NESPRESSO"/>
        <s v="LEBHAR"/>
        <s v="GYRDIS"/>
        <s v="CASADOR"/>
        <s v="FEDIPAT"/>
      </sharedItems>
    </cacheField>
    <cacheField name="Montant TTC" numFmtId="167">
      <sharedItems containsSemiMixedTypes="0" containsString="0" containsNumber="1" minValue="0" maxValue="4019.47"/>
    </cacheField>
    <cacheField name="TVA" numFmtId="167">
      <sharedItems containsString="0" containsBlank="1" containsNumber="1" minValue="0" maxValue="1118.07"/>
    </cacheField>
    <cacheField name="Montant HT" numFmtId="165">
      <sharedItems containsNonDate="0" containsString="0" containsBlank="1"/>
    </cacheField>
    <cacheField name="Boulangerie" numFmtId="0">
      <sharedItems count="3">
        <s v="MAR"/>
        <s v="LOL"/>
        <s v="CON"/>
      </sharedItems>
    </cacheField>
    <cacheField name="Date paiement" numFmtId="0">
      <sharedItems containsNonDate="0" containsString="0" containsBlank="1"/>
    </cacheField>
    <cacheField name="Montant Payé" numFmtId="167">
      <sharedItems containsString="0" containsBlank="1" containsNumber="1" minValue="0" maxValue="2828.55"/>
    </cacheField>
    <cacheField name="Moyen" numFmtId="0">
      <sharedItems containsBlank="1"/>
    </cacheField>
    <cacheField name="Solde cumulé" numFmtId="167">
      <sharedItems containsString="0" containsBlank="1" containsNumber="1" minValue="0" maxValue="4019.47"/>
    </cacheField>
    <cacheField name="Commentaire" numFmtId="0">
      <sharedItems containsBlank="1"/>
    </cacheField>
    <cacheField name="Années" numFmtId="0" databaseField="0">
      <fieldGroup base="0">
        <rangePr groupBy="years" startDate="2015-09-01T00:00:00" endDate="2016-11-11T00:00:00"/>
        <groupItems count="4">
          <s v="&lt;01/09/2015"/>
          <s v="2015"/>
          <s v="2016"/>
          <s v="&gt;11/11/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Factures Fournisseurs" cacheId="0" applyNumberFormats="0" applyBorderFormats="0" applyFontFormats="0" applyPatternFormats="0" applyAlignmentFormats="0" applyWidthHeightFormats="1" dataCaption="Données" updatedVersion="4" showMemberPropertyTips="0" useAutoFormatting="1" subtotalHiddenItems="1" itemPrintTitles="1" createdVersion="1" indent="0" compact="0" compactData="0" gridDropZones="1">
  <location ref="B6:H157" firstHeaderRow="1" firstDataRow="2" firstDataCol="3"/>
  <pivotFields count="13">
    <pivotField axis="axisRow" compact="0" outline="0" subtotalTop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ubtotalTop="0" showAll="0" includeNewItemsInFilter="1"/>
    <pivotField axis="axisRow" compact="0" outline="0" subtotalTop="0" showAll="0" includeNewItemsInFilter="1">
      <items count="21">
        <item x="0"/>
        <item x="4"/>
        <item x="1"/>
        <item x="9"/>
        <item x="6"/>
        <item x="2"/>
        <item x="7"/>
        <item x="8"/>
        <item x="10"/>
        <item x="5"/>
        <item x="3"/>
        <item x="11"/>
        <item x="12"/>
        <item x="13"/>
        <item x="14"/>
        <item x="15"/>
        <item x="17"/>
        <item x="16"/>
        <item x="19"/>
        <item x="18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4">
        <item x="1"/>
        <item x="0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5">
        <item x="0"/>
        <item x="1"/>
        <item x="2"/>
        <item x="3"/>
        <item t="default"/>
      </items>
    </pivotField>
  </pivotFields>
  <rowFields count="3">
    <field x="12"/>
    <field x="0"/>
    <field x="2"/>
  </rowFields>
  <rowItems count="150">
    <i>
      <x v="1"/>
      <x v="9"/>
      <x/>
    </i>
    <i r="2">
      <x v="1"/>
    </i>
    <i r="2">
      <x v="2"/>
    </i>
    <i r="2">
      <x v="4"/>
    </i>
    <i r="2">
      <x v="5"/>
    </i>
    <i r="2">
      <x v="6"/>
    </i>
    <i r="2">
      <x v="7"/>
    </i>
    <i r="2">
      <x v="9"/>
    </i>
    <i r="2">
      <x v="10"/>
    </i>
    <i t="default" r="1">
      <x v="9"/>
    </i>
    <i r="1">
      <x v="10"/>
      <x/>
    </i>
    <i r="2">
      <x v="2"/>
    </i>
    <i r="2">
      <x v="3"/>
    </i>
    <i r="2">
      <x v="4"/>
    </i>
    <i r="2">
      <x v="5"/>
    </i>
    <i r="2">
      <x v="6"/>
    </i>
    <i r="2">
      <x v="9"/>
    </i>
    <i r="2">
      <x v="10"/>
    </i>
    <i t="default" r="1">
      <x v="10"/>
    </i>
    <i r="1">
      <x v="1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t="default" r="1">
      <x v="11"/>
    </i>
    <i r="1">
      <x v="12"/>
      <x v="2"/>
    </i>
    <i r="2">
      <x v="3"/>
    </i>
    <i r="2">
      <x v="4"/>
    </i>
    <i r="2">
      <x v="5"/>
    </i>
    <i r="2">
      <x v="6"/>
    </i>
    <i r="2">
      <x v="7"/>
    </i>
    <i r="2">
      <x v="9"/>
    </i>
    <i r="2">
      <x v="10"/>
    </i>
    <i t="default" r="1">
      <x v="12"/>
    </i>
    <i t="default">
      <x v="1"/>
    </i>
    <i>
      <x v="2"/>
      <x v="1"/>
      <x/>
    </i>
    <i r="2">
      <x v="2"/>
    </i>
    <i r="2">
      <x v="3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t="default" r="1">
      <x v="1"/>
    </i>
    <i r="1">
      <x v="2"/>
      <x/>
    </i>
    <i r="2">
      <x v="2"/>
    </i>
    <i r="2">
      <x v="3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t="default" r="1">
      <x v="2"/>
    </i>
    <i r="1">
      <x v="3"/>
      <x/>
    </i>
    <i r="2">
      <x v="2"/>
    </i>
    <i r="2">
      <x v="3"/>
    </i>
    <i r="2">
      <x v="5"/>
    </i>
    <i r="2">
      <x v="6"/>
    </i>
    <i r="2">
      <x v="8"/>
    </i>
    <i r="2">
      <x v="9"/>
    </i>
    <i r="2">
      <x v="10"/>
    </i>
    <i r="2">
      <x v="11"/>
    </i>
    <i r="2">
      <x v="12"/>
    </i>
    <i r="2">
      <x v="13"/>
    </i>
    <i t="default" r="1">
      <x v="3"/>
    </i>
    <i r="1">
      <x v="4"/>
      <x/>
    </i>
    <i r="2">
      <x v="2"/>
    </i>
    <i r="2">
      <x v="6"/>
    </i>
    <i r="2">
      <x v="7"/>
    </i>
    <i r="2">
      <x v="10"/>
    </i>
    <i r="2">
      <x v="11"/>
    </i>
    <i r="2">
      <x v="12"/>
    </i>
    <i r="2">
      <x v="13"/>
    </i>
    <i r="2">
      <x v="14"/>
    </i>
    <i t="default" r="1">
      <x v="4"/>
    </i>
    <i r="1">
      <x v="5"/>
      <x/>
    </i>
    <i r="2">
      <x v="2"/>
    </i>
    <i r="2">
      <x v="6"/>
    </i>
    <i r="2">
      <x v="7"/>
    </i>
    <i r="2">
      <x v="8"/>
    </i>
    <i r="2">
      <x v="11"/>
    </i>
    <i r="2">
      <x v="12"/>
    </i>
    <i r="2">
      <x v="13"/>
    </i>
    <i r="2">
      <x v="14"/>
    </i>
    <i t="default" r="1">
      <x v="5"/>
    </i>
    <i r="1">
      <x v="6"/>
      <x/>
    </i>
    <i r="2">
      <x v="2"/>
    </i>
    <i r="2">
      <x v="6"/>
    </i>
    <i r="2">
      <x v="7"/>
    </i>
    <i r="2">
      <x v="8"/>
    </i>
    <i r="2">
      <x v="12"/>
    </i>
    <i r="2">
      <x v="13"/>
    </i>
    <i r="2">
      <x v="14"/>
    </i>
    <i r="2">
      <x v="15"/>
    </i>
    <i r="2">
      <x v="17"/>
    </i>
    <i t="default" r="1">
      <x v="6"/>
    </i>
    <i r="1">
      <x v="7"/>
      <x/>
    </i>
    <i r="2">
      <x v="2"/>
    </i>
    <i r="2">
      <x v="6"/>
    </i>
    <i r="2">
      <x v="8"/>
    </i>
    <i r="2">
      <x v="12"/>
    </i>
    <i r="2">
      <x v="14"/>
    </i>
    <i r="2">
      <x v="16"/>
    </i>
    <i r="2">
      <x v="17"/>
    </i>
    <i t="default" r="1">
      <x v="7"/>
    </i>
    <i r="1">
      <x v="8"/>
      <x/>
    </i>
    <i r="2">
      <x v="2"/>
    </i>
    <i r="2">
      <x v="6"/>
    </i>
    <i r="2">
      <x v="8"/>
    </i>
    <i r="2">
      <x v="9"/>
    </i>
    <i r="2">
      <x v="12"/>
    </i>
    <i r="2">
      <x v="15"/>
    </i>
    <i r="2">
      <x v="17"/>
    </i>
    <i t="default" r="1">
      <x v="8"/>
    </i>
    <i r="1">
      <x v="9"/>
      <x/>
    </i>
    <i r="2">
      <x v="2"/>
    </i>
    <i r="2">
      <x v="6"/>
    </i>
    <i r="2">
      <x v="9"/>
    </i>
    <i r="2">
      <x v="10"/>
    </i>
    <i r="2">
      <x v="12"/>
    </i>
    <i r="2">
      <x v="15"/>
    </i>
    <i r="2">
      <x v="17"/>
    </i>
    <i r="2">
      <x v="18"/>
    </i>
    <i r="2">
      <x v="19"/>
    </i>
    <i t="default" r="1">
      <x v="9"/>
    </i>
    <i r="1">
      <x v="10"/>
      <x/>
    </i>
    <i r="2">
      <x v="2"/>
    </i>
    <i r="2">
      <x v="6"/>
    </i>
    <i r="2">
      <x v="8"/>
    </i>
    <i r="2">
      <x v="9"/>
    </i>
    <i r="2">
      <x v="15"/>
    </i>
    <i r="2">
      <x v="17"/>
    </i>
    <i r="2">
      <x v="18"/>
    </i>
    <i t="default" r="1">
      <x v="10"/>
    </i>
    <i r="1">
      <x v="11"/>
      <x v="2"/>
    </i>
    <i r="2">
      <x v="6"/>
    </i>
    <i r="2">
      <x v="9"/>
    </i>
    <i r="2">
      <x v="19"/>
    </i>
    <i t="default" r="1">
      <x v="11"/>
    </i>
    <i t="default">
      <x v="2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dataFields count="1">
    <dataField name="Somme de Montant TTC" fld="3" baseField="0" baseItem="0"/>
  </dataFields>
  <formats count="4">
    <format dxfId="9">
      <pivotArea outline="0" fieldPosition="0"/>
    </format>
    <format dxfId="8">
      <pivotArea field="6" type="button" dataOnly="0" labelOnly="1" outline="0" axis="axisCol" fieldPosition="0"/>
    </format>
    <format dxfId="7">
      <pivotArea type="topRight" dataOnly="0" labelOnly="1" outline="0" fieldPosition="0"/>
    </format>
    <format dxfId="6">
      <pivotArea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auFacturesFournisseurs" displayName="TableauFacturesFournisseurs" ref="A1:L64877" totalsRowShown="0" headerRowDxfId="23" dataDxfId="22">
  <autoFilter ref="A1:L64877"/>
  <sortState ref="A2:L64877">
    <sortCondition ref="A1:A64877"/>
  </sortState>
  <tableColumns count="12">
    <tableColumn id="1" name="Date" dataDxfId="21"/>
    <tableColumn id="2" name="No facture" dataDxfId="20"/>
    <tableColumn id="3" name="Fournisseur" dataDxfId="19"/>
    <tableColumn id="4" name="Montant TTC" dataDxfId="18" dataCellStyle="Monétaire"/>
    <tableColumn id="5" name="TVA" dataDxfId="17" dataCellStyle="Monétaire"/>
    <tableColumn id="6" name="Montant HT" dataDxfId="16" dataCellStyle="Monétaire"/>
    <tableColumn id="7" name="Boulangerie" dataDxfId="15"/>
    <tableColumn id="8" name="Date paiement" dataDxfId="14"/>
    <tableColumn id="9" name="Montant Payé" dataDxfId="13" dataCellStyle="Monétaire"/>
    <tableColumn id="10" name="Moyen" dataDxfId="12"/>
    <tableColumn id="11" name="Solde cumulé" dataDxfId="11" dataCellStyle="Monétaire"/>
    <tableColumn id="12" name="Commentaire" dataDxfId="1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Roaming/Microsoft/Excel/Documents/Etiquettes%20Petites.pdf" TargetMode="External"/><Relationship Id="rId3" Type="http://schemas.openxmlformats.org/officeDocument/2006/relationships/hyperlink" Target="../../../AppData/Roaming/Microsoft/Excel/Documents%20Fournisseurs" TargetMode="External"/><Relationship Id="rId7" Type="http://schemas.openxmlformats.org/officeDocument/2006/relationships/hyperlink" Target="../../../AppData/Roaming/Microsoft/Excel/Documents/Caisse%20-%20Configuration%20des%20Boutons.pdf" TargetMode="External"/><Relationship Id="rId2" Type="http://schemas.openxmlformats.org/officeDocument/2006/relationships/hyperlink" Target="../../../AppData/Roaming/Microsoft/Excel/Documents%20Clients" TargetMode="External"/><Relationship Id="rId1" Type="http://schemas.openxmlformats.org/officeDocument/2006/relationships/hyperlink" Target="../../../AppData/Roaming/Microsoft/Excel/Documents" TargetMode="External"/><Relationship Id="rId6" Type="http://schemas.openxmlformats.org/officeDocument/2006/relationships/hyperlink" Target="../../../AppData/Roaming/Microsoft/Excel/Documents/Contacts.pdf" TargetMode="External"/><Relationship Id="rId5" Type="http://schemas.openxmlformats.org/officeDocument/2006/relationships/hyperlink" Target="../../../AppData/Roaming/Microsoft/Excel/Documents/Planning.pdf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../../../AppData/Roaming/Microsoft/Excel/Documents/Produits.pdf" TargetMode="External"/><Relationship Id="rId9" Type="http://schemas.openxmlformats.org/officeDocument/2006/relationships/hyperlink" Target="../../../AppData/Roaming/Microsoft/Excel/Documents%20Fournisseurs/Bilan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" TargetMode="External"/><Relationship Id="rId2" Type="http://schemas.openxmlformats.org/officeDocument/2006/relationships/hyperlink" Target="mailto:boulangeries.paris@gmail.com" TargetMode="External"/><Relationship Id="rId1" Type="http://schemas.openxmlformats.org/officeDocument/2006/relationships/hyperlink" Target="mailto:boulangeries.paris@gmail.com" TargetMode="Externa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hyperlink" Target="../../../AppData/Roaming/Microsoft/Excel/Documents%20Clients/Factures/Facture-20160609-001-La%20Table%20Monceau.pdf" TargetMode="External"/><Relationship Id="rId21" Type="http://schemas.openxmlformats.org/officeDocument/2006/relationships/hyperlink" Target="../../../AppData/Roaming/Microsoft/Excel/Documents%20Clients/Factures/Facture-20151206-009.pdf" TargetMode="External"/><Relationship Id="rId42" Type="http://schemas.openxmlformats.org/officeDocument/2006/relationships/hyperlink" Target="../../../AppData/Roaming/Microsoft/Excel/Documents%20Clients/Factures/Facture-20160102-007-Hotel%20Monceau%20Etoile.pdf" TargetMode="External"/><Relationship Id="rId63" Type="http://schemas.openxmlformats.org/officeDocument/2006/relationships/hyperlink" Target="../../../AppData/Roaming/Microsoft/Excel/Documents%20Clients/Factures/Facture-20160301-001-Le%20Bitrot%2015.pdf" TargetMode="External"/><Relationship Id="rId84" Type="http://schemas.openxmlformats.org/officeDocument/2006/relationships/hyperlink" Target="../../../AppData/Roaming/Microsoft/Excel/Documents%20Clients/Factures/Facture-20160407-002-MEETING%20THE%20FRENCH.pdf" TargetMode="External"/><Relationship Id="rId138" Type="http://schemas.openxmlformats.org/officeDocument/2006/relationships/hyperlink" Target="../../../AppData/Roaming/Microsoft/Excel/Documents%20Clients/Factures/Facture-20160801-005-Bistrot%20de%20Louise.pdf" TargetMode="External"/><Relationship Id="rId159" Type="http://schemas.openxmlformats.org/officeDocument/2006/relationships/hyperlink" Target="../../../AppData/Roaming/Microsoft/Excel/Documents%20Clients/Factures/Facture-20160902-009-Le%20Caf&#233;%20des%20Dames.pdf" TargetMode="External"/><Relationship Id="rId170" Type="http://schemas.openxmlformats.org/officeDocument/2006/relationships/hyperlink" Target="../../../AppData/Roaming/Microsoft/Excel/Documents%20Clients/Factures/Facture-20161004-002-Brigitte.pdf" TargetMode="External"/><Relationship Id="rId191" Type="http://schemas.openxmlformats.org/officeDocument/2006/relationships/hyperlink" Target="../../../AppData/Roaming/Microsoft/Excel/Documents%20Clients/Factures/Facture-20161103-004-Tourbillon.pdf" TargetMode="External"/><Relationship Id="rId205" Type="http://schemas.openxmlformats.org/officeDocument/2006/relationships/hyperlink" Target="Documents%20Clients\Factures\Facture-20161202-002-La%20Bouteille%20sur%20la%20Table.pdf" TargetMode="External"/><Relationship Id="rId107" Type="http://schemas.openxmlformats.org/officeDocument/2006/relationships/hyperlink" Target="../../../AppData/Roaming/Microsoft/Excel/Documents%20Clients/Factures/Facture-20160602-006-L'Auberge%20Rouge.pdf" TargetMode="External"/><Relationship Id="rId11" Type="http://schemas.openxmlformats.org/officeDocument/2006/relationships/hyperlink" Target="../../../AppData/Roaming/Microsoft/Excel/Documents%20Clients/Factures/Facture-20151122-011.pdf" TargetMode="External"/><Relationship Id="rId32" Type="http://schemas.openxmlformats.org/officeDocument/2006/relationships/hyperlink" Target="../../../AppData/Roaming/Microsoft/Excel/Documents%20Clients/Factures/Facture-20151210-001-Fernanda%20Sarubbi.pdf" TargetMode="External"/><Relationship Id="rId37" Type="http://schemas.openxmlformats.org/officeDocument/2006/relationships/hyperlink" Target="../../../AppData/Roaming/Microsoft/Excel/Documents%20Clients/Factures/Facture-20160102-001-Bistrot%20de%20Louise.pdf" TargetMode="External"/><Relationship Id="rId53" Type="http://schemas.openxmlformats.org/officeDocument/2006/relationships/hyperlink" Target="../../../AppData/Roaming/Microsoft/Excel/Documents%20Clients/Factures/Facture-20160202-004-Il%20Paradiso.pdf" TargetMode="External"/><Relationship Id="rId58" Type="http://schemas.openxmlformats.org/officeDocument/2006/relationships/hyperlink" Target="../../../AppData/Roaming/Microsoft/Excel/Documents%20Clients/Factures/Facture-20160202-009-Bistrot%20des%20Vignes.pdf" TargetMode="External"/><Relationship Id="rId74" Type="http://schemas.openxmlformats.org/officeDocument/2006/relationships/hyperlink" Target="../../../AppData/Roaming/Microsoft/Excel/Documents%20Clients/Factures/Facture-20160301-012-Bistrot%20de%20Louise.pdf" TargetMode="External"/><Relationship Id="rId79" Type="http://schemas.openxmlformats.org/officeDocument/2006/relationships/hyperlink" Target="../../../AppData/Roaming/Microsoft/Excel/Documents%20Clients/Factures/Facture-20160301-017-MEETING%20THE%20FRENCH.pdf" TargetMode="External"/><Relationship Id="rId102" Type="http://schemas.openxmlformats.org/officeDocument/2006/relationships/hyperlink" Target="../../../AppData/Roaming/Microsoft/Excel/Documents%20Clients/Factures/Facture-20160602-001-Le%20Signal.pdf" TargetMode="External"/><Relationship Id="rId123" Type="http://schemas.openxmlformats.org/officeDocument/2006/relationships/hyperlink" Target="../../../AppData/Roaming/Microsoft/Excel/Documents%20Clients/Factures/Facture-20160701-005-Bistrot%20de%20Louise.pdf" TargetMode="External"/><Relationship Id="rId128" Type="http://schemas.openxmlformats.org/officeDocument/2006/relationships/hyperlink" Target="../../../AppData/Roaming/Microsoft/Excel/Documents%20Clients/Factures/Facture-20160701-010-Il%20Paradiso.pdf" TargetMode="External"/><Relationship Id="rId144" Type="http://schemas.openxmlformats.org/officeDocument/2006/relationships/hyperlink" Target="../../../AppData/Roaming/Microsoft/Excel/Documents%20Clients/Factures/Facture-20160802-001-Hotel%20DUETTE.pdf" TargetMode="External"/><Relationship Id="rId149" Type="http://schemas.openxmlformats.org/officeDocument/2006/relationships/hyperlink" Target="../../../AppData/Roaming/Microsoft/Excel/Documents%20Clients/Factures/Facture-20160805-001-Hotel%20DUETTE.pdf" TargetMode="External"/><Relationship Id="rId5" Type="http://schemas.openxmlformats.org/officeDocument/2006/relationships/hyperlink" Target="../../../AppData/Roaming/Microsoft/Excel/Documents%20Clients/Factures/Facture-20151122-005.pdf" TargetMode="External"/><Relationship Id="rId90" Type="http://schemas.openxmlformats.org/officeDocument/2006/relationships/hyperlink" Target="../../../AppData/Roaming/Microsoft/Excel/Documents%20Clients/Factures/Facture-20160502-005-La%20Bouteille%20sur%20la%20Table.pdf" TargetMode="External"/><Relationship Id="rId95" Type="http://schemas.openxmlformats.org/officeDocument/2006/relationships/hyperlink" Target="../../../AppData/Roaming/Microsoft/Excel/Documents%20Clients/Factures/Facture-20160502-010-Autour%20du%20Saumon.pdf" TargetMode="External"/><Relationship Id="rId160" Type="http://schemas.openxmlformats.org/officeDocument/2006/relationships/hyperlink" Target="../../../AppData/Roaming/Microsoft/Excel/Documents%20Clients/Factures/Facture-20160902-010-L'Auberge%20Rouge.pdf" TargetMode="External"/><Relationship Id="rId165" Type="http://schemas.openxmlformats.org/officeDocument/2006/relationships/hyperlink" Target="../../../AppData/Roaming/Microsoft/Excel/Documents%20Clients/Factures/Facture-20160908-001-Le%20Signal.pdf" TargetMode="External"/><Relationship Id="rId181" Type="http://schemas.openxmlformats.org/officeDocument/2006/relationships/hyperlink" Target="../../../AppData/Roaming/Microsoft/Excel/Documents%20Clients/Factures/Facture-20161004-013-Le%20Bitrot%2015.pdf" TargetMode="External"/><Relationship Id="rId186" Type="http://schemas.openxmlformats.org/officeDocument/2006/relationships/hyperlink" Target="../../../AppData/Roaming/Microsoft/Excel/Documents%20Clients/Factures/Facture-20161006-001-Mad%20et%20Mariette.pdf" TargetMode="External"/><Relationship Id="rId216" Type="http://schemas.openxmlformats.org/officeDocument/2006/relationships/comments" Target="../comments2.xml"/><Relationship Id="rId211" Type="http://schemas.openxmlformats.org/officeDocument/2006/relationships/hyperlink" Target="Documents%20Clients\Factures\Facture-20161202-008-L'Auberge%20Rouge.pdf" TargetMode="External"/><Relationship Id="rId22" Type="http://schemas.openxmlformats.org/officeDocument/2006/relationships/hyperlink" Target="../../../AppData/Roaming/Microsoft/Excel/Documents%20Clients/Factures/Facture-20151206-010.pdf" TargetMode="External"/><Relationship Id="rId27" Type="http://schemas.openxmlformats.org/officeDocument/2006/relationships/hyperlink" Target="../../../AppData/Roaming/Microsoft/Excel/Documents%20Clients/Factures/Facture-20151206-015.pdf" TargetMode="External"/><Relationship Id="rId43" Type="http://schemas.openxmlformats.org/officeDocument/2006/relationships/hyperlink" Target="../../../AppData/Roaming/Microsoft/Excel/Documents%20Clients/Factures/Facture-20160102-008-La%20Table%20Monceau.pdf" TargetMode="External"/><Relationship Id="rId48" Type="http://schemas.openxmlformats.org/officeDocument/2006/relationships/hyperlink" Target="../../../AppData/Roaming/Microsoft/Excel/Documents%20Clients/Factures/Facture-20160201-002-Les%20Trois%20Garcons.pdf" TargetMode="External"/><Relationship Id="rId64" Type="http://schemas.openxmlformats.org/officeDocument/2006/relationships/hyperlink" Target="../../../AppData/Roaming/Microsoft/Excel/Documents%20Clients/Factures/Facture-20160301-002-Le%20Signal.pdf" TargetMode="External"/><Relationship Id="rId69" Type="http://schemas.openxmlformats.org/officeDocument/2006/relationships/hyperlink" Target="../../../AppData/Roaming/Microsoft/Excel/Documents%20Clients/Factures/Facture-20160301-007-Le%20Caf&#233;%20des%20Dames.pdf" TargetMode="External"/><Relationship Id="rId113" Type="http://schemas.openxmlformats.org/officeDocument/2006/relationships/hyperlink" Target="../../../AppData/Roaming/Microsoft/Excel/Documents%20Clients/Factures/Facture-20160602-012-Impr&#233;vu.pdf" TargetMode="External"/><Relationship Id="rId118" Type="http://schemas.openxmlformats.org/officeDocument/2006/relationships/hyperlink" Target="../../../AppData/Roaming/Microsoft/Excel/Documents%20Clients/Factures/Facture-20160609-002-MEETING%20THE%20FRENCH.pdf" TargetMode="External"/><Relationship Id="rId134" Type="http://schemas.openxmlformats.org/officeDocument/2006/relationships/hyperlink" Target="../../../AppData/Roaming/Microsoft/Excel/Documents%20Clients/Factures/Facture-20160801-001-Le%20Caf&#233;%20des%20Dames.pdf" TargetMode="External"/><Relationship Id="rId139" Type="http://schemas.openxmlformats.org/officeDocument/2006/relationships/hyperlink" Target="../../../AppData/Roaming/Microsoft/Excel/Documents%20Clients/Factures/Facture-20160801-006-Mad%20et%20Mariette.pdf" TargetMode="External"/><Relationship Id="rId80" Type="http://schemas.openxmlformats.org/officeDocument/2006/relationships/hyperlink" Target="../../../AppData/Roaming/Microsoft/Excel/Documents%20Clients/Factures/Facture-20160401-001-L'Auberge%20Rouge.pdf" TargetMode="External"/><Relationship Id="rId85" Type="http://schemas.openxmlformats.org/officeDocument/2006/relationships/hyperlink" Target="../../../AppData/Roaming/Microsoft/Excel/Documents%20Clients/Factures/Facture-20160407-003-Ch&#226;teauform.pdf" TargetMode="External"/><Relationship Id="rId150" Type="http://schemas.openxmlformats.org/officeDocument/2006/relationships/hyperlink" Target="../../../AppData/Roaming/Microsoft/Excel/Documents%20Clients/Factures/Facture-20160830-001-Tour%20Eiffel.pdf" TargetMode="External"/><Relationship Id="rId155" Type="http://schemas.openxmlformats.org/officeDocument/2006/relationships/hyperlink" Target="../../../AppData/Roaming/Microsoft/Excel/Documents%20Clients/Factures/Facture-20160902-005-La%20Bouteille%20sur%20la%20Table.pdf" TargetMode="External"/><Relationship Id="rId171" Type="http://schemas.openxmlformats.org/officeDocument/2006/relationships/hyperlink" Target="../../../AppData/Roaming/Microsoft/Excel/Documents%20Clients/Factures/Facture-20161004-003-Tourbillon.pdf" TargetMode="External"/><Relationship Id="rId176" Type="http://schemas.openxmlformats.org/officeDocument/2006/relationships/hyperlink" Target="../../../AppData/Roaming/Microsoft/Excel/Documents%20Clients/Factures/Facture-20161004-008-Mad%20et%20Mariette.pdf" TargetMode="External"/><Relationship Id="rId192" Type="http://schemas.openxmlformats.org/officeDocument/2006/relationships/hyperlink" Target="../../../AppData/Roaming/Microsoft/Excel/Documents%20Clients/Factures/Facture-20161103-005-La%20Bouteille%20sur%20la%20Table.pdf" TargetMode="External"/><Relationship Id="rId197" Type="http://schemas.openxmlformats.org/officeDocument/2006/relationships/hyperlink" Target="../../../AppData/Roaming/Microsoft/Excel/Documents%20Clients/Factures/Facture-20161103-010-FRATELLI.pdf" TargetMode="External"/><Relationship Id="rId206" Type="http://schemas.openxmlformats.org/officeDocument/2006/relationships/hyperlink" Target="Documents%20Clients\Factures\Facture-20161202-003-Il%20Paradiso.pdf" TargetMode="External"/><Relationship Id="rId201" Type="http://schemas.openxmlformats.org/officeDocument/2006/relationships/hyperlink" Target="../../../AppData/Roaming/Microsoft/Excel/Documents%20Clients/Factures/Facture-20161103-014-Hu&#238;trerie.pdf" TargetMode="External"/><Relationship Id="rId12" Type="http://schemas.openxmlformats.org/officeDocument/2006/relationships/hyperlink" Target="../../../AppData/Roaming/Microsoft/Excel/Documents%20Clients/Factures/Facture-20151203-001.pdf" TargetMode="External"/><Relationship Id="rId17" Type="http://schemas.openxmlformats.org/officeDocument/2006/relationships/hyperlink" Target="../../../AppData/Roaming/Microsoft/Excel/Documents%20Clients/Factures/Facture-20151206-005.pdf" TargetMode="External"/><Relationship Id="rId33" Type="http://schemas.openxmlformats.org/officeDocument/2006/relationships/hyperlink" Target="../../../AppData/Roaming/Microsoft/Excel/Documents%20Clients/Factures/Facture-20151210-001-Il%20Paradiso.pdf" TargetMode="External"/><Relationship Id="rId38" Type="http://schemas.openxmlformats.org/officeDocument/2006/relationships/hyperlink" Target="../../../AppData/Roaming/Microsoft/Excel/Documents%20Clients/Factures/Facture-20160102-002-Mad%20et%20Mariette.pdf" TargetMode="External"/><Relationship Id="rId59" Type="http://schemas.openxmlformats.org/officeDocument/2006/relationships/hyperlink" Target="../../../AppData/Roaming/Microsoft/Excel/Documents%20Clients/Factures/Facture-20160202-010-Bistrot%20de%20Louise.pdf" TargetMode="External"/><Relationship Id="rId103" Type="http://schemas.openxmlformats.org/officeDocument/2006/relationships/hyperlink" Target="../../../AppData/Roaming/Microsoft/Excel/Documents%20Clients/Factures/Facture-20160602-002-Le%20Bitrot%2015.pdf" TargetMode="External"/><Relationship Id="rId108" Type="http://schemas.openxmlformats.org/officeDocument/2006/relationships/hyperlink" Target="../../../AppData/Roaming/Microsoft/Excel/Documents%20Clients/Factures/Facture-20160602-007-Autour%20du%20Saumon.pdf" TargetMode="External"/><Relationship Id="rId124" Type="http://schemas.openxmlformats.org/officeDocument/2006/relationships/hyperlink" Target="../../../AppData/Roaming/Microsoft/Excel/Documents%20Clients/Factures/Facture-20160701-006-Mad%20et%20Mariette.pdf" TargetMode="External"/><Relationship Id="rId129" Type="http://schemas.openxmlformats.org/officeDocument/2006/relationships/hyperlink" Target="../../../AppData/Roaming/Microsoft/Excel/Documents%20Clients/Factures/Facture-20160701-011-Hu&#238;trerie.pdf" TargetMode="External"/><Relationship Id="rId54" Type="http://schemas.openxmlformats.org/officeDocument/2006/relationships/hyperlink" Target="../../../AppData/Roaming/Microsoft/Excel/Documents%20Clients/Factures/Facture-20160202-005-Le%20Caf&#233;%20des%20Dames.pdf" TargetMode="External"/><Relationship Id="rId70" Type="http://schemas.openxmlformats.org/officeDocument/2006/relationships/hyperlink" Target="../../../AppData/Roaming/Microsoft/Excel/Documents%20Clients/Factures/Facture-20160301-008-Autour%20du%20Saumon.pdf" TargetMode="External"/><Relationship Id="rId75" Type="http://schemas.openxmlformats.org/officeDocument/2006/relationships/hyperlink" Target="../../../AppData/Roaming/Microsoft/Excel/Documents%20Clients/Factures/Facture-20160301-013-Mad%20et%20Mariette.pdf" TargetMode="External"/><Relationship Id="rId91" Type="http://schemas.openxmlformats.org/officeDocument/2006/relationships/hyperlink" Target="../../../AppData/Roaming/Microsoft/Excel/Documents%20Clients/Factures/Facture-20160502-006-Tourbillon.pdf" TargetMode="External"/><Relationship Id="rId96" Type="http://schemas.openxmlformats.org/officeDocument/2006/relationships/hyperlink" Target="../../../AppData/Roaming/Microsoft/Excel/Documents%20Clients/Factures/Facture-20160502-011-Brigitte.pdf" TargetMode="External"/><Relationship Id="rId140" Type="http://schemas.openxmlformats.org/officeDocument/2006/relationships/hyperlink" Target="../../../AppData/Roaming/Microsoft/Excel/Documents%20Clients/Factures/Facture-20160801-007-Impr&#233;vu.pdf" TargetMode="External"/><Relationship Id="rId145" Type="http://schemas.openxmlformats.org/officeDocument/2006/relationships/hyperlink" Target="../../../AppData/Roaming/Microsoft/Excel/Documents%20Clients/Factures/Facture-20160802-002-Les%20Trois%20Garcons.pdf" TargetMode="External"/><Relationship Id="rId161" Type="http://schemas.openxmlformats.org/officeDocument/2006/relationships/hyperlink" Target="../../../AppData/Roaming/Microsoft/Excel/Documents%20Clients/Factures/Facture-20160902-011-Le%20Dome.pdf" TargetMode="External"/><Relationship Id="rId166" Type="http://schemas.openxmlformats.org/officeDocument/2006/relationships/hyperlink" Target="../../../AppData/Roaming/Microsoft/Excel/Documents%20Clients/Factures/Facture-20160908-002-Les%20Trois%20Garcons.pdf" TargetMode="External"/><Relationship Id="rId182" Type="http://schemas.openxmlformats.org/officeDocument/2006/relationships/hyperlink" Target="../../../AppData/Roaming/Microsoft/Excel/Documents%20Clients/Factures/Facture-20161004-014-Le%20Signal.pdf" TargetMode="External"/><Relationship Id="rId187" Type="http://schemas.openxmlformats.org/officeDocument/2006/relationships/hyperlink" Target="../../../AppData/Roaming/Microsoft/Excel/Documents%20Clients/Factures/Facture-20161020-001-Mad%20et%20Mariette.pdf" TargetMode="External"/><Relationship Id="rId1" Type="http://schemas.openxmlformats.org/officeDocument/2006/relationships/hyperlink" Target="../../../AppData/Roaming/Microsoft/Excel/Documents%20Clients/Factures/Facture-20151122-001.pdf" TargetMode="External"/><Relationship Id="rId6" Type="http://schemas.openxmlformats.org/officeDocument/2006/relationships/hyperlink" Target="../../../AppData/Roaming/Microsoft/Excel/Documents%20Clients/Factures/Facture-20151122-006.pdf" TargetMode="External"/><Relationship Id="rId212" Type="http://schemas.openxmlformats.org/officeDocument/2006/relationships/hyperlink" Target="Documents%20Clients\Factures\Facture-20161202-009-FRATELLI.pdf" TargetMode="External"/><Relationship Id="rId23" Type="http://schemas.openxmlformats.org/officeDocument/2006/relationships/hyperlink" Target="../../../AppData/Roaming/Microsoft/Excel/Documents%20Clients/Factures/Facture-20151206-011.pdf" TargetMode="External"/><Relationship Id="rId28" Type="http://schemas.openxmlformats.org/officeDocument/2006/relationships/hyperlink" Target="../../../AppData/Roaming/Microsoft/Excel/Documents%20Clients/Factures/Facture-20151206-016.pdf" TargetMode="External"/><Relationship Id="rId49" Type="http://schemas.openxmlformats.org/officeDocument/2006/relationships/hyperlink" Target="../../../AppData/Roaming/Microsoft/Excel/Documents%20Clients/Factures/Facture-20160201-003-Le%20Bitrot%2015.pdf" TargetMode="External"/><Relationship Id="rId114" Type="http://schemas.openxmlformats.org/officeDocument/2006/relationships/hyperlink" Target="../../../AppData/Roaming/Microsoft/Excel/Documents%20Clients/Factures/Facture-20160602-013-La%20Bouteille%20sur%20la%20Table.pdf" TargetMode="External"/><Relationship Id="rId119" Type="http://schemas.openxmlformats.org/officeDocument/2006/relationships/hyperlink" Target="../../../AppData/Roaming/Microsoft/Excel/Documents%20Clients/Factures/Facture-20160701-001-Le%20Caf&#233;%20des%20Dames.pdf" TargetMode="External"/><Relationship Id="rId44" Type="http://schemas.openxmlformats.org/officeDocument/2006/relationships/hyperlink" Target="../../../AppData/Roaming/Microsoft/Excel/Documents%20Clients/Factures/Facture-20160108-001-Impr&#233;vu.pdf" TargetMode="External"/><Relationship Id="rId60" Type="http://schemas.openxmlformats.org/officeDocument/2006/relationships/hyperlink" Target="../../../AppData/Roaming/Microsoft/Excel/Documents%20Clients/Factures/Facture-20160202-011-Mad%20et%20Mariette.pdf" TargetMode="External"/><Relationship Id="rId65" Type="http://schemas.openxmlformats.org/officeDocument/2006/relationships/hyperlink" Target="../../../AppData/Roaming/Microsoft/Excel/Documents%20Clients/Factures/Facture-20160301-003-Hu&#238;trerie.pdf" TargetMode="External"/><Relationship Id="rId81" Type="http://schemas.openxmlformats.org/officeDocument/2006/relationships/hyperlink" Target="../../../AppData/Roaming/Microsoft/Excel/Documents%20Clients/Factures/Facture-20160401-002-Le%20Caf&#233;%20des%20Dames.pdf" TargetMode="External"/><Relationship Id="rId86" Type="http://schemas.openxmlformats.org/officeDocument/2006/relationships/hyperlink" Target="../../../AppData/Roaming/Microsoft/Excel/Documents%20Clients/Factures/Facture-20160502-001-La%20Table%20Monceau.pdf" TargetMode="External"/><Relationship Id="rId130" Type="http://schemas.openxmlformats.org/officeDocument/2006/relationships/hyperlink" Target="../../../AppData/Roaming/Microsoft/Excel/Documents%20Clients/Factures/Facture-20160701-012-Les%20Trois%20Garcons.pdf" TargetMode="External"/><Relationship Id="rId135" Type="http://schemas.openxmlformats.org/officeDocument/2006/relationships/hyperlink" Target="../../../AppData/Roaming/Microsoft/Excel/Documents%20Clients/Factures/Facture-20160801-002-L'Auberge%20Rouge.pdf" TargetMode="External"/><Relationship Id="rId151" Type="http://schemas.openxmlformats.org/officeDocument/2006/relationships/hyperlink" Target="../../../AppData/Roaming/Microsoft/Excel/Documents%20Clients/Factures/Facture-20160902-001-Impr&#233;vu.pdf" TargetMode="External"/><Relationship Id="rId156" Type="http://schemas.openxmlformats.org/officeDocument/2006/relationships/hyperlink" Target="../../../AppData/Roaming/Microsoft/Excel/Documents%20Clients/Factures/Facture-20160902-006-Bistrot%20de%20Louise.pdf" TargetMode="External"/><Relationship Id="rId177" Type="http://schemas.openxmlformats.org/officeDocument/2006/relationships/hyperlink" Target="../../../AppData/Roaming/Microsoft/Excel/Documents%20Clients/Factures/Facture-20161004-009-Bistrot%20de%20Louise.pdf" TargetMode="External"/><Relationship Id="rId198" Type="http://schemas.openxmlformats.org/officeDocument/2006/relationships/hyperlink" Target="../../../AppData/Roaming/Microsoft/Excel/Documents%20Clients/Factures/Facture-20161103-011-LA%20MAISON.pdf" TargetMode="External"/><Relationship Id="rId172" Type="http://schemas.openxmlformats.org/officeDocument/2006/relationships/hyperlink" Target="../../../AppData/Roaming/Microsoft/Excel/Documents%20Clients/Factures/Facture-20161004-004-Il%20Paradiso.pdf" TargetMode="External"/><Relationship Id="rId193" Type="http://schemas.openxmlformats.org/officeDocument/2006/relationships/hyperlink" Target="../../../AppData/Roaming/Microsoft/Excel/Documents%20Clients/Factures/Facture-20161103-006-Impr&#233;vu.pdf" TargetMode="External"/><Relationship Id="rId202" Type="http://schemas.openxmlformats.org/officeDocument/2006/relationships/hyperlink" Target="../../../AppData/Roaming/Microsoft/Excel/Documents%20Clients/Factures/Facture-20161103-015-Le%20Signal.pdf" TargetMode="External"/><Relationship Id="rId207" Type="http://schemas.openxmlformats.org/officeDocument/2006/relationships/hyperlink" Target="Documents%20Clients\Factures\Facture-20161202-004-Impr&#233;vu.pdf" TargetMode="External"/><Relationship Id="rId13" Type="http://schemas.openxmlformats.org/officeDocument/2006/relationships/hyperlink" Target="../../../AppData/Roaming/Microsoft/Excel/Documents%20Clients/Factures/Facture-20151206-001.pdf" TargetMode="External"/><Relationship Id="rId18" Type="http://schemas.openxmlformats.org/officeDocument/2006/relationships/hyperlink" Target="../../../AppData/Roaming/Microsoft/Excel/Documents%20Clients/Factures/Facture-20151206-006.pdf" TargetMode="External"/><Relationship Id="rId39" Type="http://schemas.openxmlformats.org/officeDocument/2006/relationships/hyperlink" Target="../../../AppData/Roaming/Microsoft/Excel/Documents%20Clients/Factures/Facture-20160102-003-La%20Bouteille%20sur%20la%20Table.pdf" TargetMode="External"/><Relationship Id="rId109" Type="http://schemas.openxmlformats.org/officeDocument/2006/relationships/hyperlink" Target="../../../AppData/Roaming/Microsoft/Excel/Documents%20Clients/Factures/Facture-20160602-008-Brigitte.pdf" TargetMode="External"/><Relationship Id="rId34" Type="http://schemas.openxmlformats.org/officeDocument/2006/relationships/hyperlink" Target="../../../AppData/Roaming/Microsoft/Excel/Documents%20Clients/Factures/Facture-20151218-001-Ch&#226;teauform.pdf" TargetMode="External"/><Relationship Id="rId50" Type="http://schemas.openxmlformats.org/officeDocument/2006/relationships/hyperlink" Target="../../../AppData/Roaming/Microsoft/Excel/Documents%20Clients/Factures/Facture-20160202-001-Hu&#238;trerie.pdf" TargetMode="External"/><Relationship Id="rId55" Type="http://schemas.openxmlformats.org/officeDocument/2006/relationships/hyperlink" Target="../../../AppData/Roaming/Microsoft/Excel/Documents%20Clients/Factures/Facture-20160202-006-L'Auberge%20Rouge.pdf" TargetMode="External"/><Relationship Id="rId76" Type="http://schemas.openxmlformats.org/officeDocument/2006/relationships/hyperlink" Target="../../../AppData/Roaming/Microsoft/Excel/Documents%20Clients/Factures/Facture-20160301-014-Impr&#233;vu.pdf" TargetMode="External"/><Relationship Id="rId97" Type="http://schemas.openxmlformats.org/officeDocument/2006/relationships/hyperlink" Target="../../../AppData/Roaming/Microsoft/Excel/Documents%20Clients/Factures/Facture-20160502-012-Bistrot%20des%20Vignes.pdf" TargetMode="External"/><Relationship Id="rId104" Type="http://schemas.openxmlformats.org/officeDocument/2006/relationships/hyperlink" Target="../../../AppData/Roaming/Microsoft/Excel/Documents%20Clients/Factures/Facture-20160602-003-Hu&#238;trerie.pdf" TargetMode="External"/><Relationship Id="rId120" Type="http://schemas.openxmlformats.org/officeDocument/2006/relationships/hyperlink" Target="../../../AppData/Roaming/Microsoft/Excel/Documents%20Clients/Factures/Facture-20160701-002-L'Auberge%20Rouge.pdf" TargetMode="External"/><Relationship Id="rId125" Type="http://schemas.openxmlformats.org/officeDocument/2006/relationships/hyperlink" Target="../../../AppData/Roaming/Microsoft/Excel/Documents%20Clients/Factures/Facture-20160701-007-Impr&#233;vu.pdf" TargetMode="External"/><Relationship Id="rId141" Type="http://schemas.openxmlformats.org/officeDocument/2006/relationships/hyperlink" Target="../../../AppData/Roaming/Microsoft/Excel/Documents%20Clients/Factures/Facture-20160801-008-La%20Bouteille%20sur%20la%20Table.pdf" TargetMode="External"/><Relationship Id="rId146" Type="http://schemas.openxmlformats.org/officeDocument/2006/relationships/hyperlink" Target="../../../AppData/Roaming/Microsoft/Excel/Documents%20Clients/Factures/Facture-20160802-003-Le%20Signal.pdf" TargetMode="External"/><Relationship Id="rId167" Type="http://schemas.openxmlformats.org/officeDocument/2006/relationships/hyperlink" Target="../../../AppData/Roaming/Microsoft/Excel/Documents%20Clients/Factures/Facture-20160908-003-Le%20Bitrot%2015.pdf" TargetMode="External"/><Relationship Id="rId188" Type="http://schemas.openxmlformats.org/officeDocument/2006/relationships/hyperlink" Target="../../../AppData/Roaming/Microsoft/Excel/Documents%20Clients/Factures/Facture-20161103-001-Le%20Caf&#233;%20des%20Dames.pdf" TargetMode="External"/><Relationship Id="rId7" Type="http://schemas.openxmlformats.org/officeDocument/2006/relationships/hyperlink" Target="../../../AppData/Roaming/Microsoft/Excel/Documents%20Clients/Factures/Facture-20151122-007.pdf" TargetMode="External"/><Relationship Id="rId71" Type="http://schemas.openxmlformats.org/officeDocument/2006/relationships/hyperlink" Target="../../../AppData/Roaming/Microsoft/Excel/Documents%20Clients/Factures/Facture-20160301-009-Brigitte.pdf" TargetMode="External"/><Relationship Id="rId92" Type="http://schemas.openxmlformats.org/officeDocument/2006/relationships/hyperlink" Target="../../../AppData/Roaming/Microsoft/Excel/Documents%20Clients/Factures/Facture-20160502-007-Il%20Paradiso.pdf" TargetMode="External"/><Relationship Id="rId162" Type="http://schemas.openxmlformats.org/officeDocument/2006/relationships/hyperlink" Target="../../../AppData/Roaming/Microsoft/Excel/Documents%20Clients/Factures/Facture-20160902-012-MEETING%20THE%20FRENCH.pdf" TargetMode="External"/><Relationship Id="rId183" Type="http://schemas.openxmlformats.org/officeDocument/2006/relationships/hyperlink" Target="../../../AppData/Roaming/Microsoft/Excel/Documents%20Clients/Factures/Facture-20161004-015-Les%20Trois%20Garcons.pdf" TargetMode="External"/><Relationship Id="rId213" Type="http://schemas.openxmlformats.org/officeDocument/2006/relationships/hyperlink" Target="Documents%20Clients\Factures\Facture-20161212-001-La%20Table%20Monceau.pdf" TargetMode="External"/><Relationship Id="rId2" Type="http://schemas.openxmlformats.org/officeDocument/2006/relationships/hyperlink" Target="../../../AppData/Roaming/Microsoft/Excel/Documents%20Clients/Factures/Facture-20151122-002.pdf" TargetMode="External"/><Relationship Id="rId29" Type="http://schemas.openxmlformats.org/officeDocument/2006/relationships/hyperlink" Target="../../../AppData/Roaming/Microsoft/Excel/Documents%20Clients/Factures/Facture-20151206-017.pdf" TargetMode="External"/><Relationship Id="rId24" Type="http://schemas.openxmlformats.org/officeDocument/2006/relationships/hyperlink" Target="../../../AppData/Roaming/Microsoft/Excel/Documents%20Clients/Factures/Facture-20151206-012.pdf" TargetMode="External"/><Relationship Id="rId40" Type="http://schemas.openxmlformats.org/officeDocument/2006/relationships/hyperlink" Target="../../../AppData/Roaming/Microsoft/Excel/Documents%20Clients/Factures/Facture-20160102-005-Tourbillon.pdf" TargetMode="External"/><Relationship Id="rId45" Type="http://schemas.openxmlformats.org/officeDocument/2006/relationships/hyperlink" Target="../../../AppData/Roaming/Microsoft/Excel/Documents%20Clients/Factures/Facture-20160108-002-MEETING%20THE%20FRENCH.pdf" TargetMode="External"/><Relationship Id="rId66" Type="http://schemas.openxmlformats.org/officeDocument/2006/relationships/hyperlink" Target="../../../AppData/Roaming/Microsoft/Excel/Documents%20Clients/Factures/Facture-20160301-004-Les%20Trois%20Garcons.pdf" TargetMode="External"/><Relationship Id="rId87" Type="http://schemas.openxmlformats.org/officeDocument/2006/relationships/hyperlink" Target="../../../AppData/Roaming/Microsoft/Excel/Documents%20Clients/Factures/Facture-20160502-002-Bistrot%20de%20Louise.pdf" TargetMode="External"/><Relationship Id="rId110" Type="http://schemas.openxmlformats.org/officeDocument/2006/relationships/hyperlink" Target="../../../AppData/Roaming/Microsoft/Excel/Documents%20Clients/Factures/Facture-20160602-009-Bistrot%20des%20Vignes.pdf" TargetMode="External"/><Relationship Id="rId115" Type="http://schemas.openxmlformats.org/officeDocument/2006/relationships/hyperlink" Target="../../../AppData/Roaming/Microsoft/Excel/Documents%20Clients/Factures/Facture-20160602-014-Tourbillon.pdf" TargetMode="External"/><Relationship Id="rId131" Type="http://schemas.openxmlformats.org/officeDocument/2006/relationships/hyperlink" Target="../../../AppData/Roaming/Microsoft/Excel/Documents%20Clients/Factures/Facture-20160701-013-Le%20Signal.pdf" TargetMode="External"/><Relationship Id="rId136" Type="http://schemas.openxmlformats.org/officeDocument/2006/relationships/hyperlink" Target="../../../AppData/Roaming/Microsoft/Excel/Documents%20Clients/Factures/Facture-20160801-003-Autour%20du%20Saumon.pdf" TargetMode="External"/><Relationship Id="rId157" Type="http://schemas.openxmlformats.org/officeDocument/2006/relationships/hyperlink" Target="../../../AppData/Roaming/Microsoft/Excel/Documents%20Clients/Factures/Facture-20160902-007-Tourbillon.pdf" TargetMode="External"/><Relationship Id="rId178" Type="http://schemas.openxmlformats.org/officeDocument/2006/relationships/hyperlink" Target="../../../AppData/Roaming/Microsoft/Excel/Documents%20Clients/Factures/Facture-20161004-010-FRATELLI.pdf" TargetMode="External"/><Relationship Id="rId61" Type="http://schemas.openxmlformats.org/officeDocument/2006/relationships/hyperlink" Target="../../../AppData/Roaming/Microsoft/Excel/Documents%20Clients/Factures/Facture-20160202-012-Impr&#233;vu.pdf" TargetMode="External"/><Relationship Id="rId82" Type="http://schemas.openxmlformats.org/officeDocument/2006/relationships/hyperlink" Target="../../../AppData/Roaming/Microsoft/Excel/Documents%20Clients/Factures/Facture-20160401-003-Ch&#226;teauform.pdf" TargetMode="External"/><Relationship Id="rId152" Type="http://schemas.openxmlformats.org/officeDocument/2006/relationships/hyperlink" Target="../../../AppData/Roaming/Microsoft/Excel/Documents%20Clients/Factures/Facture-20160902-002-Brigitte.pdf" TargetMode="External"/><Relationship Id="rId173" Type="http://schemas.openxmlformats.org/officeDocument/2006/relationships/hyperlink" Target="../../../AppData/Roaming/Microsoft/Excel/Documents%20Clients/Factures/Facture-20161004-005-La%20Bouteille%20sur%20la%20Table.pdf" TargetMode="External"/><Relationship Id="rId194" Type="http://schemas.openxmlformats.org/officeDocument/2006/relationships/hyperlink" Target="../../../AppData/Roaming/Microsoft/Excel/Documents%20Clients/Factures/Facture-20161103-007-Autour%20du%20Saumon.pdf" TargetMode="External"/><Relationship Id="rId199" Type="http://schemas.openxmlformats.org/officeDocument/2006/relationships/hyperlink" Target="../../../AppData/Roaming/Microsoft/Excel/Documents%20Clients/Factures/Facture-20161103-012-La%20Table%20Monceau.pdf" TargetMode="External"/><Relationship Id="rId203" Type="http://schemas.openxmlformats.org/officeDocument/2006/relationships/hyperlink" Target="Documents%20Clients\Factures\Facture-20161103-016-Brigitte.pdf" TargetMode="External"/><Relationship Id="rId208" Type="http://schemas.openxmlformats.org/officeDocument/2006/relationships/hyperlink" Target="Documents%20Clients\Factures\Facture-20161202-005-Autour%20du%20Saumon.pdf" TargetMode="External"/><Relationship Id="rId19" Type="http://schemas.openxmlformats.org/officeDocument/2006/relationships/hyperlink" Target="../../../AppData/Roaming/Microsoft/Excel/Documents%20Clients/Factures/Facture-20151206-007.pdf" TargetMode="External"/><Relationship Id="rId14" Type="http://schemas.openxmlformats.org/officeDocument/2006/relationships/hyperlink" Target="../../../AppData/Roaming/Microsoft/Excel/Documents%20Clients/Factures/Facture-20151206-002.pdf" TargetMode="External"/><Relationship Id="rId30" Type="http://schemas.openxmlformats.org/officeDocument/2006/relationships/hyperlink" Target="../../../AppData/Roaming/Microsoft/Excel/Documents%20Clients/Factures/Facture-20151207-001.pdf" TargetMode="External"/><Relationship Id="rId35" Type="http://schemas.openxmlformats.org/officeDocument/2006/relationships/hyperlink" Target="../../../AppData/Roaming/Microsoft/Excel/Documents%20Clients/Factures/Facture-20151018-001-Ch&#226;teauform.pdf" TargetMode="External"/><Relationship Id="rId56" Type="http://schemas.openxmlformats.org/officeDocument/2006/relationships/hyperlink" Target="../../../AppData/Roaming/Microsoft/Excel/Documents%20Clients/Factures/Facture-20160202-007-Autour%20du%20Saumon.pdf" TargetMode="External"/><Relationship Id="rId77" Type="http://schemas.openxmlformats.org/officeDocument/2006/relationships/hyperlink" Target="../../../AppData/Roaming/Microsoft/Excel/Documents%20Clients/Factures/Facture-20160301-015-Tourbillon.pdf" TargetMode="External"/><Relationship Id="rId100" Type="http://schemas.openxmlformats.org/officeDocument/2006/relationships/hyperlink" Target="../../../AppData/Roaming/Microsoft/Excel/Documents%20Clients/Factures/Facture-20160503-003-Le%20Bitrot%2015.pdf" TargetMode="External"/><Relationship Id="rId105" Type="http://schemas.openxmlformats.org/officeDocument/2006/relationships/hyperlink" Target="../../../AppData/Roaming/Microsoft/Excel/Documents%20Clients/Factures/Facture-20160602-004-Les%20Trois%20Garcons.pdf" TargetMode="External"/><Relationship Id="rId126" Type="http://schemas.openxmlformats.org/officeDocument/2006/relationships/hyperlink" Target="../../../AppData/Roaming/Microsoft/Excel/Documents%20Clients/Factures/Facture-20160701-008-La%20Bouteille%20sur%20la%20Table.pdf" TargetMode="External"/><Relationship Id="rId147" Type="http://schemas.openxmlformats.org/officeDocument/2006/relationships/hyperlink" Target="../../../AppData/Roaming/Microsoft/Excel/Documents%20Clients/Factures/Facture-20160802-004-Le%20Bitrot%2015.pdf" TargetMode="External"/><Relationship Id="rId168" Type="http://schemas.openxmlformats.org/officeDocument/2006/relationships/hyperlink" Target="../../../AppData/Roaming/Microsoft/Excel/Documents%20Clients/Factures/Facture-20160908-004-Hu&#238;trerie.pdf" TargetMode="External"/><Relationship Id="rId8" Type="http://schemas.openxmlformats.org/officeDocument/2006/relationships/hyperlink" Target="../../../AppData/Roaming/Microsoft/Excel/Documents%20Clients/Factures/Facture-20151122-008.pdf" TargetMode="External"/><Relationship Id="rId51" Type="http://schemas.openxmlformats.org/officeDocument/2006/relationships/hyperlink" Target="../../../AppData/Roaming/Microsoft/Excel/Documents%20Clients/Factures/Facture-20160202-002-La%20Table%20Monceau.pdf" TargetMode="External"/><Relationship Id="rId72" Type="http://schemas.openxmlformats.org/officeDocument/2006/relationships/hyperlink" Target="../../../AppData/Roaming/Microsoft/Excel/Documents%20Clients/Factures/Facture-20160301-010-Bistrot%20des%20Vignes.pdf" TargetMode="External"/><Relationship Id="rId93" Type="http://schemas.openxmlformats.org/officeDocument/2006/relationships/hyperlink" Target="../../../AppData/Roaming/Microsoft/Excel/Documents%20Clients/Factures/Facture-20160502-008-Le%20Caf&#233;%20des%20Dames.pdf" TargetMode="External"/><Relationship Id="rId98" Type="http://schemas.openxmlformats.org/officeDocument/2006/relationships/hyperlink" Target="../../../AppData/Roaming/Microsoft/Excel/Documents%20Clients/Factures/Facture-20160503-001-Hu&#238;trerie.pdf" TargetMode="External"/><Relationship Id="rId121" Type="http://schemas.openxmlformats.org/officeDocument/2006/relationships/hyperlink" Target="../../../AppData/Roaming/Microsoft/Excel/Documents%20Clients/Factures/Facture-20160701-003-Autour%20du%20Saumon.pdf" TargetMode="External"/><Relationship Id="rId142" Type="http://schemas.openxmlformats.org/officeDocument/2006/relationships/hyperlink" Target="../../../AppData/Roaming/Microsoft/Excel/Documents%20Clients/Factures/Facture-20160801-009-Tourbillon.pdf" TargetMode="External"/><Relationship Id="rId163" Type="http://schemas.openxmlformats.org/officeDocument/2006/relationships/hyperlink" Target="../../../AppData/Roaming/Microsoft/Excel/Documents%20Clients/Factures/Facture-20160905-001-La%20Table%20Monceau.pdf" TargetMode="External"/><Relationship Id="rId184" Type="http://schemas.openxmlformats.org/officeDocument/2006/relationships/hyperlink" Target="../../../AppData/Roaming/Microsoft/Excel/Documents%20Clients/Factures/Facture-20161004-016-Hu&#238;trerie.pdf" TargetMode="External"/><Relationship Id="rId189" Type="http://schemas.openxmlformats.org/officeDocument/2006/relationships/hyperlink" Target="../../../AppData/Roaming/Microsoft/Excel/Documents%20Clients/Factures/Facture-20161103-002-L'Auberge%20Rouge.pdf" TargetMode="External"/><Relationship Id="rId3" Type="http://schemas.openxmlformats.org/officeDocument/2006/relationships/hyperlink" Target="../../../AppData/Roaming/Microsoft/Excel/Documents%20Clients/Factures/Facture-20151122-003.pdf" TargetMode="External"/><Relationship Id="rId214" Type="http://schemas.openxmlformats.org/officeDocument/2006/relationships/printerSettings" Target="../printerSettings/printerSettings8.bin"/><Relationship Id="rId25" Type="http://schemas.openxmlformats.org/officeDocument/2006/relationships/hyperlink" Target="../../../AppData/Roaming/Microsoft/Excel/Documents%20Clients/Factures/Facture-20151206-013.pdf" TargetMode="External"/><Relationship Id="rId46" Type="http://schemas.openxmlformats.org/officeDocument/2006/relationships/hyperlink" Target="../../../AppData/Roaming/Microsoft/Excel/Documents%20Clients/Factures/Facture-20160130-001-La%20Table%20Monceau.pdf" TargetMode="External"/><Relationship Id="rId67" Type="http://schemas.openxmlformats.org/officeDocument/2006/relationships/hyperlink" Target="../../../AppData/Roaming/Microsoft/Excel/Documents%20Clients/Factures/Facture-20160301-005-Ch&#226;teauform.pdf" TargetMode="External"/><Relationship Id="rId116" Type="http://schemas.openxmlformats.org/officeDocument/2006/relationships/hyperlink" Target="../../../AppData/Roaming/Microsoft/Excel/Documents%20Clients/Factures/Facture-20160602-015-Il%20Paradiso.pdf" TargetMode="External"/><Relationship Id="rId137" Type="http://schemas.openxmlformats.org/officeDocument/2006/relationships/hyperlink" Target="../../../AppData/Roaming/Microsoft/Excel/Documents%20Clients/Factures/Facture-20160801-004-Brigitte.pdf" TargetMode="External"/><Relationship Id="rId158" Type="http://schemas.openxmlformats.org/officeDocument/2006/relationships/hyperlink" Target="../../../AppData/Roaming/Microsoft/Excel/Documents%20Clients/Factures/Facture-20160902-008-Il%20Paradiso.pdf" TargetMode="External"/><Relationship Id="rId20" Type="http://schemas.openxmlformats.org/officeDocument/2006/relationships/hyperlink" Target="../../../AppData/Roaming/Microsoft/Excel/Documents%20Clients/Factures/Facture-20151206-008.pdf" TargetMode="External"/><Relationship Id="rId41" Type="http://schemas.openxmlformats.org/officeDocument/2006/relationships/hyperlink" Target="../../../AppData/Roaming/Microsoft/Excel/Documents%20Clients/Factures/Facture-20160102-006-Il%20Paradiso.pdf" TargetMode="External"/><Relationship Id="rId62" Type="http://schemas.openxmlformats.org/officeDocument/2006/relationships/hyperlink" Target="../../../AppData/Roaming/Microsoft/Excel/Documents%20Clients/Factures/Facture-20160205-001-Hotel%20Monceau%20Etoile.pdf" TargetMode="External"/><Relationship Id="rId83" Type="http://schemas.openxmlformats.org/officeDocument/2006/relationships/hyperlink" Target="../../../AppData/Roaming/Microsoft/Excel/Documents%20Clients/Factures/Facture-20160407-001-Hotel%20Monceau%20Etoile.pdf" TargetMode="External"/><Relationship Id="rId88" Type="http://schemas.openxmlformats.org/officeDocument/2006/relationships/hyperlink" Target="../../../AppData/Roaming/Microsoft/Excel/Documents%20Clients/Factures/Facture-20160502-003-Mad%20et%20Mariette.pdf" TargetMode="External"/><Relationship Id="rId111" Type="http://schemas.openxmlformats.org/officeDocument/2006/relationships/hyperlink" Target="../../../AppData/Roaming/Microsoft/Excel/Documents%20Clients/Factures/Facture-20160602-010-Bistrot%20de%20Louise.pdf" TargetMode="External"/><Relationship Id="rId132" Type="http://schemas.openxmlformats.org/officeDocument/2006/relationships/hyperlink" Target="../../../AppData/Roaming/Microsoft/Excel/Documents%20Clients/Factures/Facture-20160701-014-Le%20Bitrot%2015.pdf" TargetMode="External"/><Relationship Id="rId153" Type="http://schemas.openxmlformats.org/officeDocument/2006/relationships/hyperlink" Target="../../../AppData/Roaming/Microsoft/Excel/Documents%20Clients/Factures/Facture-20160902-003-Autour%20du%20Saumon.pdf" TargetMode="External"/><Relationship Id="rId174" Type="http://schemas.openxmlformats.org/officeDocument/2006/relationships/hyperlink" Target="../../../AppData/Roaming/Microsoft/Excel/Documents%20Clients/Factures/Facture-20161004-006-Impr&#233;vu.pdf" TargetMode="External"/><Relationship Id="rId179" Type="http://schemas.openxmlformats.org/officeDocument/2006/relationships/hyperlink" Target="../../../AppData/Roaming/Microsoft/Excel/Documents%20Clients/Factures/Facture-20161004-011-La%20Table%20Monceau.pdf" TargetMode="External"/><Relationship Id="rId195" Type="http://schemas.openxmlformats.org/officeDocument/2006/relationships/hyperlink" Target="../../../AppData/Roaming/Microsoft/Excel/Documents%20Clients/Factures/Facture-20161103-008-Bistrot%20de%20Louise.pdf" TargetMode="External"/><Relationship Id="rId209" Type="http://schemas.openxmlformats.org/officeDocument/2006/relationships/hyperlink" Target="Documents%20Clients\Factures\Facture-20161202-006-LA%20MAISON.pdf" TargetMode="External"/><Relationship Id="rId190" Type="http://schemas.openxmlformats.org/officeDocument/2006/relationships/hyperlink" Target="../../../AppData/Roaming/Microsoft/Excel/Documents%20Clients/Factures/Facture-20161103-003-Brigitte.pdf" TargetMode="External"/><Relationship Id="rId204" Type="http://schemas.openxmlformats.org/officeDocument/2006/relationships/hyperlink" Target="Documents%20Clients\Factures\Facture-20161202-001-Tourbillon.pdf" TargetMode="External"/><Relationship Id="rId15" Type="http://schemas.openxmlformats.org/officeDocument/2006/relationships/hyperlink" Target="../../../AppData/Roaming/Microsoft/Excel/Documents%20Clients/Factures/Facture-20151206-003.pdf" TargetMode="External"/><Relationship Id="rId36" Type="http://schemas.openxmlformats.org/officeDocument/2006/relationships/hyperlink" Target="../../../AppData/Roaming/Microsoft/Excel/Documents%20Clients/Factures/Facture-20160102-004-Bistrot%20des%20Vignes.pdf" TargetMode="External"/><Relationship Id="rId57" Type="http://schemas.openxmlformats.org/officeDocument/2006/relationships/hyperlink" Target="../../../AppData/Roaming/Microsoft/Excel/Documents%20Clients/Factures/Facture-20160202-008-Brigitte.pdf" TargetMode="External"/><Relationship Id="rId106" Type="http://schemas.openxmlformats.org/officeDocument/2006/relationships/hyperlink" Target="../../../AppData/Roaming/Microsoft/Excel/Documents%20Clients/Factures/Facture-20160602-005-Le%20Caf&#233;%20des%20Dames.pdf" TargetMode="External"/><Relationship Id="rId127" Type="http://schemas.openxmlformats.org/officeDocument/2006/relationships/hyperlink" Target="../../../AppData/Roaming/Microsoft/Excel/Documents%20Clients/Factures/Facture-20160701-009-Tourbillon.pdf" TargetMode="External"/><Relationship Id="rId10" Type="http://schemas.openxmlformats.org/officeDocument/2006/relationships/hyperlink" Target="../../../AppData/Roaming/Microsoft/Excel/Documents%20Clients/Factures/Facture-20151122-010.pdf" TargetMode="External"/><Relationship Id="rId31" Type="http://schemas.openxmlformats.org/officeDocument/2006/relationships/hyperlink" Target="../../../AppData/Roaming/Microsoft/Excel/Documents%20Clients/Factures/Facture-20151207-002-Hotel%20Monceau%20Etoile.pdf" TargetMode="External"/><Relationship Id="rId52" Type="http://schemas.openxmlformats.org/officeDocument/2006/relationships/hyperlink" Target="../../../AppData/Roaming/Microsoft/Excel/Documents%20Clients/Factures/Facture-20160202-003-Tourbillon.pdf" TargetMode="External"/><Relationship Id="rId73" Type="http://schemas.openxmlformats.org/officeDocument/2006/relationships/hyperlink" Target="../../../AppData/Roaming/Microsoft/Excel/Documents%20Clients/Factures/Facture-20160301-011-Bistrot%20de%20Louise.pdf" TargetMode="External"/><Relationship Id="rId78" Type="http://schemas.openxmlformats.org/officeDocument/2006/relationships/hyperlink" Target="../../../AppData/Roaming/Microsoft/Excel/Documents%20Clients/Factures/Facture-20160301-016-Il%20Paradiso.pdf" TargetMode="External"/><Relationship Id="rId94" Type="http://schemas.openxmlformats.org/officeDocument/2006/relationships/hyperlink" Target="../../../AppData/Roaming/Microsoft/Excel/Documents%20Clients/Factures/Facture-20160502-009-L'Auberge%20Rouge.pdf" TargetMode="External"/><Relationship Id="rId99" Type="http://schemas.openxmlformats.org/officeDocument/2006/relationships/hyperlink" Target="../../../AppData/Roaming/Microsoft/Excel/Documents%20Clients/Factures/Facture-20160503-002-Hu&#238;trerie.pdf" TargetMode="External"/><Relationship Id="rId101" Type="http://schemas.openxmlformats.org/officeDocument/2006/relationships/hyperlink" Target="../../../AppData/Roaming/Microsoft/Excel/Documents%20Clients/Factures/Facture-20160503-004-Le%20Signal.pdf" TargetMode="External"/><Relationship Id="rId122" Type="http://schemas.openxmlformats.org/officeDocument/2006/relationships/hyperlink" Target="../../../AppData/Roaming/Microsoft/Excel/Documents%20Clients/Factures/Facture-20160701-004-Brigitte.pdf" TargetMode="External"/><Relationship Id="rId143" Type="http://schemas.openxmlformats.org/officeDocument/2006/relationships/hyperlink" Target="../../../AppData/Roaming/Microsoft/Excel/Documents%20Clients/Factures/Facture-20160801-010-Il%20Paradiso.pdf" TargetMode="External"/><Relationship Id="rId148" Type="http://schemas.openxmlformats.org/officeDocument/2006/relationships/hyperlink" Target="../../../AppData/Roaming/Microsoft/Excel/Documents%20Clients/Factures/Facture-20160802-005-Hu&#238;trerie.pdf" TargetMode="External"/><Relationship Id="rId164" Type="http://schemas.openxmlformats.org/officeDocument/2006/relationships/hyperlink" Target="../../../AppData/Roaming/Microsoft/Excel/Documents%20Clients/Factures/Facture-20160905-002-Hotel%20DUETTE.pdf" TargetMode="External"/><Relationship Id="rId169" Type="http://schemas.openxmlformats.org/officeDocument/2006/relationships/hyperlink" Target="../../../AppData/Roaming/Microsoft/Excel/Documents%20Clients/Factures/Facture-20161004-001-L'Auberge%20Rouge.pdf" TargetMode="External"/><Relationship Id="rId185" Type="http://schemas.openxmlformats.org/officeDocument/2006/relationships/hyperlink" Target="../../../AppData/Roaming/Microsoft/Excel/Documents%20Clients/Factures/Facture-20161004-017-FRATELLI.pdf" TargetMode="External"/><Relationship Id="rId4" Type="http://schemas.openxmlformats.org/officeDocument/2006/relationships/hyperlink" Target="../../../AppData/Roaming/Microsoft/Excel/Documents%20Clients/Factures/Facture-20151122-004.pdf" TargetMode="External"/><Relationship Id="rId9" Type="http://schemas.openxmlformats.org/officeDocument/2006/relationships/hyperlink" Target="../../../AppData/Roaming/Microsoft/Excel/Documents%20Clients/Factures/Facture-20151122-009.pdf" TargetMode="External"/><Relationship Id="rId180" Type="http://schemas.openxmlformats.org/officeDocument/2006/relationships/hyperlink" Target="../../../AppData/Roaming/Microsoft/Excel/Documents%20Clients/Factures/Facture-20161004-012-MEETING%20THE%20FRENCH.pdf" TargetMode="External"/><Relationship Id="rId210" Type="http://schemas.openxmlformats.org/officeDocument/2006/relationships/hyperlink" Target="Documents%20Clients\Factures\Facture-20161202-007-Le%20Caf&#233;%20des%20Dames.pdf" TargetMode="External"/><Relationship Id="rId215" Type="http://schemas.openxmlformats.org/officeDocument/2006/relationships/vmlDrawing" Target="../drawings/vmlDrawing6.vml"/><Relationship Id="rId26" Type="http://schemas.openxmlformats.org/officeDocument/2006/relationships/hyperlink" Target="../../../AppData/Roaming/Microsoft/Excel/Documents%20Clients/Factures/Facture-20151206-014.pdf" TargetMode="External"/><Relationship Id="rId47" Type="http://schemas.openxmlformats.org/officeDocument/2006/relationships/hyperlink" Target="../../../AppData/Roaming/Microsoft/Excel/Documents%20Clients/Factures/Facture-20160201-001-Le%20Signal.pdf" TargetMode="External"/><Relationship Id="rId68" Type="http://schemas.openxmlformats.org/officeDocument/2006/relationships/hyperlink" Target="../../../AppData/Roaming/Microsoft/Excel/Documents%20Clients/Factures/Facture-20160301-006-L'Auberge%20Rouge.pdf" TargetMode="External"/><Relationship Id="rId89" Type="http://schemas.openxmlformats.org/officeDocument/2006/relationships/hyperlink" Target="../../../AppData/Roaming/Microsoft/Excel/Documents%20Clients/Factures/Facture-20160502-004-Impr&#233;vu.pdf" TargetMode="External"/><Relationship Id="rId112" Type="http://schemas.openxmlformats.org/officeDocument/2006/relationships/hyperlink" Target="../../../AppData/Roaming/Microsoft/Excel/Documents%20Clients/Factures/Facture-20160602-011-Mad%20et%20Mariette.pdf" TargetMode="External"/><Relationship Id="rId133" Type="http://schemas.openxmlformats.org/officeDocument/2006/relationships/hyperlink" Target="../../../AppData/Roaming/Microsoft/Excel/Documents%20Clients/Factures/Facture-20160729-001-La%20Table%20Monceau.pdf" TargetMode="External"/><Relationship Id="rId154" Type="http://schemas.openxmlformats.org/officeDocument/2006/relationships/hyperlink" Target="../../../AppData/Roaming/Microsoft/Excel/Documents%20Clients/Factures/Facture-20160902-004-Mad%20et%20Mariette.pdf" TargetMode="External"/><Relationship Id="rId175" Type="http://schemas.openxmlformats.org/officeDocument/2006/relationships/hyperlink" Target="../../../AppData/Roaming/Microsoft/Excel/Documents%20Clients/Factures/Facture-20161004-007-Autour%20du%20Saumon.pdf" TargetMode="External"/><Relationship Id="rId196" Type="http://schemas.openxmlformats.org/officeDocument/2006/relationships/hyperlink" Target="../../../AppData/Roaming/Microsoft/Excel/Documents%20Clients/Factures/Facture-20161103-009-Il%20Paradiso.pdf" TargetMode="External"/><Relationship Id="rId200" Type="http://schemas.openxmlformats.org/officeDocument/2006/relationships/hyperlink" Target="../../../AppData/Roaming/Microsoft/Excel/Documents%20Clients/Factures/Facture-20161103-013-Le%20Bitrot%2015.pdf" TargetMode="External"/><Relationship Id="rId16" Type="http://schemas.openxmlformats.org/officeDocument/2006/relationships/hyperlink" Target="../../../AppData/Roaming/Microsoft/Excel/Documents%20Clients/Factures/Facture-20151206-004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Y17"/>
  <sheetViews>
    <sheetView workbookViewId="0"/>
  </sheetViews>
  <sheetFormatPr baseColWidth="10" defaultColWidth="11.453125" defaultRowHeight="14.5"/>
  <cols>
    <col min="1" max="2" width="2.1796875" style="191" customWidth="1"/>
    <col min="3" max="3" width="16.26953125" style="191" customWidth="1"/>
    <col min="4" max="4" width="1.54296875" style="191" customWidth="1"/>
    <col min="5" max="5" width="16.26953125" style="191" customWidth="1"/>
    <col min="6" max="6" width="1.54296875" style="191" customWidth="1"/>
    <col min="7" max="7" width="16.26953125" style="191" customWidth="1"/>
    <col min="8" max="8" width="1.54296875" style="191" customWidth="1"/>
    <col min="9" max="9" width="16.1796875" style="191" customWidth="1"/>
    <col min="10" max="10" width="1.54296875" style="191" customWidth="1"/>
    <col min="11" max="11" width="16.26953125" style="191" customWidth="1"/>
    <col min="12" max="12" width="1.54296875" style="191" customWidth="1"/>
    <col min="13" max="13" width="4.453125" style="191" customWidth="1"/>
    <col min="14" max="14" width="30.54296875" style="191" customWidth="1"/>
    <col min="15" max="15" width="1.54296875" style="191" customWidth="1"/>
    <col min="16" max="16" width="16.1796875" style="191" customWidth="1"/>
    <col min="17" max="17" width="1.54296875" style="191" customWidth="1"/>
    <col min="18" max="18" width="48.7265625" style="191" customWidth="1"/>
    <col min="19" max="19" width="11.453125" style="191"/>
    <col min="20" max="20" width="19.7265625" style="191" bestFit="1" customWidth="1"/>
    <col min="21" max="16384" width="11.453125" style="191"/>
  </cols>
  <sheetData>
    <row r="1" spans="1:25" s="228" customFormat="1" ht="32.25" customHeight="1">
      <c r="A1" s="227" t="s">
        <v>351</v>
      </c>
      <c r="B1" s="227"/>
      <c r="C1" s="227"/>
      <c r="D1" s="227"/>
      <c r="F1" s="227"/>
      <c r="G1" s="229"/>
      <c r="H1" s="230"/>
      <c r="I1" s="227"/>
      <c r="J1" s="227"/>
      <c r="L1" s="227"/>
      <c r="O1" s="227"/>
      <c r="Q1" s="227"/>
    </row>
    <row r="2" spans="1:25" s="217" customFormat="1">
      <c r="N2" s="257"/>
    </row>
    <row r="3" spans="1:25" s="223" customFormat="1" ht="15.5">
      <c r="C3" s="224" t="s">
        <v>134</v>
      </c>
      <c r="I3" s="224"/>
      <c r="N3" s="258" t="s">
        <v>616</v>
      </c>
      <c r="P3" s="259"/>
      <c r="R3" s="224" t="s">
        <v>607</v>
      </c>
    </row>
    <row r="4" spans="1:25" s="217" customFormat="1" ht="6.75" customHeight="1">
      <c r="I4" s="218"/>
      <c r="P4" s="260"/>
    </row>
    <row r="5" spans="1:25" s="219" customFormat="1" ht="28.5" customHeight="1">
      <c r="C5" s="216" t="s">
        <v>155</v>
      </c>
      <c r="E5" s="216" t="s">
        <v>482</v>
      </c>
      <c r="G5" s="216" t="s">
        <v>483</v>
      </c>
      <c r="I5" s="216" t="s">
        <v>95</v>
      </c>
      <c r="K5" s="262" t="s">
        <v>135</v>
      </c>
      <c r="N5" s="253" t="s">
        <v>608</v>
      </c>
      <c r="P5" s="216" t="s">
        <v>558</v>
      </c>
      <c r="R5" s="253" t="s">
        <v>611</v>
      </c>
    </row>
    <row r="6" spans="1:25" s="219" customFormat="1" ht="6.75" customHeight="1">
      <c r="I6" s="220"/>
      <c r="N6" s="254"/>
      <c r="P6" s="260"/>
      <c r="R6" s="254"/>
    </row>
    <row r="7" spans="1:25" s="219" customFormat="1" ht="28.5" customHeight="1">
      <c r="C7" s="216" t="s">
        <v>355</v>
      </c>
      <c r="E7" s="216" t="s">
        <v>481</v>
      </c>
      <c r="G7" s="216" t="s">
        <v>484</v>
      </c>
      <c r="I7" s="216" t="s">
        <v>87</v>
      </c>
      <c r="N7" s="253" t="s">
        <v>609</v>
      </c>
      <c r="P7" s="261" t="s">
        <v>618</v>
      </c>
      <c r="R7" s="253" t="s">
        <v>612</v>
      </c>
    </row>
    <row r="8" spans="1:25" s="219" customFormat="1" ht="6.75" customHeight="1">
      <c r="I8" s="220"/>
      <c r="N8" s="254"/>
      <c r="P8" s="260"/>
      <c r="R8" s="254"/>
    </row>
    <row r="9" spans="1:25" s="219" customFormat="1" ht="28.5" customHeight="1">
      <c r="C9" s="216" t="s">
        <v>338</v>
      </c>
      <c r="E9" s="216" t="s">
        <v>557</v>
      </c>
      <c r="I9" s="216" t="s">
        <v>216</v>
      </c>
      <c r="N9" s="253" t="s">
        <v>610</v>
      </c>
      <c r="P9" s="261" t="s">
        <v>619</v>
      </c>
      <c r="R9" s="253" t="s">
        <v>613</v>
      </c>
      <c r="Y9" s="216" t="s">
        <v>479</v>
      </c>
    </row>
    <row r="10" spans="1:25" s="219" customFormat="1" ht="6.75" customHeight="1">
      <c r="I10" s="220"/>
      <c r="N10" s="254"/>
      <c r="P10" s="260"/>
      <c r="R10" s="254"/>
    </row>
    <row r="11" spans="1:25" s="219" customFormat="1" ht="28.5" customHeight="1">
      <c r="I11" s="216" t="s">
        <v>622</v>
      </c>
      <c r="N11" s="253" t="s">
        <v>617</v>
      </c>
      <c r="P11" s="261" t="s">
        <v>620</v>
      </c>
      <c r="R11" s="253" t="s">
        <v>614</v>
      </c>
      <c r="Y11" s="216" t="s">
        <v>480</v>
      </c>
    </row>
    <row r="12" spans="1:25" s="219" customFormat="1" ht="6.75" customHeight="1">
      <c r="N12" s="254"/>
      <c r="P12" s="260"/>
      <c r="R12" s="254"/>
    </row>
    <row r="13" spans="1:25" s="225" customFormat="1" ht="29">
      <c r="C13" s="224" t="s">
        <v>478</v>
      </c>
      <c r="I13" s="226"/>
      <c r="N13" s="256"/>
      <c r="P13" s="261" t="s">
        <v>621</v>
      </c>
      <c r="R13" s="253" t="s">
        <v>615</v>
      </c>
    </row>
    <row r="14" spans="1:25" s="217" customFormat="1" ht="8.25" customHeight="1">
      <c r="P14" s="260"/>
      <c r="R14" s="255"/>
    </row>
    <row r="15" spans="1:25" s="219" customFormat="1" ht="28.5" customHeight="1">
      <c r="R15" s="254"/>
    </row>
    <row r="16" spans="1:25" s="217" customFormat="1"/>
    <row r="17" s="217" customFormat="1"/>
  </sheetData>
  <hyperlinks>
    <hyperlink ref="C9" location="Notes!A1" display="Notes"/>
    <hyperlink ref="E5" location="'Frm facture'!A1" display="Formulaire Facture Client"/>
    <hyperlink ref="E7" location="Factures!A1" display="Factures clients"/>
    <hyperlink ref="K5" location="Paramètres!A1" display="Paramètres"/>
    <hyperlink ref="C7" location="Planning!A1" display="Planning"/>
    <hyperlink ref="C5" location="Contacts!A1" display="Contacts"/>
    <hyperlink ref="G5" location="'Factures fournisseur'!A1" display="Factures fournisseur"/>
    <hyperlink ref="G7" location="'TCD FF'!A1" display="TCD Factures fournisseur"/>
    <hyperlink ref="P5" location="Accueil!A1" display="Exporter produis PDF"/>
    <hyperlink ref="Y9" location="BDC!A1" display="BDC Client"/>
    <hyperlink ref="Y11" location="BL!A1" display="BL Client"/>
    <hyperlink ref="I5" location="Produits!A1" display="Produits"/>
    <hyperlink ref="I7" location="Caisse!A1" display="Caisse"/>
    <hyperlink ref="I9" location="'Etiquettes petites'!A1" display="Etiquettes"/>
    <hyperlink ref="I11" location="'Entrants restants'!A1" display="Entrants Restants"/>
    <hyperlink ref="E9" location="'Cmd Resto'!A1" display="Commandes Restaurants"/>
    <hyperlink ref="N5" r:id="rId1"/>
    <hyperlink ref="N7" r:id="rId2"/>
    <hyperlink ref="N9" r:id="rId3"/>
    <hyperlink ref="R5" r:id="rId4"/>
    <hyperlink ref="R7" r:id="rId5"/>
    <hyperlink ref="R9" r:id="rId6"/>
    <hyperlink ref="R11" r:id="rId7"/>
    <hyperlink ref="R13" r:id="rId8"/>
    <hyperlink ref="N11" r:id="rId9"/>
    <hyperlink ref="P7" location="Accueil!A1" display="Exporter produis PDF"/>
    <hyperlink ref="P9" location="Accueil!A1" display="Exporter produis PDF"/>
    <hyperlink ref="P11" location="Accueil!A1" display="Exporter produis PDF"/>
    <hyperlink ref="P13" location="Accueil!A1" display="Exporter produis PDF"/>
  </hyperlinks>
  <pageMargins left="0.7" right="0.7" top="0.75" bottom="0.75" header="0.3" footer="0.3"/>
  <pageSetup paperSize="9" orientation="portrait" r:id="rId1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1" filterMode="1"/>
  <dimension ref="A1:J17"/>
  <sheetViews>
    <sheetView zoomScale="85" zoomScaleNormal="85" workbookViewId="0">
      <pane ySplit="1" topLeftCell="A2" activePane="bottomLeft" state="frozen"/>
      <selection pane="bottomLeft" activeCell="G21" sqref="G21"/>
    </sheetView>
  </sheetViews>
  <sheetFormatPr baseColWidth="10" defaultRowHeight="14.5"/>
  <cols>
    <col min="1" max="1" width="7" customWidth="1"/>
    <col min="3" max="3" width="7.453125" bestFit="1" customWidth="1"/>
    <col min="4" max="4" width="11.81640625" bestFit="1" customWidth="1"/>
    <col min="5" max="5" width="10" bestFit="1" customWidth="1"/>
    <col min="7" max="7" width="34.26953125" customWidth="1"/>
    <col min="8" max="8" width="8.26953125" style="18" bestFit="1" customWidth="1"/>
    <col min="9" max="9" width="40.26953125" bestFit="1" customWidth="1"/>
    <col min="10" max="10" width="48.1796875" customWidth="1"/>
    <col min="11" max="11" width="26.26953125" customWidth="1"/>
  </cols>
  <sheetData>
    <row r="1" spans="1:10" s="121" customFormat="1">
      <c r="A1" s="121" t="s">
        <v>327</v>
      </c>
      <c r="B1" s="121" t="s">
        <v>332</v>
      </c>
      <c r="C1" s="121" t="s">
        <v>340</v>
      </c>
      <c r="D1" s="121" t="s">
        <v>335</v>
      </c>
      <c r="E1" s="121" t="s">
        <v>336</v>
      </c>
      <c r="F1" s="121" t="s">
        <v>331</v>
      </c>
      <c r="G1" s="121" t="s">
        <v>337</v>
      </c>
      <c r="H1" s="121" t="s">
        <v>224</v>
      </c>
      <c r="I1" s="121" t="s">
        <v>211</v>
      </c>
      <c r="J1" s="121" t="s">
        <v>334</v>
      </c>
    </row>
    <row r="2" spans="1:10">
      <c r="C2" t="s">
        <v>211</v>
      </c>
      <c r="D2" t="s">
        <v>214</v>
      </c>
      <c r="E2">
        <v>2</v>
      </c>
      <c r="G2" t="s">
        <v>210</v>
      </c>
      <c r="H2" s="18">
        <v>0</v>
      </c>
      <c r="J2" t="s">
        <v>66</v>
      </c>
    </row>
    <row r="3" spans="1:10" hidden="1">
      <c r="C3" t="s">
        <v>211</v>
      </c>
      <c r="D3" t="s">
        <v>306</v>
      </c>
      <c r="E3">
        <v>2</v>
      </c>
      <c r="G3" t="s">
        <v>215</v>
      </c>
      <c r="H3" s="18">
        <v>0</v>
      </c>
      <c r="I3" t="s">
        <v>227</v>
      </c>
    </row>
    <row r="4" spans="1:10" hidden="1">
      <c r="C4" t="s">
        <v>211</v>
      </c>
      <c r="D4" t="s">
        <v>306</v>
      </c>
      <c r="E4">
        <v>2</v>
      </c>
      <c r="G4" t="s">
        <v>96</v>
      </c>
      <c r="H4" s="18">
        <v>1</v>
      </c>
      <c r="I4" t="s">
        <v>97</v>
      </c>
    </row>
    <row r="5" spans="1:10" hidden="1">
      <c r="C5" t="s">
        <v>211</v>
      </c>
      <c r="D5" t="s">
        <v>306</v>
      </c>
      <c r="E5">
        <v>2</v>
      </c>
      <c r="G5" t="s">
        <v>216</v>
      </c>
      <c r="H5" s="18">
        <v>1</v>
      </c>
      <c r="I5" t="s">
        <v>226</v>
      </c>
    </row>
    <row r="6" spans="1:10">
      <c r="C6" t="s">
        <v>211</v>
      </c>
      <c r="D6" t="s">
        <v>214</v>
      </c>
      <c r="E6">
        <v>3</v>
      </c>
      <c r="G6" t="s">
        <v>209</v>
      </c>
      <c r="H6" s="18">
        <v>0</v>
      </c>
      <c r="I6" t="s">
        <v>225</v>
      </c>
    </row>
    <row r="7" spans="1:10">
      <c r="C7" t="s">
        <v>211</v>
      </c>
      <c r="D7" t="s">
        <v>214</v>
      </c>
      <c r="E7">
        <v>3</v>
      </c>
      <c r="G7" t="s">
        <v>156</v>
      </c>
      <c r="H7" s="18">
        <v>0</v>
      </c>
    </row>
    <row r="8" spans="1:10">
      <c r="C8" t="s">
        <v>211</v>
      </c>
      <c r="D8" t="s">
        <v>214</v>
      </c>
      <c r="E8">
        <v>4</v>
      </c>
      <c r="G8" t="s">
        <v>223</v>
      </c>
      <c r="H8" s="18">
        <v>1</v>
      </c>
    </row>
    <row r="9" spans="1:10">
      <c r="C9" t="s">
        <v>211</v>
      </c>
      <c r="D9" t="s">
        <v>214</v>
      </c>
      <c r="E9">
        <v>4</v>
      </c>
      <c r="G9" t="s">
        <v>91</v>
      </c>
      <c r="H9" s="18">
        <v>1</v>
      </c>
    </row>
    <row r="10" spans="1:10" hidden="1">
      <c r="C10" t="s">
        <v>211</v>
      </c>
      <c r="D10" t="s">
        <v>217</v>
      </c>
      <c r="E10">
        <v>5</v>
      </c>
      <c r="G10" t="s">
        <v>218</v>
      </c>
      <c r="H10" s="18">
        <v>0</v>
      </c>
    </row>
    <row r="11" spans="1:10" hidden="1">
      <c r="C11" t="s">
        <v>211</v>
      </c>
      <c r="D11" t="s">
        <v>217</v>
      </c>
      <c r="E11">
        <v>5</v>
      </c>
      <c r="G11" t="s">
        <v>219</v>
      </c>
      <c r="H11" s="18">
        <v>0</v>
      </c>
    </row>
    <row r="12" spans="1:10" hidden="1">
      <c r="C12" t="s">
        <v>211</v>
      </c>
      <c r="D12" t="s">
        <v>217</v>
      </c>
      <c r="E12">
        <v>5</v>
      </c>
      <c r="G12" t="s">
        <v>220</v>
      </c>
      <c r="H12" s="18">
        <v>0</v>
      </c>
    </row>
    <row r="13" spans="1:10" hidden="1">
      <c r="C13" t="s">
        <v>211</v>
      </c>
      <c r="D13" t="s">
        <v>217</v>
      </c>
      <c r="E13">
        <v>5</v>
      </c>
      <c r="G13" t="s">
        <v>221</v>
      </c>
      <c r="H13" s="18">
        <v>0</v>
      </c>
    </row>
    <row r="14" spans="1:10" hidden="1">
      <c r="C14" t="s">
        <v>211</v>
      </c>
      <c r="D14" t="s">
        <v>217</v>
      </c>
      <c r="E14">
        <v>5</v>
      </c>
      <c r="G14" t="s">
        <v>222</v>
      </c>
      <c r="H14" s="18">
        <v>0</v>
      </c>
    </row>
    <row r="15" spans="1:10" hidden="1">
      <c r="C15" t="s">
        <v>212</v>
      </c>
      <c r="D15" t="s">
        <v>306</v>
      </c>
      <c r="E15">
        <v>6</v>
      </c>
      <c r="G15" t="s">
        <v>213</v>
      </c>
      <c r="H15" s="18">
        <v>0</v>
      </c>
    </row>
    <row r="16" spans="1:10">
      <c r="C16" t="s">
        <v>211</v>
      </c>
      <c r="D16" t="s">
        <v>214</v>
      </c>
      <c r="E16">
        <v>3</v>
      </c>
      <c r="G16" t="s">
        <v>93</v>
      </c>
      <c r="H16" s="18">
        <v>2</v>
      </c>
      <c r="J16" s="17" t="s">
        <v>94</v>
      </c>
    </row>
    <row r="17" spans="3:10">
      <c r="C17" t="s">
        <v>211</v>
      </c>
      <c r="D17" t="s">
        <v>214</v>
      </c>
      <c r="E17">
        <v>3</v>
      </c>
      <c r="G17" t="s">
        <v>92</v>
      </c>
      <c r="H17" s="18">
        <v>1</v>
      </c>
      <c r="I17" t="s">
        <v>157</v>
      </c>
      <c r="J17" s="17" t="s">
        <v>94</v>
      </c>
    </row>
  </sheetData>
  <autoFilter ref="A1:J17">
    <filterColumn colId="3">
      <filters>
        <filter val="Info"/>
      </filters>
    </filterColumn>
    <sortState ref="A2:I14">
      <sortCondition ref="E1"/>
    </sortState>
  </autoFilter>
  <conditionalFormatting sqref="E1:E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pageSetUpPr fitToPage="1"/>
  </sheetPr>
  <dimension ref="A1:U36"/>
  <sheetViews>
    <sheetView zoomScale="85" zoomScaleNormal="85" workbookViewId="0">
      <pane xSplit="6" ySplit="1" topLeftCell="G16" activePane="bottomRight" state="frozen"/>
      <selection pane="topRight" activeCell="G1" sqref="G1"/>
      <selection pane="bottomLeft" activeCell="A2" sqref="A2"/>
      <selection pane="bottomRight" activeCell="L37" sqref="L37"/>
    </sheetView>
  </sheetViews>
  <sheetFormatPr baseColWidth="10" defaultRowHeight="14.5"/>
  <cols>
    <col min="1" max="1" width="11" customWidth="1"/>
    <col min="2" max="2" width="9.453125" bestFit="1" customWidth="1"/>
    <col min="3" max="3" width="11.26953125" customWidth="1"/>
    <col min="4" max="4" width="10.7265625" customWidth="1"/>
    <col min="5" max="5" width="21.26953125" bestFit="1" customWidth="1"/>
    <col min="6" max="6" width="12.54296875" bestFit="1" customWidth="1"/>
    <col min="7" max="7" width="7.54296875" customWidth="1"/>
    <col min="8" max="9" width="30.7265625" customWidth="1"/>
    <col min="14" max="16" width="15.1796875" customWidth="1"/>
    <col min="17" max="17" width="16" customWidth="1"/>
    <col min="18" max="19" width="15.1796875" customWidth="1"/>
    <col min="20" max="20" width="13.81640625" customWidth="1"/>
  </cols>
  <sheetData>
    <row r="1" spans="1:21" s="122" customFormat="1">
      <c r="A1" s="122" t="s">
        <v>172</v>
      </c>
      <c r="B1" s="122" t="s">
        <v>278</v>
      </c>
      <c r="C1" s="122" t="s">
        <v>321</v>
      </c>
      <c r="D1" s="122" t="s">
        <v>329</v>
      </c>
      <c r="E1" s="122" t="s">
        <v>144</v>
      </c>
      <c r="F1" s="122" t="s">
        <v>335</v>
      </c>
      <c r="G1" s="122" t="s">
        <v>330</v>
      </c>
      <c r="H1" s="122" t="s">
        <v>145</v>
      </c>
      <c r="I1" s="122" t="s">
        <v>146</v>
      </c>
      <c r="J1" s="122" t="s">
        <v>323</v>
      </c>
      <c r="K1" s="122" t="s">
        <v>324</v>
      </c>
      <c r="L1" s="122" t="s">
        <v>149</v>
      </c>
      <c r="M1" s="122" t="s">
        <v>147</v>
      </c>
      <c r="N1" s="122" t="s">
        <v>325</v>
      </c>
      <c r="O1" s="122" t="s">
        <v>326</v>
      </c>
      <c r="P1" s="122" t="s">
        <v>328</v>
      </c>
      <c r="Q1" s="122" t="s">
        <v>277</v>
      </c>
      <c r="R1" s="122" t="s">
        <v>148</v>
      </c>
      <c r="S1" s="122" t="s">
        <v>150</v>
      </c>
      <c r="T1" s="122" t="s">
        <v>338</v>
      </c>
      <c r="U1" s="122" t="s">
        <v>331</v>
      </c>
    </row>
    <row r="2" spans="1:21">
      <c r="B2" t="s">
        <v>153</v>
      </c>
      <c r="C2" t="s">
        <v>154</v>
      </c>
      <c r="D2" t="s">
        <v>367</v>
      </c>
      <c r="E2" t="s">
        <v>137</v>
      </c>
      <c r="F2" t="s">
        <v>339</v>
      </c>
      <c r="M2" t="s">
        <v>138</v>
      </c>
    </row>
    <row r="3" spans="1:21">
      <c r="E3" t="s">
        <v>545</v>
      </c>
      <c r="F3" t="s">
        <v>333</v>
      </c>
      <c r="J3">
        <v>75017</v>
      </c>
      <c r="K3" t="s">
        <v>61</v>
      </c>
      <c r="M3" t="s">
        <v>138</v>
      </c>
    </row>
    <row r="4" spans="1:21">
      <c r="A4" t="s">
        <v>373</v>
      </c>
      <c r="E4" t="s">
        <v>768</v>
      </c>
      <c r="F4" t="s">
        <v>331</v>
      </c>
      <c r="H4" t="s">
        <v>767</v>
      </c>
      <c r="J4">
        <v>75015</v>
      </c>
      <c r="K4" t="s">
        <v>61</v>
      </c>
      <c r="M4" t="s">
        <v>138</v>
      </c>
      <c r="N4" t="s">
        <v>1116</v>
      </c>
      <c r="Q4" s="17" t="s">
        <v>142</v>
      </c>
    </row>
    <row r="5" spans="1:21">
      <c r="A5" t="s">
        <v>378</v>
      </c>
      <c r="E5" t="s">
        <v>764</v>
      </c>
      <c r="F5" t="s">
        <v>331</v>
      </c>
      <c r="H5" t="s">
        <v>765</v>
      </c>
      <c r="J5">
        <v>75017</v>
      </c>
      <c r="K5" t="s">
        <v>61</v>
      </c>
      <c r="M5" t="s">
        <v>138</v>
      </c>
      <c r="N5" t="s">
        <v>766</v>
      </c>
      <c r="Q5" s="17" t="s">
        <v>142</v>
      </c>
    </row>
    <row r="6" spans="1:21">
      <c r="E6" t="s">
        <v>790</v>
      </c>
      <c r="F6" t="s">
        <v>140</v>
      </c>
      <c r="H6" t="s">
        <v>789</v>
      </c>
      <c r="J6">
        <v>75017</v>
      </c>
      <c r="K6" t="s">
        <v>61</v>
      </c>
      <c r="M6" t="s">
        <v>138</v>
      </c>
      <c r="U6" t="s">
        <v>378</v>
      </c>
    </row>
    <row r="7" spans="1:21">
      <c r="E7" t="s">
        <v>769</v>
      </c>
      <c r="F7" t="s">
        <v>140</v>
      </c>
      <c r="H7" t="s">
        <v>770</v>
      </c>
      <c r="J7">
        <v>75017</v>
      </c>
      <c r="K7" t="s">
        <v>61</v>
      </c>
      <c r="M7" t="s">
        <v>138</v>
      </c>
      <c r="N7" t="s">
        <v>771</v>
      </c>
      <c r="U7" t="s">
        <v>378</v>
      </c>
    </row>
    <row r="8" spans="1:21">
      <c r="E8" t="s">
        <v>495</v>
      </c>
      <c r="F8" t="s">
        <v>140</v>
      </c>
      <c r="H8" t="s">
        <v>772</v>
      </c>
      <c r="J8">
        <v>75017</v>
      </c>
      <c r="K8" t="s">
        <v>61</v>
      </c>
      <c r="M8" t="s">
        <v>138</v>
      </c>
      <c r="N8" t="s">
        <v>773</v>
      </c>
      <c r="Q8" s="17"/>
      <c r="U8" t="s">
        <v>378</v>
      </c>
    </row>
    <row r="9" spans="1:21">
      <c r="E9" t="s">
        <v>496</v>
      </c>
      <c r="F9" t="s">
        <v>140</v>
      </c>
      <c r="H9" t="s">
        <v>774</v>
      </c>
      <c r="J9">
        <v>75017</v>
      </c>
      <c r="K9" t="s">
        <v>61</v>
      </c>
      <c r="M9" t="s">
        <v>138</v>
      </c>
      <c r="N9" t="s">
        <v>775</v>
      </c>
      <c r="U9" t="s">
        <v>378</v>
      </c>
    </row>
    <row r="10" spans="1:21">
      <c r="E10" t="s">
        <v>497</v>
      </c>
      <c r="F10" t="s">
        <v>140</v>
      </c>
      <c r="H10" t="s">
        <v>776</v>
      </c>
      <c r="J10">
        <v>75017</v>
      </c>
      <c r="K10" t="s">
        <v>61</v>
      </c>
      <c r="M10" t="s">
        <v>138</v>
      </c>
      <c r="N10" t="s">
        <v>777</v>
      </c>
      <c r="U10" t="s">
        <v>378</v>
      </c>
    </row>
    <row r="11" spans="1:21">
      <c r="E11" t="s">
        <v>624</v>
      </c>
      <c r="F11" t="s">
        <v>140</v>
      </c>
      <c r="H11" t="s">
        <v>778</v>
      </c>
      <c r="J11">
        <v>75017</v>
      </c>
      <c r="K11" t="s">
        <v>61</v>
      </c>
      <c r="M11" t="s">
        <v>138</v>
      </c>
      <c r="N11" t="s">
        <v>779</v>
      </c>
      <c r="U11" t="s">
        <v>378</v>
      </c>
    </row>
    <row r="12" spans="1:21">
      <c r="E12" t="s">
        <v>498</v>
      </c>
      <c r="F12" t="s">
        <v>140</v>
      </c>
      <c r="H12" t="s">
        <v>780</v>
      </c>
      <c r="J12">
        <v>75017</v>
      </c>
      <c r="K12" t="s">
        <v>61</v>
      </c>
      <c r="M12" t="s">
        <v>138</v>
      </c>
      <c r="N12" t="s">
        <v>781</v>
      </c>
      <c r="U12" t="s">
        <v>378</v>
      </c>
    </row>
    <row r="13" spans="1:21">
      <c r="E13" t="s">
        <v>499</v>
      </c>
      <c r="F13" t="s">
        <v>140</v>
      </c>
      <c r="H13" t="s">
        <v>782</v>
      </c>
      <c r="J13">
        <v>75017</v>
      </c>
      <c r="K13" t="s">
        <v>61</v>
      </c>
      <c r="M13" t="s">
        <v>138</v>
      </c>
      <c r="N13" t="s">
        <v>783</v>
      </c>
      <c r="U13" t="s">
        <v>378</v>
      </c>
    </row>
    <row r="14" spans="1:21">
      <c r="E14" t="s">
        <v>784</v>
      </c>
      <c r="F14" t="s">
        <v>140</v>
      </c>
      <c r="H14" t="s">
        <v>785</v>
      </c>
      <c r="J14">
        <v>75017</v>
      </c>
      <c r="K14" t="s">
        <v>61</v>
      </c>
      <c r="M14" t="s">
        <v>138</v>
      </c>
      <c r="N14" t="s">
        <v>786</v>
      </c>
      <c r="U14" t="s">
        <v>378</v>
      </c>
    </row>
    <row r="15" spans="1:21">
      <c r="E15" t="s">
        <v>627</v>
      </c>
      <c r="F15" t="s">
        <v>140</v>
      </c>
      <c r="H15" t="s">
        <v>787</v>
      </c>
      <c r="J15">
        <v>75017</v>
      </c>
      <c r="K15" t="s">
        <v>61</v>
      </c>
      <c r="M15" t="s">
        <v>138</v>
      </c>
      <c r="N15" t="s">
        <v>788</v>
      </c>
      <c r="U15" t="s">
        <v>378</v>
      </c>
    </row>
    <row r="16" spans="1:21">
      <c r="E16" t="s">
        <v>626</v>
      </c>
      <c r="F16" t="s">
        <v>140</v>
      </c>
      <c r="H16" t="s">
        <v>815</v>
      </c>
      <c r="J16">
        <v>75017</v>
      </c>
      <c r="K16" t="s">
        <v>61</v>
      </c>
      <c r="M16" t="s">
        <v>138</v>
      </c>
      <c r="N16" t="s">
        <v>816</v>
      </c>
      <c r="U16" t="s">
        <v>378</v>
      </c>
    </row>
    <row r="17" spans="5:21">
      <c r="E17" t="s">
        <v>817</v>
      </c>
      <c r="F17" t="s">
        <v>140</v>
      </c>
      <c r="H17" t="s">
        <v>818</v>
      </c>
      <c r="J17">
        <v>75017</v>
      </c>
      <c r="K17" t="s">
        <v>61</v>
      </c>
      <c r="M17" t="s">
        <v>138</v>
      </c>
      <c r="N17" t="s">
        <v>819</v>
      </c>
      <c r="U17" t="s">
        <v>378</v>
      </c>
    </row>
    <row r="18" spans="5:21">
      <c r="E18" t="s">
        <v>820</v>
      </c>
      <c r="F18" t="s">
        <v>140</v>
      </c>
      <c r="H18" t="s">
        <v>821</v>
      </c>
      <c r="J18">
        <v>75008</v>
      </c>
      <c r="K18" t="s">
        <v>61</v>
      </c>
      <c r="M18" t="s">
        <v>138</v>
      </c>
      <c r="N18" t="s">
        <v>822</v>
      </c>
      <c r="U18" t="s">
        <v>378</v>
      </c>
    </row>
    <row r="19" spans="5:21">
      <c r="E19" t="s">
        <v>677</v>
      </c>
      <c r="F19" t="s">
        <v>140</v>
      </c>
      <c r="J19">
        <v>75017</v>
      </c>
      <c r="K19" t="s">
        <v>61</v>
      </c>
      <c r="M19" t="s">
        <v>138</v>
      </c>
      <c r="U19" t="s">
        <v>378</v>
      </c>
    </row>
    <row r="20" spans="5:21">
      <c r="E20" t="s">
        <v>917</v>
      </c>
      <c r="F20" t="s">
        <v>140</v>
      </c>
      <c r="H20" t="s">
        <v>918</v>
      </c>
      <c r="J20">
        <v>75017</v>
      </c>
      <c r="K20" t="s">
        <v>61</v>
      </c>
      <c r="M20" t="s">
        <v>138</v>
      </c>
      <c r="N20" t="s">
        <v>919</v>
      </c>
      <c r="U20" t="s">
        <v>378</v>
      </c>
    </row>
    <row r="21" spans="5:21">
      <c r="E21" t="s">
        <v>1087</v>
      </c>
      <c r="F21" t="s">
        <v>140</v>
      </c>
      <c r="H21" t="s">
        <v>1084</v>
      </c>
      <c r="J21">
        <v>75017</v>
      </c>
      <c r="K21" t="s">
        <v>61</v>
      </c>
      <c r="M21" t="s">
        <v>138</v>
      </c>
      <c r="N21" s="17" t="s">
        <v>1353</v>
      </c>
      <c r="R21" t="s">
        <v>1086</v>
      </c>
      <c r="U21" t="s">
        <v>378</v>
      </c>
    </row>
    <row r="22" spans="5:21">
      <c r="E22" t="s">
        <v>1091</v>
      </c>
      <c r="F22" t="s">
        <v>140</v>
      </c>
      <c r="H22" t="s">
        <v>1090</v>
      </c>
      <c r="J22">
        <v>75015</v>
      </c>
      <c r="K22" t="s">
        <v>61</v>
      </c>
      <c r="M22" t="s">
        <v>138</v>
      </c>
      <c r="N22" s="17" t="s">
        <v>1092</v>
      </c>
      <c r="U22" t="s">
        <v>373</v>
      </c>
    </row>
    <row r="23" spans="5:21">
      <c r="E23" t="s">
        <v>1094</v>
      </c>
      <c r="F23" t="s">
        <v>140</v>
      </c>
      <c r="H23" t="s">
        <v>1093</v>
      </c>
      <c r="J23">
        <v>75015</v>
      </c>
      <c r="K23" t="s">
        <v>61</v>
      </c>
      <c r="M23" t="s">
        <v>138</v>
      </c>
      <c r="N23" t="s">
        <v>1095</v>
      </c>
      <c r="U23" t="s">
        <v>373</v>
      </c>
    </row>
    <row r="24" spans="5:21">
      <c r="E24" t="s">
        <v>1096</v>
      </c>
      <c r="F24" t="s">
        <v>140</v>
      </c>
      <c r="H24" t="s">
        <v>1097</v>
      </c>
      <c r="J24">
        <v>75015</v>
      </c>
      <c r="K24" t="s">
        <v>61</v>
      </c>
      <c r="M24" t="s">
        <v>138</v>
      </c>
      <c r="N24" t="s">
        <v>1098</v>
      </c>
      <c r="U24" t="s">
        <v>373</v>
      </c>
    </row>
    <row r="25" spans="5:21">
      <c r="E25" t="s">
        <v>1099</v>
      </c>
      <c r="F25" t="s">
        <v>140</v>
      </c>
      <c r="H25" t="s">
        <v>1100</v>
      </c>
      <c r="J25">
        <v>75015</v>
      </c>
      <c r="K25" t="s">
        <v>61</v>
      </c>
      <c r="M25" t="s">
        <v>138</v>
      </c>
      <c r="N25" t="s">
        <v>1101</v>
      </c>
      <c r="U25" t="s">
        <v>373</v>
      </c>
    </row>
    <row r="26" spans="5:21">
      <c r="E26" t="s">
        <v>2957</v>
      </c>
      <c r="F26" t="s">
        <v>140</v>
      </c>
      <c r="H26" t="s">
        <v>1149</v>
      </c>
      <c r="J26">
        <v>75017</v>
      </c>
      <c r="K26" t="s">
        <v>61</v>
      </c>
      <c r="M26" t="s">
        <v>138</v>
      </c>
      <c r="N26" t="s">
        <v>1152</v>
      </c>
    </row>
    <row r="27" spans="5:21">
      <c r="E27" t="s">
        <v>1150</v>
      </c>
      <c r="F27" t="s">
        <v>140</v>
      </c>
      <c r="H27" t="s">
        <v>1151</v>
      </c>
      <c r="J27">
        <v>75018</v>
      </c>
      <c r="K27" t="s">
        <v>61</v>
      </c>
      <c r="M27" t="s">
        <v>138</v>
      </c>
    </row>
    <row r="28" spans="5:21">
      <c r="E28" t="s">
        <v>1096</v>
      </c>
      <c r="F28" t="s">
        <v>140</v>
      </c>
      <c r="H28" t="s">
        <v>1097</v>
      </c>
      <c r="J28">
        <v>75015</v>
      </c>
      <c r="K28" t="s">
        <v>61</v>
      </c>
      <c r="M28" t="s">
        <v>138</v>
      </c>
      <c r="N28" t="s">
        <v>1098</v>
      </c>
      <c r="U28" t="s">
        <v>373</v>
      </c>
    </row>
    <row r="29" spans="5:21">
      <c r="E29" t="s">
        <v>1099</v>
      </c>
      <c r="F29" t="s">
        <v>140</v>
      </c>
      <c r="H29" t="s">
        <v>1100</v>
      </c>
      <c r="J29">
        <v>75015</v>
      </c>
      <c r="K29" t="s">
        <v>61</v>
      </c>
      <c r="M29" t="s">
        <v>138</v>
      </c>
      <c r="N29" t="s">
        <v>1101</v>
      </c>
      <c r="U29" t="s">
        <v>373</v>
      </c>
    </row>
    <row r="30" spans="5:21">
      <c r="E30" t="s">
        <v>1148</v>
      </c>
      <c r="F30" t="s">
        <v>140</v>
      </c>
      <c r="H30" t="s">
        <v>1149</v>
      </c>
      <c r="J30">
        <v>75017</v>
      </c>
      <c r="K30" t="s">
        <v>61</v>
      </c>
      <c r="M30" t="s">
        <v>138</v>
      </c>
      <c r="N30" t="s">
        <v>1152</v>
      </c>
    </row>
    <row r="31" spans="5:21">
      <c r="E31" t="s">
        <v>1191</v>
      </c>
      <c r="F31" t="s">
        <v>140</v>
      </c>
      <c r="H31" t="s">
        <v>1151</v>
      </c>
      <c r="J31">
        <v>75018</v>
      </c>
      <c r="K31" t="s">
        <v>61</v>
      </c>
      <c r="M31" t="s">
        <v>138</v>
      </c>
    </row>
    <row r="32" spans="5:21">
      <c r="E32" t="s">
        <v>1288</v>
      </c>
      <c r="F32" t="s">
        <v>1289</v>
      </c>
      <c r="H32" t="s">
        <v>1290</v>
      </c>
      <c r="J32">
        <v>75008</v>
      </c>
      <c r="K32" t="s">
        <v>61</v>
      </c>
      <c r="M32" t="s">
        <v>138</v>
      </c>
      <c r="N32" t="s">
        <v>1291</v>
      </c>
    </row>
    <row r="33" spans="5:21">
      <c r="E33" t="s">
        <v>3038</v>
      </c>
      <c r="F33" t="s">
        <v>140</v>
      </c>
      <c r="J33">
        <v>75017</v>
      </c>
      <c r="K33" t="s">
        <v>61</v>
      </c>
      <c r="M33" t="s">
        <v>138</v>
      </c>
    </row>
    <row r="34" spans="5:21">
      <c r="E34" t="s">
        <v>3101</v>
      </c>
      <c r="F34" t="s">
        <v>140</v>
      </c>
      <c r="J34">
        <v>75017</v>
      </c>
      <c r="K34" t="s">
        <v>61</v>
      </c>
      <c r="M34" t="s">
        <v>138</v>
      </c>
    </row>
    <row r="35" spans="5:21">
      <c r="E35" t="s">
        <v>3241</v>
      </c>
      <c r="F35" t="s">
        <v>1289</v>
      </c>
      <c r="H35" t="s">
        <v>3243</v>
      </c>
      <c r="J35">
        <v>75017</v>
      </c>
      <c r="K35" t="s">
        <v>61</v>
      </c>
      <c r="M35" t="s">
        <v>138</v>
      </c>
      <c r="N35" t="s">
        <v>3242</v>
      </c>
      <c r="U35" t="s">
        <v>378</v>
      </c>
    </row>
    <row r="36" spans="5:21">
      <c r="E36" t="s">
        <v>3385</v>
      </c>
      <c r="F36" t="s">
        <v>140</v>
      </c>
      <c r="J36">
        <v>75017</v>
      </c>
      <c r="K36" t="s">
        <v>61</v>
      </c>
      <c r="M36" t="s">
        <v>138</v>
      </c>
    </row>
  </sheetData>
  <autoFilter ref="A1:T1"/>
  <hyperlinks>
    <hyperlink ref="Q4" r:id="rId1"/>
    <hyperlink ref="Q5" r:id="rId2"/>
    <hyperlink ref="N21" r:id="rId3" tooltip="Appeller avec Hangouts" display="javascript:void(0)"/>
  </hyperlinks>
  <pageMargins left="0.23622047244094491" right="0.23622047244094491" top="0.74803149606299213" bottom="0.74803149606299213" header="0.31496062992125984" footer="0.31496062992125984"/>
  <pageSetup paperSize="9" scale="44" fitToHeight="0" orientation="landscape" verticalDpi="360" r:id="rId4"/>
  <headerFooter>
    <oddHeader>&amp;CListe des contacts</oddHeader>
    <oddFooter>&amp;L&amp;D&amp;C&amp;F&amp;RPage &amp;P de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Z62"/>
  <sheetViews>
    <sheetView topLeftCell="P1" zoomScale="70" zoomScaleNormal="70" workbookViewId="0">
      <pane ySplit="3" topLeftCell="A4" activePane="bottomLeft" state="frozen"/>
      <selection pane="bottomLeft" activeCell="N10" sqref="N10"/>
    </sheetView>
  </sheetViews>
  <sheetFormatPr baseColWidth="10" defaultColWidth="11.453125" defaultRowHeight="15.5" outlineLevelRow="1"/>
  <cols>
    <col min="1" max="1" width="4.81640625" style="165" customWidth="1"/>
    <col min="2" max="2" width="11.26953125" style="132" customWidth="1"/>
    <col min="3" max="9" width="9.81640625" style="33" customWidth="1"/>
    <col min="10" max="10" width="2" style="133" customWidth="1"/>
    <col min="11" max="17" width="9.81640625" style="33" customWidth="1"/>
    <col min="18" max="18" width="2" style="133" customWidth="1"/>
    <col min="19" max="25" width="9.81640625" style="33" customWidth="1"/>
    <col min="26" max="26" width="1.81640625" style="133" customWidth="1"/>
    <col min="27" max="29" width="9.81640625" style="33" customWidth="1"/>
    <col min="30" max="16384" width="11.453125" style="33"/>
  </cols>
  <sheetData>
    <row r="1" spans="1:26" s="132" customFormat="1">
      <c r="A1" s="165" t="s">
        <v>355</v>
      </c>
    </row>
    <row r="2" spans="1:26" s="134" customFormat="1">
      <c r="A2" s="166"/>
      <c r="B2" s="134" t="s">
        <v>378</v>
      </c>
      <c r="C2" s="135" t="s">
        <v>353</v>
      </c>
      <c r="D2" s="135"/>
      <c r="E2" s="135"/>
      <c r="F2" s="135"/>
      <c r="G2" s="135"/>
      <c r="H2" s="135"/>
      <c r="I2" s="135"/>
      <c r="J2" s="135"/>
      <c r="K2" s="135" t="s">
        <v>354</v>
      </c>
      <c r="L2" s="135"/>
      <c r="M2" s="135"/>
      <c r="N2" s="135"/>
      <c r="O2" s="135"/>
      <c r="P2" s="135"/>
      <c r="Q2" s="135"/>
      <c r="R2" s="135"/>
      <c r="S2" s="135" t="s">
        <v>379</v>
      </c>
      <c r="T2" s="132"/>
    </row>
    <row r="3" spans="1:26" s="135" customFormat="1">
      <c r="A3" s="165"/>
      <c r="C3" s="135" t="s">
        <v>356</v>
      </c>
      <c r="D3" s="135" t="s">
        <v>357</v>
      </c>
      <c r="E3" s="135" t="s">
        <v>358</v>
      </c>
      <c r="F3" s="135" t="s">
        <v>359</v>
      </c>
      <c r="G3" s="135" t="s">
        <v>360</v>
      </c>
      <c r="H3" s="135" t="s">
        <v>361</v>
      </c>
      <c r="I3" s="135" t="s">
        <v>362</v>
      </c>
      <c r="K3" s="135" t="s">
        <v>356</v>
      </c>
      <c r="L3" s="135" t="s">
        <v>357</v>
      </c>
      <c r="M3" s="135" t="s">
        <v>358</v>
      </c>
      <c r="N3" s="135" t="s">
        <v>359</v>
      </c>
      <c r="O3" s="135" t="s">
        <v>360</v>
      </c>
      <c r="P3" s="135" t="s">
        <v>361</v>
      </c>
      <c r="Q3" s="135" t="s">
        <v>362</v>
      </c>
      <c r="S3" s="135" t="s">
        <v>356</v>
      </c>
      <c r="T3" s="135" t="s">
        <v>357</v>
      </c>
      <c r="U3" s="135" t="s">
        <v>358</v>
      </c>
      <c r="V3" s="135" t="s">
        <v>359</v>
      </c>
      <c r="W3" s="135" t="s">
        <v>360</v>
      </c>
      <c r="X3" s="135" t="s">
        <v>361</v>
      </c>
      <c r="Y3" s="135" t="s">
        <v>362</v>
      </c>
    </row>
    <row r="4" spans="1:26" s="133" customFormat="1">
      <c r="A4" s="165" t="s">
        <v>381</v>
      </c>
      <c r="B4" s="132"/>
    </row>
    <row r="5" spans="1:26" s="164" customFormat="1" ht="31.5" customHeight="1" outlineLevel="1">
      <c r="A5" s="167"/>
      <c r="B5" s="160" t="s">
        <v>363</v>
      </c>
      <c r="C5" s="161" t="s">
        <v>520</v>
      </c>
      <c r="D5" s="161" t="s">
        <v>521</v>
      </c>
      <c r="E5" s="161" t="s">
        <v>522</v>
      </c>
      <c r="F5" s="161" t="s">
        <v>521</v>
      </c>
      <c r="G5" s="161" t="s">
        <v>520</v>
      </c>
      <c r="H5" s="161" t="s">
        <v>522</v>
      </c>
      <c r="I5" s="161" t="s">
        <v>523</v>
      </c>
      <c r="J5" s="162"/>
      <c r="K5" s="161" t="s">
        <v>520</v>
      </c>
      <c r="L5" s="161" t="s">
        <v>521</v>
      </c>
      <c r="M5" s="161" t="s">
        <v>522</v>
      </c>
      <c r="N5" s="161" t="s">
        <v>520</v>
      </c>
      <c r="O5" s="161" t="s">
        <v>522</v>
      </c>
      <c r="P5" s="161" t="s">
        <v>524</v>
      </c>
      <c r="Q5" s="161" t="s">
        <v>523</v>
      </c>
      <c r="R5" s="162"/>
      <c r="S5" s="161" t="s">
        <v>525</v>
      </c>
      <c r="T5" s="161" t="s">
        <v>526</v>
      </c>
      <c r="U5" s="161" t="s">
        <v>522</v>
      </c>
      <c r="V5" s="161" t="s">
        <v>522</v>
      </c>
      <c r="W5" s="161" t="s">
        <v>525</v>
      </c>
      <c r="X5" s="161" t="s">
        <v>525</v>
      </c>
      <c r="Y5" s="161" t="s">
        <v>523</v>
      </c>
      <c r="Z5" s="163"/>
    </row>
    <row r="6" spans="1:26" s="164" customFormat="1" ht="31.5" customHeight="1" outlineLevel="1">
      <c r="A6" s="167"/>
      <c r="B6" s="160" t="s">
        <v>364</v>
      </c>
      <c r="C6" s="161" t="s">
        <v>527</v>
      </c>
      <c r="D6" s="161" t="s">
        <v>522</v>
      </c>
      <c r="E6" s="161" t="s">
        <v>522</v>
      </c>
      <c r="F6" s="161" t="s">
        <v>528</v>
      </c>
      <c r="G6" s="161" t="s">
        <v>527</v>
      </c>
      <c r="H6" s="161" t="s">
        <v>527</v>
      </c>
      <c r="I6" s="161" t="s">
        <v>529</v>
      </c>
      <c r="J6" s="162"/>
      <c r="K6" s="161" t="s">
        <v>528</v>
      </c>
      <c r="L6" s="161" t="s">
        <v>528</v>
      </c>
      <c r="M6" s="161" t="s">
        <v>522</v>
      </c>
      <c r="N6" s="161" t="s">
        <v>522</v>
      </c>
      <c r="O6" s="161" t="s">
        <v>528</v>
      </c>
      <c r="P6" s="161" t="s">
        <v>528</v>
      </c>
      <c r="Q6" s="161" t="s">
        <v>530</v>
      </c>
      <c r="R6" s="162"/>
      <c r="S6" s="161" t="s">
        <v>531</v>
      </c>
      <c r="T6" s="161" t="s">
        <v>531</v>
      </c>
      <c r="U6" s="161" t="s">
        <v>522</v>
      </c>
      <c r="V6" s="161" t="s">
        <v>528</v>
      </c>
      <c r="W6" s="161" t="s">
        <v>522</v>
      </c>
      <c r="X6" s="161" t="s">
        <v>527</v>
      </c>
      <c r="Y6" s="161" t="s">
        <v>529</v>
      </c>
      <c r="Z6" s="163"/>
    </row>
    <row r="7" spans="1:26" s="164" customFormat="1" ht="31.5" customHeight="1" outlineLevel="1">
      <c r="A7" s="167"/>
      <c r="B7" s="160" t="s">
        <v>365</v>
      </c>
      <c r="C7" s="161" t="s">
        <v>528</v>
      </c>
      <c r="D7" s="161" t="s">
        <v>528</v>
      </c>
      <c r="E7" s="161" t="s">
        <v>522</v>
      </c>
      <c r="F7" s="161" t="s">
        <v>522</v>
      </c>
      <c r="G7" s="161" t="s">
        <v>528</v>
      </c>
      <c r="H7" s="161" t="s">
        <v>528</v>
      </c>
      <c r="I7" s="161" t="s">
        <v>530</v>
      </c>
      <c r="J7" s="162"/>
      <c r="K7" s="161" t="s">
        <v>531</v>
      </c>
      <c r="L7" s="161" t="s">
        <v>522</v>
      </c>
      <c r="M7" s="161" t="s">
        <v>522</v>
      </c>
      <c r="N7" s="161" t="s">
        <v>528</v>
      </c>
      <c r="O7" s="161" t="s">
        <v>532</v>
      </c>
      <c r="P7" s="161" t="s">
        <v>527</v>
      </c>
      <c r="Q7" s="161" t="s">
        <v>529</v>
      </c>
      <c r="R7" s="162"/>
      <c r="S7" s="161" t="s">
        <v>527</v>
      </c>
      <c r="T7" s="161" t="s">
        <v>527</v>
      </c>
      <c r="U7" s="161" t="s">
        <v>522</v>
      </c>
      <c r="V7" s="161" t="s">
        <v>527</v>
      </c>
      <c r="W7" s="161" t="s">
        <v>527</v>
      </c>
      <c r="X7" s="161" t="s">
        <v>522</v>
      </c>
      <c r="Y7" s="161" t="s">
        <v>533</v>
      </c>
      <c r="Z7" s="163"/>
    </row>
    <row r="8" spans="1:26" s="164" customFormat="1" ht="31.5" customHeight="1" outlineLevel="1">
      <c r="A8" s="167"/>
      <c r="B8" s="160" t="s">
        <v>366</v>
      </c>
      <c r="C8" s="161" t="s">
        <v>531</v>
      </c>
      <c r="D8" s="161" t="s">
        <v>527</v>
      </c>
      <c r="E8" s="161" t="s">
        <v>522</v>
      </c>
      <c r="F8" s="161" t="s">
        <v>527</v>
      </c>
      <c r="G8" s="161" t="s">
        <v>522</v>
      </c>
      <c r="H8" s="161" t="s">
        <v>534</v>
      </c>
      <c r="I8" s="161" t="s">
        <v>535</v>
      </c>
      <c r="J8" s="162"/>
      <c r="K8" s="161" t="s">
        <v>527</v>
      </c>
      <c r="L8" s="161" t="s">
        <v>527</v>
      </c>
      <c r="M8" s="161" t="s">
        <v>522</v>
      </c>
      <c r="N8" s="161" t="s">
        <v>527</v>
      </c>
      <c r="O8" s="161" t="s">
        <v>527</v>
      </c>
      <c r="P8" s="161" t="s">
        <v>522</v>
      </c>
      <c r="Q8" s="161" t="s">
        <v>533</v>
      </c>
      <c r="R8" s="162"/>
      <c r="S8" s="161" t="s">
        <v>528</v>
      </c>
      <c r="T8" s="161" t="s">
        <v>522</v>
      </c>
      <c r="U8" s="161" t="s">
        <v>522</v>
      </c>
      <c r="V8" s="161" t="s">
        <v>531</v>
      </c>
      <c r="W8" s="161" t="s">
        <v>531</v>
      </c>
      <c r="X8" s="161" t="s">
        <v>531</v>
      </c>
      <c r="Y8" s="161" t="s">
        <v>530</v>
      </c>
      <c r="Z8" s="163"/>
    </row>
    <row r="9" spans="1:26" s="164" customFormat="1" ht="31.5" customHeight="1" outlineLevel="1">
      <c r="A9" s="167"/>
      <c r="B9" s="160"/>
      <c r="C9" s="161"/>
      <c r="D9" s="161"/>
      <c r="E9" s="161"/>
      <c r="F9" s="161"/>
      <c r="G9" s="161"/>
      <c r="H9" s="161"/>
      <c r="I9" s="161"/>
      <c r="J9" s="162"/>
      <c r="K9" s="161"/>
      <c r="L9" s="161"/>
      <c r="M9" s="161"/>
      <c r="N9" s="161"/>
      <c r="O9" s="161"/>
      <c r="P9" s="161"/>
      <c r="Q9" s="161"/>
      <c r="R9" s="162"/>
      <c r="S9" s="161"/>
      <c r="T9" s="161"/>
      <c r="U9" s="161"/>
      <c r="V9" s="161"/>
      <c r="W9" s="161"/>
      <c r="X9" s="161"/>
      <c r="Y9" s="161"/>
      <c r="Z9" s="163"/>
    </row>
    <row r="10" spans="1:26" s="164" customFormat="1" ht="31.5" customHeight="1" outlineLevel="1">
      <c r="A10" s="167"/>
      <c r="B10" s="160"/>
      <c r="C10" s="161"/>
      <c r="D10" s="161"/>
      <c r="E10" s="161"/>
      <c r="F10" s="161"/>
      <c r="G10" s="161"/>
      <c r="H10" s="161"/>
      <c r="I10" s="161"/>
      <c r="J10" s="162"/>
      <c r="K10" s="161"/>
      <c r="L10" s="161"/>
      <c r="M10" s="161"/>
      <c r="N10" s="161"/>
      <c r="O10" s="161"/>
      <c r="P10" s="161"/>
      <c r="Q10" s="161"/>
      <c r="R10" s="162"/>
      <c r="S10" s="161"/>
      <c r="T10" s="161"/>
      <c r="U10" s="161"/>
      <c r="V10" s="161"/>
      <c r="W10" s="161"/>
      <c r="X10" s="161"/>
      <c r="Y10" s="161"/>
      <c r="Z10" s="163"/>
    </row>
    <row r="11" spans="1:26" s="164" customFormat="1" ht="31.5" customHeight="1" outlineLevel="1">
      <c r="A11" s="167"/>
      <c r="B11" s="160"/>
      <c r="C11" s="161"/>
      <c r="D11" s="161"/>
      <c r="E11" s="161"/>
      <c r="F11" s="161"/>
      <c r="G11" s="161"/>
      <c r="H11" s="161"/>
      <c r="I11" s="161"/>
      <c r="J11" s="162"/>
      <c r="K11" s="161"/>
      <c r="L11" s="161"/>
      <c r="M11" s="161"/>
      <c r="N11" s="161"/>
      <c r="O11" s="161"/>
      <c r="P11" s="161"/>
      <c r="Q11" s="161"/>
      <c r="R11" s="162"/>
      <c r="S11" s="161"/>
      <c r="T11" s="161"/>
      <c r="U11" s="161"/>
      <c r="V11" s="161"/>
      <c r="W11" s="161"/>
      <c r="X11" s="161"/>
      <c r="Y11" s="161"/>
      <c r="Z11" s="163"/>
    </row>
    <row r="12" spans="1:26" s="163" customFormat="1">
      <c r="A12" s="167" t="s">
        <v>331</v>
      </c>
      <c r="B12" s="160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</row>
    <row r="13" spans="1:26" s="164" customFormat="1" ht="31.5" customHeight="1" outlineLevel="1">
      <c r="A13" s="167"/>
      <c r="B13" s="160"/>
      <c r="C13" s="161"/>
      <c r="D13" s="161"/>
      <c r="E13" s="161"/>
      <c r="F13" s="161"/>
      <c r="G13" s="161"/>
      <c r="H13" s="161"/>
      <c r="I13" s="161"/>
      <c r="J13" s="162"/>
      <c r="K13" s="161"/>
      <c r="L13" s="161"/>
      <c r="M13" s="161"/>
      <c r="N13" s="161"/>
      <c r="O13" s="161"/>
      <c r="P13" s="161"/>
      <c r="Q13" s="161"/>
      <c r="R13" s="162"/>
      <c r="S13" s="161"/>
      <c r="T13" s="161"/>
      <c r="U13" s="161"/>
      <c r="V13" s="161"/>
      <c r="W13" s="161"/>
      <c r="X13" s="161"/>
      <c r="Y13" s="161"/>
      <c r="Z13" s="163"/>
    </row>
    <row r="14" spans="1:26" s="164" customFormat="1" ht="31.5" customHeight="1" outlineLevel="1">
      <c r="A14" s="167"/>
      <c r="B14" s="160"/>
      <c r="C14" s="161"/>
      <c r="D14" s="161"/>
      <c r="E14" s="161"/>
      <c r="F14" s="161"/>
      <c r="G14" s="161"/>
      <c r="H14" s="161"/>
      <c r="I14" s="161"/>
      <c r="J14" s="162"/>
      <c r="K14" s="161"/>
      <c r="L14" s="161"/>
      <c r="M14" s="161"/>
      <c r="N14" s="161"/>
      <c r="O14" s="161"/>
      <c r="P14" s="161"/>
      <c r="Q14" s="161"/>
      <c r="R14" s="162"/>
      <c r="S14" s="161"/>
      <c r="T14" s="161"/>
      <c r="U14" s="161"/>
      <c r="V14" s="161"/>
      <c r="W14" s="161"/>
      <c r="X14" s="161"/>
      <c r="Y14" s="161"/>
      <c r="Z14" s="163"/>
    </row>
    <row r="15" spans="1:26" s="164" customFormat="1" ht="31.5" customHeight="1" outlineLevel="1">
      <c r="A15" s="167"/>
      <c r="B15" s="160"/>
      <c r="C15" s="161"/>
      <c r="D15" s="161"/>
      <c r="E15" s="161"/>
      <c r="F15" s="161"/>
      <c r="G15" s="161"/>
      <c r="H15" s="161"/>
      <c r="I15" s="161"/>
      <c r="J15" s="162"/>
      <c r="K15" s="161"/>
      <c r="L15" s="161"/>
      <c r="M15" s="161"/>
      <c r="N15" s="161"/>
      <c r="O15" s="161"/>
      <c r="P15" s="161"/>
      <c r="Q15" s="161"/>
      <c r="R15" s="162"/>
      <c r="S15" s="161"/>
      <c r="T15" s="161"/>
      <c r="U15" s="161"/>
      <c r="V15" s="161"/>
      <c r="W15" s="161"/>
      <c r="X15" s="161"/>
      <c r="Y15" s="161"/>
      <c r="Z15" s="163"/>
    </row>
    <row r="16" spans="1:26" s="164" customFormat="1" ht="31.5" customHeight="1" outlineLevel="1">
      <c r="A16" s="167"/>
      <c r="B16" s="160"/>
      <c r="C16" s="161"/>
      <c r="D16" s="161"/>
      <c r="E16" s="161"/>
      <c r="F16" s="161"/>
      <c r="G16" s="161"/>
      <c r="H16" s="161"/>
      <c r="I16" s="161"/>
      <c r="J16" s="162"/>
      <c r="K16" s="161"/>
      <c r="L16" s="161"/>
      <c r="M16" s="161"/>
      <c r="N16" s="161"/>
      <c r="O16" s="161"/>
      <c r="P16" s="161"/>
      <c r="Q16" s="161"/>
      <c r="R16" s="162"/>
      <c r="S16" s="161"/>
      <c r="T16" s="161"/>
      <c r="U16" s="161"/>
      <c r="V16" s="161"/>
      <c r="W16" s="161"/>
      <c r="X16" s="161"/>
      <c r="Y16" s="161"/>
      <c r="Z16" s="163"/>
    </row>
    <row r="17" spans="1:26" s="164" customFormat="1" ht="31.5" customHeight="1" outlineLevel="1">
      <c r="A17" s="167"/>
      <c r="B17" s="160"/>
      <c r="C17" s="161"/>
      <c r="D17" s="161"/>
      <c r="E17" s="161"/>
      <c r="F17" s="161"/>
      <c r="G17" s="161"/>
      <c r="H17" s="161"/>
      <c r="I17" s="161"/>
      <c r="J17" s="162"/>
      <c r="K17" s="161"/>
      <c r="L17" s="161"/>
      <c r="M17" s="161"/>
      <c r="N17" s="161"/>
      <c r="O17" s="161"/>
      <c r="P17" s="161"/>
      <c r="Q17" s="161"/>
      <c r="R17" s="162"/>
      <c r="S17" s="161"/>
      <c r="T17" s="161"/>
      <c r="U17" s="161"/>
      <c r="V17" s="161"/>
      <c r="W17" s="161"/>
      <c r="X17" s="161"/>
      <c r="Y17" s="161"/>
      <c r="Z17" s="163"/>
    </row>
    <row r="18" spans="1:26" s="164" customFormat="1" ht="31.5" customHeight="1" outlineLevel="1">
      <c r="A18" s="167"/>
      <c r="B18" s="160"/>
      <c r="C18" s="161"/>
      <c r="D18" s="161"/>
      <c r="E18" s="161"/>
      <c r="F18" s="161"/>
      <c r="G18" s="161"/>
      <c r="H18" s="161"/>
      <c r="I18" s="161"/>
      <c r="J18" s="162"/>
      <c r="K18" s="161"/>
      <c r="L18" s="161"/>
      <c r="M18" s="161"/>
      <c r="N18" s="161"/>
      <c r="O18" s="161"/>
      <c r="P18" s="161"/>
      <c r="Q18" s="161"/>
      <c r="R18" s="162"/>
      <c r="S18" s="161"/>
      <c r="T18" s="161"/>
      <c r="U18" s="161"/>
      <c r="V18" s="161"/>
      <c r="W18" s="161"/>
      <c r="X18" s="161"/>
      <c r="Y18" s="161"/>
      <c r="Z18" s="163"/>
    </row>
    <row r="19" spans="1:26" s="163" customFormat="1">
      <c r="A19" s="167" t="s">
        <v>380</v>
      </c>
      <c r="B19" s="160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</row>
    <row r="20" spans="1:26" s="164" customFormat="1" ht="31.5" customHeight="1" outlineLevel="1">
      <c r="A20" s="167"/>
      <c r="B20" s="160" t="s">
        <v>382</v>
      </c>
      <c r="C20" s="161" t="s">
        <v>536</v>
      </c>
      <c r="D20" s="161" t="s">
        <v>536</v>
      </c>
      <c r="E20" s="161" t="s">
        <v>522</v>
      </c>
      <c r="F20" s="161" t="s">
        <v>536</v>
      </c>
      <c r="G20" s="161" t="s">
        <v>536</v>
      </c>
      <c r="H20" s="161" t="s">
        <v>536</v>
      </c>
      <c r="I20" s="161" t="s">
        <v>536</v>
      </c>
      <c r="J20" s="162"/>
      <c r="K20" s="161"/>
      <c r="L20" s="161"/>
      <c r="M20" s="161"/>
      <c r="N20" s="161"/>
      <c r="O20" s="161"/>
      <c r="P20" s="161"/>
      <c r="Q20" s="161"/>
      <c r="R20" s="162"/>
      <c r="S20" s="161"/>
      <c r="T20" s="161"/>
      <c r="U20" s="161"/>
      <c r="V20" s="161"/>
      <c r="W20" s="161"/>
      <c r="X20" s="161"/>
      <c r="Y20" s="161"/>
      <c r="Z20" s="163"/>
    </row>
    <row r="21" spans="1:26" s="164" customFormat="1" ht="31.5" customHeight="1" outlineLevel="1">
      <c r="A21" s="167"/>
      <c r="B21" s="160" t="s">
        <v>383</v>
      </c>
      <c r="C21" s="161" t="s">
        <v>536</v>
      </c>
      <c r="D21" s="161" t="s">
        <v>536</v>
      </c>
      <c r="E21" s="161" t="s">
        <v>522</v>
      </c>
      <c r="F21" s="161" t="s">
        <v>536</v>
      </c>
      <c r="G21" s="161" t="s">
        <v>536</v>
      </c>
      <c r="H21" s="161" t="s">
        <v>536</v>
      </c>
      <c r="I21" s="161" t="s">
        <v>522</v>
      </c>
      <c r="J21" s="162"/>
      <c r="K21" s="161"/>
      <c r="L21" s="161"/>
      <c r="M21" s="161"/>
      <c r="N21" s="161"/>
      <c r="O21" s="161"/>
      <c r="P21" s="161"/>
      <c r="Q21" s="161"/>
      <c r="R21" s="162"/>
      <c r="S21" s="161"/>
      <c r="T21" s="161"/>
      <c r="U21" s="161"/>
      <c r="V21" s="161"/>
      <c r="W21" s="161"/>
      <c r="X21" s="161"/>
      <c r="Y21" s="161"/>
      <c r="Z21" s="163"/>
    </row>
    <row r="22" spans="1:26" s="164" customFormat="1" ht="31.5" customHeight="1" outlineLevel="1">
      <c r="A22" s="167"/>
      <c r="B22" s="160" t="s">
        <v>384</v>
      </c>
      <c r="C22" s="161" t="s">
        <v>537</v>
      </c>
      <c r="D22" s="161" t="s">
        <v>537</v>
      </c>
      <c r="E22" s="161" t="s">
        <v>522</v>
      </c>
      <c r="F22" s="161" t="s">
        <v>537</v>
      </c>
      <c r="G22" s="161" t="s">
        <v>537</v>
      </c>
      <c r="H22" s="161" t="s">
        <v>522</v>
      </c>
      <c r="I22" s="161" t="s">
        <v>522</v>
      </c>
      <c r="J22" s="162"/>
      <c r="K22" s="161"/>
      <c r="L22" s="161"/>
      <c r="M22" s="161"/>
      <c r="N22" s="161"/>
      <c r="O22" s="161"/>
      <c r="P22" s="161"/>
      <c r="Q22" s="161"/>
      <c r="R22" s="162"/>
      <c r="S22" s="161"/>
      <c r="T22" s="161"/>
      <c r="U22" s="161"/>
      <c r="V22" s="161"/>
      <c r="W22" s="161"/>
      <c r="X22" s="161"/>
      <c r="Y22" s="161"/>
      <c r="Z22" s="163"/>
    </row>
    <row r="23" spans="1:26" s="164" customFormat="1" ht="31.5" customHeight="1" outlineLevel="1">
      <c r="A23" s="167"/>
      <c r="B23" s="160" t="s">
        <v>367</v>
      </c>
      <c r="C23" s="161" t="s">
        <v>538</v>
      </c>
      <c r="D23" s="161" t="s">
        <v>538</v>
      </c>
      <c r="E23" s="161" t="s">
        <v>522</v>
      </c>
      <c r="F23" s="161" t="s">
        <v>538</v>
      </c>
      <c r="G23" s="161" t="s">
        <v>538</v>
      </c>
      <c r="H23" s="161" t="s">
        <v>538</v>
      </c>
      <c r="I23" s="161" t="s">
        <v>538</v>
      </c>
      <c r="J23" s="162"/>
      <c r="K23" s="161"/>
      <c r="L23" s="161"/>
      <c r="M23" s="161"/>
      <c r="N23" s="161"/>
      <c r="O23" s="161"/>
      <c r="P23" s="161"/>
      <c r="Q23" s="161"/>
      <c r="R23" s="162"/>
      <c r="S23" s="161"/>
      <c r="T23" s="161"/>
      <c r="U23" s="161"/>
      <c r="V23" s="161"/>
      <c r="W23" s="161"/>
      <c r="X23" s="161"/>
      <c r="Y23" s="161"/>
      <c r="Z23" s="163"/>
    </row>
    <row r="24" spans="1:26" s="164" customFormat="1" ht="31.5" customHeight="1" outlineLevel="1">
      <c r="A24" s="167"/>
      <c r="B24" s="160" t="s">
        <v>385</v>
      </c>
      <c r="C24" s="161" t="s">
        <v>539</v>
      </c>
      <c r="D24" s="161" t="s">
        <v>539</v>
      </c>
      <c r="E24" s="161" t="s">
        <v>522</v>
      </c>
      <c r="F24" s="161" t="s">
        <v>522</v>
      </c>
      <c r="G24" s="161" t="s">
        <v>539</v>
      </c>
      <c r="H24" s="161" t="s">
        <v>539</v>
      </c>
      <c r="I24" s="161" t="s">
        <v>539</v>
      </c>
      <c r="J24" s="162"/>
      <c r="K24" s="161"/>
      <c r="L24" s="161"/>
      <c r="M24" s="161"/>
      <c r="N24" s="161"/>
      <c r="O24" s="161"/>
      <c r="P24" s="161"/>
      <c r="Q24" s="161"/>
      <c r="R24" s="162"/>
      <c r="S24" s="161"/>
      <c r="T24" s="161"/>
      <c r="U24" s="161"/>
      <c r="V24" s="161"/>
      <c r="W24" s="161"/>
      <c r="X24" s="161"/>
      <c r="Y24" s="161"/>
      <c r="Z24" s="163"/>
    </row>
    <row r="25" spans="1:26" s="164" customFormat="1" ht="31.5" customHeight="1" outlineLevel="1">
      <c r="A25" s="167"/>
      <c r="B25" s="160"/>
      <c r="C25" s="161"/>
      <c r="D25" s="161"/>
      <c r="E25" s="161"/>
      <c r="F25" s="161"/>
      <c r="G25" s="161"/>
      <c r="H25" s="161"/>
      <c r="I25" s="161"/>
      <c r="J25" s="162"/>
      <c r="K25" s="161"/>
      <c r="L25" s="161"/>
      <c r="M25" s="161"/>
      <c r="N25" s="161"/>
      <c r="O25" s="161"/>
      <c r="P25" s="161"/>
      <c r="Q25" s="161"/>
      <c r="R25" s="162"/>
      <c r="S25" s="161"/>
      <c r="T25" s="161"/>
      <c r="U25" s="161"/>
      <c r="V25" s="161"/>
      <c r="W25" s="161"/>
      <c r="X25" s="161"/>
      <c r="Y25" s="161"/>
      <c r="Z25" s="163"/>
    </row>
    <row r="26" spans="1:26" s="164" customFormat="1" ht="31.5" customHeight="1" outlineLevel="1">
      <c r="A26" s="167"/>
      <c r="B26" s="160"/>
      <c r="C26" s="161"/>
      <c r="D26" s="161"/>
      <c r="E26" s="161"/>
      <c r="F26" s="161"/>
      <c r="G26" s="161"/>
      <c r="H26" s="161"/>
      <c r="I26" s="161"/>
      <c r="J26" s="162"/>
      <c r="K26" s="161"/>
      <c r="L26" s="161"/>
      <c r="M26" s="161"/>
      <c r="N26" s="161"/>
      <c r="O26" s="161"/>
      <c r="P26" s="161"/>
      <c r="Q26" s="161"/>
      <c r="R26" s="162"/>
      <c r="S26" s="161"/>
      <c r="T26" s="161"/>
      <c r="U26" s="161"/>
      <c r="V26" s="161"/>
      <c r="W26" s="161"/>
      <c r="X26" s="161"/>
      <c r="Y26" s="161"/>
      <c r="Z26" s="163"/>
    </row>
    <row r="27" spans="1:26" s="163" customFormat="1">
      <c r="A27" s="167"/>
      <c r="B27" s="160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</row>
    <row r="28" spans="1:26" s="164" customFormat="1" ht="31.5" customHeight="1" outlineLevel="1">
      <c r="A28" s="167"/>
      <c r="B28" s="160" t="s">
        <v>540</v>
      </c>
      <c r="C28" s="161" t="s">
        <v>541</v>
      </c>
      <c r="D28" s="161" t="s">
        <v>541</v>
      </c>
      <c r="E28" s="161"/>
      <c r="F28" s="161" t="s">
        <v>541</v>
      </c>
      <c r="G28" s="161" t="s">
        <v>541</v>
      </c>
      <c r="H28" s="161" t="s">
        <v>541</v>
      </c>
      <c r="I28" s="161" t="s">
        <v>542</v>
      </c>
      <c r="J28" s="162"/>
      <c r="K28" s="161"/>
      <c r="L28" s="161"/>
      <c r="M28" s="161"/>
      <c r="N28" s="161"/>
      <c r="O28" s="161"/>
      <c r="P28" s="161"/>
      <c r="Q28" s="161"/>
      <c r="R28" s="162"/>
      <c r="S28" s="161"/>
      <c r="T28" s="161"/>
      <c r="U28" s="161"/>
      <c r="V28" s="161"/>
      <c r="W28" s="161"/>
      <c r="X28" s="161"/>
      <c r="Y28" s="161"/>
      <c r="Z28" s="163"/>
    </row>
    <row r="29" spans="1:26" s="164" customFormat="1" ht="31.5" customHeight="1" outlineLevel="1">
      <c r="A29" s="167"/>
      <c r="B29" s="160" t="s">
        <v>543</v>
      </c>
      <c r="C29" s="161" t="s">
        <v>544</v>
      </c>
      <c r="D29" s="161"/>
      <c r="E29" s="161"/>
      <c r="F29" s="161"/>
      <c r="G29" s="161"/>
      <c r="H29" s="161"/>
      <c r="I29" s="161"/>
      <c r="J29" s="162"/>
      <c r="K29" s="161"/>
      <c r="L29" s="161"/>
      <c r="M29" s="161"/>
      <c r="N29" s="161"/>
      <c r="O29" s="161"/>
      <c r="P29" s="161"/>
      <c r="Q29" s="161"/>
      <c r="R29" s="162"/>
      <c r="S29" s="161"/>
      <c r="T29" s="161"/>
      <c r="U29" s="161"/>
      <c r="V29" s="161"/>
      <c r="W29" s="161"/>
      <c r="X29" s="161"/>
      <c r="Y29" s="161"/>
      <c r="Z29" s="163"/>
    </row>
    <row r="30" spans="1:26" s="164" customFormat="1" ht="31.5" customHeight="1" outlineLevel="1">
      <c r="A30" s="167"/>
      <c r="B30" s="160"/>
      <c r="C30" s="161"/>
      <c r="D30" s="161"/>
      <c r="E30" s="161"/>
      <c r="F30" s="161"/>
      <c r="G30" s="161"/>
      <c r="H30" s="161"/>
      <c r="I30" s="161"/>
      <c r="J30" s="162"/>
      <c r="K30" s="161"/>
      <c r="L30" s="161"/>
      <c r="M30" s="161"/>
      <c r="N30" s="161"/>
      <c r="O30" s="161"/>
      <c r="P30" s="161"/>
      <c r="Q30" s="161"/>
      <c r="R30" s="162"/>
      <c r="S30" s="161"/>
      <c r="T30" s="161"/>
      <c r="U30" s="161"/>
      <c r="V30" s="161"/>
      <c r="W30" s="161"/>
      <c r="X30" s="161"/>
      <c r="Y30" s="161"/>
      <c r="Z30" s="163"/>
    </row>
    <row r="31" spans="1:26" ht="31.5" customHeight="1">
      <c r="C31" s="158"/>
      <c r="D31" s="158"/>
      <c r="E31" s="158"/>
      <c r="F31" s="158"/>
      <c r="G31" s="158"/>
      <c r="H31" s="158"/>
      <c r="I31" s="158"/>
      <c r="J31" s="159"/>
      <c r="K31" s="158"/>
      <c r="L31" s="158"/>
      <c r="M31" s="158"/>
      <c r="N31" s="158"/>
      <c r="O31" s="158"/>
      <c r="P31" s="158"/>
      <c r="Q31" s="158"/>
      <c r="R31" s="159"/>
      <c r="S31" s="158"/>
      <c r="T31" s="158"/>
      <c r="U31" s="158"/>
      <c r="V31" s="158"/>
      <c r="W31" s="158"/>
      <c r="X31" s="158"/>
      <c r="Y31" s="158"/>
    </row>
    <row r="32" spans="1:26" s="132" customFormat="1">
      <c r="A32" s="165" t="s">
        <v>355</v>
      </c>
    </row>
    <row r="33" spans="1:26" s="134" customFormat="1">
      <c r="A33" s="166"/>
      <c r="B33" s="134" t="s">
        <v>373</v>
      </c>
      <c r="C33" s="135" t="s">
        <v>353</v>
      </c>
      <c r="D33" s="135"/>
      <c r="E33" s="135"/>
      <c r="F33" s="135"/>
      <c r="G33" s="135"/>
      <c r="H33" s="135"/>
      <c r="I33" s="135"/>
      <c r="J33" s="135"/>
      <c r="K33" s="135" t="s">
        <v>354</v>
      </c>
      <c r="L33" s="135"/>
      <c r="M33" s="135"/>
      <c r="N33" s="135"/>
      <c r="O33" s="135"/>
      <c r="P33" s="135"/>
      <c r="Q33" s="135"/>
      <c r="R33" s="135"/>
      <c r="S33" s="135" t="s">
        <v>379</v>
      </c>
      <c r="T33" s="132"/>
    </row>
    <row r="34" spans="1:26" s="135" customFormat="1">
      <c r="A34" s="165"/>
      <c r="C34" s="135" t="s">
        <v>356</v>
      </c>
      <c r="D34" s="135" t="s">
        <v>357</v>
      </c>
      <c r="E34" s="135" t="s">
        <v>358</v>
      </c>
      <c r="F34" s="135" t="s">
        <v>359</v>
      </c>
      <c r="G34" s="135" t="s">
        <v>360</v>
      </c>
      <c r="H34" s="135" t="s">
        <v>361</v>
      </c>
      <c r="I34" s="135" t="s">
        <v>362</v>
      </c>
      <c r="K34" s="135" t="s">
        <v>356</v>
      </c>
      <c r="L34" s="135" t="s">
        <v>357</v>
      </c>
      <c r="M34" s="135" t="s">
        <v>358</v>
      </c>
      <c r="N34" s="135" t="s">
        <v>359</v>
      </c>
      <c r="O34" s="135" t="s">
        <v>360</v>
      </c>
      <c r="P34" s="135" t="s">
        <v>361</v>
      </c>
      <c r="Q34" s="135" t="s">
        <v>362</v>
      </c>
      <c r="S34" s="135" t="s">
        <v>356</v>
      </c>
      <c r="T34" s="135" t="s">
        <v>357</v>
      </c>
      <c r="U34" s="135" t="s">
        <v>358</v>
      </c>
      <c r="V34" s="135" t="s">
        <v>359</v>
      </c>
      <c r="W34" s="135" t="s">
        <v>360</v>
      </c>
      <c r="X34" s="135" t="s">
        <v>361</v>
      </c>
      <c r="Y34" s="135" t="s">
        <v>362</v>
      </c>
    </row>
    <row r="35" spans="1:26" s="133" customFormat="1">
      <c r="A35" s="165" t="s">
        <v>381</v>
      </c>
      <c r="B35" s="132"/>
    </row>
    <row r="36" spans="1:26" s="164" customFormat="1" ht="31.5" customHeight="1" outlineLevel="1">
      <c r="A36" s="167"/>
      <c r="B36" s="160"/>
      <c r="C36" s="161"/>
      <c r="D36" s="161"/>
      <c r="E36" s="161"/>
      <c r="F36" s="161"/>
      <c r="G36" s="161"/>
      <c r="H36" s="161"/>
      <c r="I36" s="161"/>
      <c r="J36" s="162"/>
      <c r="K36" s="161"/>
      <c r="L36" s="161"/>
      <c r="M36" s="161"/>
      <c r="N36" s="161"/>
      <c r="O36" s="161"/>
      <c r="P36" s="161"/>
      <c r="Q36" s="161"/>
      <c r="R36" s="162"/>
      <c r="S36" s="161"/>
      <c r="T36" s="161"/>
      <c r="U36" s="161"/>
      <c r="V36" s="161"/>
      <c r="W36" s="161"/>
      <c r="X36" s="161"/>
      <c r="Y36" s="161"/>
      <c r="Z36" s="163"/>
    </row>
    <row r="37" spans="1:26" s="164" customFormat="1" ht="31.5" customHeight="1" outlineLevel="1">
      <c r="A37" s="167"/>
      <c r="B37" s="160"/>
      <c r="C37" s="161"/>
      <c r="D37" s="161"/>
      <c r="E37" s="161"/>
      <c r="F37" s="161"/>
      <c r="G37" s="161"/>
      <c r="H37" s="161"/>
      <c r="I37" s="161"/>
      <c r="J37" s="162"/>
      <c r="K37" s="161"/>
      <c r="L37" s="161"/>
      <c r="M37" s="161"/>
      <c r="N37" s="161"/>
      <c r="O37" s="161"/>
      <c r="P37" s="161"/>
      <c r="Q37" s="161"/>
      <c r="R37" s="162"/>
      <c r="S37" s="161"/>
      <c r="T37" s="161"/>
      <c r="U37" s="161"/>
      <c r="V37" s="161"/>
      <c r="W37" s="161"/>
      <c r="X37" s="161"/>
      <c r="Y37" s="161"/>
      <c r="Z37" s="163"/>
    </row>
    <row r="38" spans="1:26" s="164" customFormat="1" ht="31.5" customHeight="1" outlineLevel="1">
      <c r="A38" s="167"/>
      <c r="B38" s="160"/>
      <c r="C38" s="161"/>
      <c r="D38" s="161"/>
      <c r="E38" s="161"/>
      <c r="F38" s="161"/>
      <c r="G38" s="161"/>
      <c r="H38" s="161"/>
      <c r="I38" s="161"/>
      <c r="J38" s="162"/>
      <c r="K38" s="161"/>
      <c r="L38" s="161"/>
      <c r="M38" s="161"/>
      <c r="N38" s="161"/>
      <c r="O38" s="161"/>
      <c r="P38" s="161"/>
      <c r="Q38" s="161"/>
      <c r="R38" s="162"/>
      <c r="S38" s="161"/>
      <c r="T38" s="161"/>
      <c r="U38" s="161"/>
      <c r="V38" s="161"/>
      <c r="W38" s="161"/>
      <c r="X38" s="161"/>
      <c r="Y38" s="161"/>
      <c r="Z38" s="163"/>
    </row>
    <row r="39" spans="1:26" s="164" customFormat="1" ht="31.5" customHeight="1" outlineLevel="1">
      <c r="A39" s="167"/>
      <c r="B39" s="160"/>
      <c r="C39" s="161"/>
      <c r="D39" s="161"/>
      <c r="E39" s="161"/>
      <c r="F39" s="161"/>
      <c r="G39" s="161"/>
      <c r="H39" s="161"/>
      <c r="I39" s="161"/>
      <c r="J39" s="162"/>
      <c r="K39" s="161"/>
      <c r="L39" s="161"/>
      <c r="M39" s="161"/>
      <c r="N39" s="161"/>
      <c r="O39" s="161"/>
      <c r="P39" s="161"/>
      <c r="Q39" s="161"/>
      <c r="R39" s="162"/>
      <c r="S39" s="161"/>
      <c r="T39" s="161"/>
      <c r="U39" s="161"/>
      <c r="V39" s="161"/>
      <c r="W39" s="161"/>
      <c r="X39" s="161"/>
      <c r="Y39" s="161"/>
      <c r="Z39" s="163"/>
    </row>
    <row r="40" spans="1:26" s="164" customFormat="1" ht="31.5" customHeight="1" outlineLevel="1">
      <c r="A40" s="167"/>
      <c r="B40" s="160"/>
      <c r="C40" s="161"/>
      <c r="D40" s="161"/>
      <c r="E40" s="161"/>
      <c r="F40" s="161"/>
      <c r="G40" s="161"/>
      <c r="H40" s="161"/>
      <c r="I40" s="161"/>
      <c r="J40" s="162"/>
      <c r="K40" s="161"/>
      <c r="L40" s="161"/>
      <c r="M40" s="161"/>
      <c r="N40" s="161"/>
      <c r="O40" s="161"/>
      <c r="P40" s="161"/>
      <c r="Q40" s="161"/>
      <c r="R40" s="162"/>
      <c r="S40" s="161"/>
      <c r="T40" s="161"/>
      <c r="U40" s="161"/>
      <c r="V40" s="161"/>
      <c r="W40" s="161"/>
      <c r="X40" s="161"/>
      <c r="Y40" s="161"/>
      <c r="Z40" s="163"/>
    </row>
    <row r="41" spans="1:26" s="164" customFormat="1" ht="31.5" customHeight="1" outlineLevel="1">
      <c r="A41" s="167"/>
      <c r="B41" s="160"/>
      <c r="C41" s="161"/>
      <c r="D41" s="161"/>
      <c r="E41" s="161"/>
      <c r="F41" s="161"/>
      <c r="G41" s="161"/>
      <c r="H41" s="161"/>
      <c r="I41" s="161"/>
      <c r="J41" s="162"/>
      <c r="K41" s="161"/>
      <c r="L41" s="161"/>
      <c r="M41" s="161"/>
      <c r="N41" s="161"/>
      <c r="O41" s="161"/>
      <c r="P41" s="161"/>
      <c r="Q41" s="161"/>
      <c r="R41" s="162"/>
      <c r="S41" s="161"/>
      <c r="T41" s="161"/>
      <c r="U41" s="161"/>
      <c r="V41" s="161"/>
      <c r="W41" s="161"/>
      <c r="X41" s="161"/>
      <c r="Y41" s="161"/>
      <c r="Z41" s="163"/>
    </row>
    <row r="42" spans="1:26" s="164" customFormat="1" ht="31.5" customHeight="1" outlineLevel="1">
      <c r="A42" s="167"/>
      <c r="B42" s="160"/>
      <c r="C42" s="161"/>
      <c r="D42" s="161"/>
      <c r="E42" s="161"/>
      <c r="F42" s="161"/>
      <c r="G42" s="161"/>
      <c r="H42" s="161"/>
      <c r="I42" s="161"/>
      <c r="J42" s="162"/>
      <c r="K42" s="161"/>
      <c r="L42" s="161"/>
      <c r="M42" s="161"/>
      <c r="N42" s="161"/>
      <c r="O42" s="161"/>
      <c r="P42" s="161"/>
      <c r="Q42" s="161"/>
      <c r="R42" s="162"/>
      <c r="S42" s="161"/>
      <c r="T42" s="161"/>
      <c r="U42" s="161"/>
      <c r="V42" s="161"/>
      <c r="W42" s="161"/>
      <c r="X42" s="161"/>
      <c r="Y42" s="161"/>
      <c r="Z42" s="163"/>
    </row>
    <row r="43" spans="1:26" s="163" customFormat="1">
      <c r="A43" s="167" t="s">
        <v>331</v>
      </c>
      <c r="B43" s="160"/>
      <c r="C43" s="162"/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</row>
    <row r="44" spans="1:26" s="164" customFormat="1" ht="31.5" customHeight="1" outlineLevel="1">
      <c r="A44" s="167"/>
      <c r="B44" s="160"/>
      <c r="C44" s="161"/>
      <c r="D44" s="161"/>
      <c r="E44" s="161"/>
      <c r="F44" s="161"/>
      <c r="G44" s="161"/>
      <c r="H44" s="161"/>
      <c r="I44" s="161"/>
      <c r="J44" s="162"/>
      <c r="K44" s="161"/>
      <c r="L44" s="161"/>
      <c r="M44" s="161"/>
      <c r="N44" s="161"/>
      <c r="O44" s="161"/>
      <c r="P44" s="161"/>
      <c r="Q44" s="161"/>
      <c r="R44" s="162"/>
      <c r="S44" s="161"/>
      <c r="T44" s="161"/>
      <c r="U44" s="161"/>
      <c r="V44" s="161"/>
      <c r="W44" s="161"/>
      <c r="X44" s="161"/>
      <c r="Y44" s="161"/>
      <c r="Z44" s="163"/>
    </row>
    <row r="45" spans="1:26" s="164" customFormat="1" ht="31.5" customHeight="1" outlineLevel="1">
      <c r="A45" s="167"/>
      <c r="B45" s="160"/>
      <c r="C45" s="161"/>
      <c r="D45" s="161"/>
      <c r="E45" s="161"/>
      <c r="F45" s="161"/>
      <c r="G45" s="161"/>
      <c r="H45" s="161"/>
      <c r="I45" s="161"/>
      <c r="J45" s="162"/>
      <c r="K45" s="161"/>
      <c r="L45" s="161"/>
      <c r="M45" s="161"/>
      <c r="N45" s="161"/>
      <c r="O45" s="161"/>
      <c r="P45" s="161"/>
      <c r="Q45" s="161"/>
      <c r="R45" s="162"/>
      <c r="S45" s="161"/>
      <c r="T45" s="161"/>
      <c r="U45" s="161"/>
      <c r="V45" s="161"/>
      <c r="W45" s="161"/>
      <c r="X45" s="161"/>
      <c r="Y45" s="161"/>
      <c r="Z45" s="163"/>
    </row>
    <row r="46" spans="1:26" s="164" customFormat="1" ht="31.5" customHeight="1" outlineLevel="1">
      <c r="A46" s="167"/>
      <c r="B46" s="160"/>
      <c r="C46" s="161"/>
      <c r="D46" s="161"/>
      <c r="E46" s="161"/>
      <c r="F46" s="161"/>
      <c r="G46" s="161"/>
      <c r="H46" s="161"/>
      <c r="I46" s="161"/>
      <c r="J46" s="162"/>
      <c r="K46" s="161"/>
      <c r="L46" s="161"/>
      <c r="M46" s="161"/>
      <c r="N46" s="161"/>
      <c r="O46" s="161"/>
      <c r="P46" s="161"/>
      <c r="Q46" s="161"/>
      <c r="R46" s="162"/>
      <c r="S46" s="161"/>
      <c r="T46" s="161"/>
      <c r="U46" s="161"/>
      <c r="V46" s="161"/>
      <c r="W46" s="161"/>
      <c r="X46" s="161"/>
      <c r="Y46" s="161"/>
      <c r="Z46" s="163"/>
    </row>
    <row r="47" spans="1:26" s="164" customFormat="1" ht="31.5" customHeight="1" outlineLevel="1">
      <c r="A47" s="167"/>
      <c r="B47" s="160"/>
      <c r="C47" s="161"/>
      <c r="D47" s="161"/>
      <c r="E47" s="161"/>
      <c r="F47" s="161"/>
      <c r="G47" s="161"/>
      <c r="H47" s="161"/>
      <c r="I47" s="161"/>
      <c r="J47" s="162"/>
      <c r="K47" s="161"/>
      <c r="L47" s="161"/>
      <c r="M47" s="161"/>
      <c r="N47" s="161"/>
      <c r="O47" s="161"/>
      <c r="P47" s="161"/>
      <c r="Q47" s="161"/>
      <c r="R47" s="162"/>
      <c r="S47" s="161"/>
      <c r="T47" s="161"/>
      <c r="U47" s="161"/>
      <c r="V47" s="161"/>
      <c r="W47" s="161"/>
      <c r="X47" s="161"/>
      <c r="Y47" s="161"/>
      <c r="Z47" s="163"/>
    </row>
    <row r="48" spans="1:26" s="164" customFormat="1" ht="31.5" customHeight="1" outlineLevel="1">
      <c r="A48" s="167"/>
      <c r="B48" s="160"/>
      <c r="C48" s="161"/>
      <c r="D48" s="161"/>
      <c r="E48" s="161"/>
      <c r="F48" s="161"/>
      <c r="G48" s="161"/>
      <c r="H48" s="161"/>
      <c r="I48" s="161"/>
      <c r="J48" s="162"/>
      <c r="K48" s="161"/>
      <c r="L48" s="161"/>
      <c r="M48" s="161"/>
      <c r="N48" s="161"/>
      <c r="O48" s="161"/>
      <c r="P48" s="161"/>
      <c r="Q48" s="161"/>
      <c r="R48" s="162"/>
      <c r="S48" s="161"/>
      <c r="T48" s="161"/>
      <c r="U48" s="161"/>
      <c r="V48" s="161"/>
      <c r="W48" s="161"/>
      <c r="X48" s="161"/>
      <c r="Y48" s="161"/>
      <c r="Z48" s="163"/>
    </row>
    <row r="49" spans="1:26" s="164" customFormat="1" ht="31.5" customHeight="1" outlineLevel="1">
      <c r="A49" s="167"/>
      <c r="B49" s="160"/>
      <c r="C49" s="161"/>
      <c r="D49" s="161"/>
      <c r="E49" s="161"/>
      <c r="F49" s="161"/>
      <c r="G49" s="161"/>
      <c r="H49" s="161"/>
      <c r="I49" s="161"/>
      <c r="J49" s="162"/>
      <c r="K49" s="161"/>
      <c r="L49" s="161"/>
      <c r="M49" s="161"/>
      <c r="N49" s="161"/>
      <c r="O49" s="161"/>
      <c r="P49" s="161"/>
      <c r="Q49" s="161"/>
      <c r="R49" s="162"/>
      <c r="S49" s="161"/>
      <c r="T49" s="161"/>
      <c r="U49" s="161"/>
      <c r="V49" s="161"/>
      <c r="W49" s="161"/>
      <c r="X49" s="161"/>
      <c r="Y49" s="161"/>
      <c r="Z49" s="163"/>
    </row>
    <row r="50" spans="1:26" s="163" customFormat="1">
      <c r="A50" s="167" t="s">
        <v>380</v>
      </c>
      <c r="B50" s="160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</row>
    <row r="51" spans="1:26" s="164" customFormat="1" ht="31.5" customHeight="1" outlineLevel="1">
      <c r="A51" s="167"/>
      <c r="B51" s="160"/>
      <c r="C51" s="161"/>
      <c r="D51" s="161"/>
      <c r="E51" s="161"/>
      <c r="F51" s="161"/>
      <c r="G51" s="161"/>
      <c r="H51" s="161"/>
      <c r="I51" s="161"/>
      <c r="J51" s="162"/>
      <c r="K51" s="161"/>
      <c r="L51" s="161"/>
      <c r="M51" s="161"/>
      <c r="N51" s="161"/>
      <c r="O51" s="161"/>
      <c r="P51" s="161"/>
      <c r="Q51" s="161"/>
      <c r="R51" s="162"/>
      <c r="S51" s="161"/>
      <c r="T51" s="161"/>
      <c r="U51" s="161"/>
      <c r="V51" s="161"/>
      <c r="W51" s="161"/>
      <c r="X51" s="161"/>
      <c r="Y51" s="161"/>
      <c r="Z51" s="163"/>
    </row>
    <row r="52" spans="1:26" s="164" customFormat="1" ht="31.5" customHeight="1" outlineLevel="1">
      <c r="A52" s="167"/>
      <c r="B52" s="160"/>
      <c r="C52" s="161"/>
      <c r="D52" s="161"/>
      <c r="E52" s="161"/>
      <c r="F52" s="161"/>
      <c r="G52" s="161"/>
      <c r="H52" s="161"/>
      <c r="I52" s="161"/>
      <c r="J52" s="162"/>
      <c r="K52" s="161"/>
      <c r="L52" s="161"/>
      <c r="M52" s="161"/>
      <c r="N52" s="161"/>
      <c r="O52" s="161"/>
      <c r="P52" s="161"/>
      <c r="Q52" s="161"/>
      <c r="R52" s="162"/>
      <c r="S52" s="161"/>
      <c r="T52" s="161"/>
      <c r="U52" s="161"/>
      <c r="V52" s="161"/>
      <c r="W52" s="161"/>
      <c r="X52" s="161"/>
      <c r="Y52" s="161"/>
      <c r="Z52" s="163"/>
    </row>
    <row r="53" spans="1:26" s="164" customFormat="1" ht="31.5" customHeight="1" outlineLevel="1">
      <c r="A53" s="167"/>
      <c r="B53" s="160"/>
      <c r="C53" s="161"/>
      <c r="D53" s="161"/>
      <c r="E53" s="161"/>
      <c r="F53" s="161"/>
      <c r="G53" s="161"/>
      <c r="H53" s="161"/>
      <c r="I53" s="161"/>
      <c r="J53" s="162"/>
      <c r="K53" s="161"/>
      <c r="L53" s="161"/>
      <c r="M53" s="161"/>
      <c r="N53" s="161"/>
      <c r="O53" s="161"/>
      <c r="P53" s="161"/>
      <c r="Q53" s="161"/>
      <c r="R53" s="162"/>
      <c r="S53" s="161"/>
      <c r="T53" s="161"/>
      <c r="U53" s="161"/>
      <c r="V53" s="161"/>
      <c r="W53" s="161"/>
      <c r="X53" s="161"/>
      <c r="Y53" s="161"/>
      <c r="Z53" s="163"/>
    </row>
    <row r="54" spans="1:26" s="164" customFormat="1" ht="31.5" customHeight="1" outlineLevel="1">
      <c r="A54" s="167"/>
      <c r="B54" s="160"/>
      <c r="C54" s="161"/>
      <c r="D54" s="161"/>
      <c r="E54" s="161"/>
      <c r="F54" s="161"/>
      <c r="G54" s="161"/>
      <c r="H54" s="161"/>
      <c r="I54" s="161"/>
      <c r="J54" s="162"/>
      <c r="K54" s="161"/>
      <c r="L54" s="161"/>
      <c r="M54" s="161"/>
      <c r="N54" s="161"/>
      <c r="O54" s="161"/>
      <c r="P54" s="161"/>
      <c r="Q54" s="161"/>
      <c r="R54" s="162"/>
      <c r="S54" s="161"/>
      <c r="T54" s="161"/>
      <c r="U54" s="161"/>
      <c r="V54" s="161"/>
      <c r="W54" s="161"/>
      <c r="X54" s="161"/>
      <c r="Y54" s="161"/>
      <c r="Z54" s="163"/>
    </row>
    <row r="55" spans="1:26" s="164" customFormat="1" ht="31.5" customHeight="1" outlineLevel="1">
      <c r="A55" s="167"/>
      <c r="B55" s="160"/>
      <c r="C55" s="161"/>
      <c r="D55" s="161"/>
      <c r="E55" s="161"/>
      <c r="F55" s="161"/>
      <c r="G55" s="161"/>
      <c r="H55" s="161"/>
      <c r="I55" s="161"/>
      <c r="J55" s="162"/>
      <c r="K55" s="161"/>
      <c r="L55" s="161"/>
      <c r="M55" s="161"/>
      <c r="N55" s="161"/>
      <c r="O55" s="161"/>
      <c r="P55" s="161"/>
      <c r="Q55" s="161"/>
      <c r="R55" s="162"/>
      <c r="S55" s="161"/>
      <c r="T55" s="161"/>
      <c r="U55" s="161"/>
      <c r="V55" s="161"/>
      <c r="W55" s="161"/>
      <c r="X55" s="161"/>
      <c r="Y55" s="161"/>
      <c r="Z55" s="163"/>
    </row>
    <row r="56" spans="1:26" s="164" customFormat="1" ht="31.5" customHeight="1" outlineLevel="1">
      <c r="A56" s="167"/>
      <c r="B56" s="160"/>
      <c r="C56" s="161"/>
      <c r="D56" s="161"/>
      <c r="E56" s="161"/>
      <c r="F56" s="161"/>
      <c r="G56" s="161"/>
      <c r="H56" s="161"/>
      <c r="I56" s="161"/>
      <c r="J56" s="162"/>
      <c r="K56" s="161"/>
      <c r="L56" s="161"/>
      <c r="M56" s="161"/>
      <c r="N56" s="161"/>
      <c r="O56" s="161"/>
      <c r="P56" s="161"/>
      <c r="Q56" s="161"/>
      <c r="R56" s="162"/>
      <c r="S56" s="161"/>
      <c r="T56" s="161"/>
      <c r="U56" s="161"/>
      <c r="V56" s="161"/>
      <c r="W56" s="161"/>
      <c r="X56" s="161"/>
      <c r="Y56" s="161"/>
      <c r="Z56" s="163"/>
    </row>
    <row r="57" spans="1:26" s="164" customFormat="1" ht="31.5" customHeight="1" outlineLevel="1">
      <c r="A57" s="167"/>
      <c r="B57" s="160"/>
      <c r="C57" s="161"/>
      <c r="D57" s="161"/>
      <c r="E57" s="161"/>
      <c r="F57" s="161"/>
      <c r="G57" s="161"/>
      <c r="H57" s="161"/>
      <c r="I57" s="161"/>
      <c r="J57" s="162"/>
      <c r="K57" s="161"/>
      <c r="L57" s="161"/>
      <c r="M57" s="161"/>
      <c r="N57" s="161"/>
      <c r="O57" s="161"/>
      <c r="P57" s="161"/>
      <c r="Q57" s="161"/>
      <c r="R57" s="162"/>
      <c r="S57" s="161"/>
      <c r="T57" s="161"/>
      <c r="U57" s="161"/>
      <c r="V57" s="161"/>
      <c r="W57" s="161"/>
      <c r="X57" s="161"/>
      <c r="Y57" s="161"/>
      <c r="Z57" s="163"/>
    </row>
    <row r="58" spans="1:26" s="163" customFormat="1">
      <c r="A58" s="167"/>
      <c r="B58" s="160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</row>
    <row r="59" spans="1:26" s="164" customFormat="1" ht="31.5" customHeight="1" outlineLevel="1">
      <c r="A59" s="167"/>
      <c r="B59" s="160"/>
      <c r="C59" s="161"/>
      <c r="D59" s="161"/>
      <c r="E59" s="161"/>
      <c r="F59" s="161"/>
      <c r="G59" s="161"/>
      <c r="H59" s="161"/>
      <c r="I59" s="161"/>
      <c r="J59" s="162"/>
      <c r="K59" s="161"/>
      <c r="L59" s="161"/>
      <c r="M59" s="161"/>
      <c r="N59" s="161"/>
      <c r="O59" s="161"/>
      <c r="P59" s="161"/>
      <c r="Q59" s="161"/>
      <c r="R59" s="162"/>
      <c r="S59" s="161"/>
      <c r="T59" s="161"/>
      <c r="U59" s="161"/>
      <c r="V59" s="161"/>
      <c r="W59" s="161"/>
      <c r="X59" s="161"/>
      <c r="Y59" s="161"/>
      <c r="Z59" s="163"/>
    </row>
    <row r="60" spans="1:26" s="164" customFormat="1" ht="31.5" customHeight="1" outlineLevel="1">
      <c r="A60" s="167"/>
      <c r="B60" s="160"/>
      <c r="C60" s="161"/>
      <c r="D60" s="161"/>
      <c r="E60" s="161"/>
      <c r="F60" s="161"/>
      <c r="G60" s="161"/>
      <c r="H60" s="161"/>
      <c r="I60" s="161"/>
      <c r="J60" s="162"/>
      <c r="K60" s="161"/>
      <c r="L60" s="161"/>
      <c r="M60" s="161"/>
      <c r="N60" s="161"/>
      <c r="O60" s="161"/>
      <c r="P60" s="161"/>
      <c r="Q60" s="161"/>
      <c r="R60" s="162"/>
      <c r="S60" s="161"/>
      <c r="T60" s="161"/>
      <c r="U60" s="161"/>
      <c r="V60" s="161"/>
      <c r="W60" s="161"/>
      <c r="X60" s="161"/>
      <c r="Y60" s="161"/>
      <c r="Z60" s="163"/>
    </row>
    <row r="61" spans="1:26" s="164" customFormat="1" ht="31.5" customHeight="1" outlineLevel="1">
      <c r="A61" s="167"/>
      <c r="B61" s="160"/>
      <c r="C61" s="161"/>
      <c r="D61" s="161"/>
      <c r="E61" s="161"/>
      <c r="F61" s="161"/>
      <c r="G61" s="161"/>
      <c r="H61" s="161"/>
      <c r="I61" s="161"/>
      <c r="J61" s="162"/>
      <c r="K61" s="161"/>
      <c r="L61" s="161"/>
      <c r="M61" s="161"/>
      <c r="N61" s="161"/>
      <c r="O61" s="161"/>
      <c r="P61" s="161"/>
      <c r="Q61" s="161"/>
      <c r="R61" s="162"/>
      <c r="S61" s="161"/>
      <c r="T61" s="161"/>
      <c r="U61" s="161"/>
      <c r="V61" s="161"/>
      <c r="W61" s="161"/>
      <c r="X61" s="161"/>
      <c r="Y61" s="161"/>
      <c r="Z61" s="163"/>
    </row>
    <row r="62" spans="1:26" ht="31.5" customHeight="1">
      <c r="C62" s="158"/>
      <c r="D62" s="158"/>
      <c r="E62" s="158"/>
      <c r="F62" s="158"/>
      <c r="G62" s="158"/>
      <c r="H62" s="158"/>
      <c r="I62" s="158"/>
      <c r="J62" s="159"/>
      <c r="K62" s="158"/>
      <c r="L62" s="158"/>
      <c r="M62" s="158"/>
      <c r="N62" s="158"/>
      <c r="O62" s="158"/>
      <c r="P62" s="158"/>
      <c r="Q62" s="158"/>
      <c r="R62" s="159"/>
      <c r="S62" s="158"/>
      <c r="T62" s="158"/>
      <c r="U62" s="158"/>
      <c r="V62" s="158"/>
      <c r="W62" s="158"/>
      <c r="X62" s="158"/>
      <c r="Y62" s="158"/>
    </row>
  </sheetData>
  <printOptions gridLines="1"/>
  <pageMargins left="0.23622047244094491" right="0.23622047244094491" top="0.39370078740157483" bottom="0.39370078740157483" header="0.31496062992125984" footer="0.31496062992125984"/>
  <pageSetup paperSize="9" scale="63" fitToHeight="0" orientation="landscape" r:id="rId1"/>
  <headerFooter>
    <oddHeader>&amp;CPlanning</oddHeader>
    <oddFooter>&amp;L&amp;D&amp;C&amp;F&amp;RPage &amp;P de &amp;N</oddFooter>
  </headerFooter>
  <rowBreaks count="1" manualBreakCount="1">
    <brk id="31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5" r:id="rId4" name="Button 1">
              <controlPr defaultSize="0" print="0" autoFill="0" autoPict="0" macro="[0]!btnExporterPDFPlanning">
                <anchor moveWithCells="1">
                  <from>
                    <xdr:col>26</xdr:col>
                    <xdr:colOff>381000</xdr:colOff>
                    <xdr:row>0</xdr:row>
                    <xdr:rowOff>127000</xdr:rowOff>
                  </from>
                  <to>
                    <xdr:col>28</xdr:col>
                    <xdr:colOff>508000</xdr:colOff>
                    <xdr:row>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8">
    <pageSetUpPr fitToPage="1"/>
  </sheetPr>
  <dimension ref="A1:AL111"/>
  <sheetViews>
    <sheetView zoomScale="85" zoomScaleNormal="85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L25" sqref="L25"/>
    </sheetView>
  </sheetViews>
  <sheetFormatPr baseColWidth="10" defaultRowHeight="14.5"/>
  <cols>
    <col min="1" max="1" width="22" style="204" customWidth="1"/>
    <col min="2" max="3" width="11.1796875" style="204" customWidth="1"/>
    <col min="4" max="4" width="21.1796875" style="204" customWidth="1"/>
    <col min="5" max="5" width="3.26953125" style="235" customWidth="1"/>
    <col min="6" max="33" width="14.1796875" style="251" customWidth="1"/>
    <col min="34" max="36" width="14.1796875" customWidth="1"/>
    <col min="37" max="37" width="17.1796875" customWidth="1"/>
    <col min="38" max="38" width="14.453125" customWidth="1"/>
  </cols>
  <sheetData>
    <row r="1" spans="1:38" s="204" customFormat="1" ht="18.5">
      <c r="A1" s="231" t="s">
        <v>500</v>
      </c>
      <c r="B1" s="231"/>
      <c r="C1" s="231"/>
      <c r="D1" s="231"/>
      <c r="E1" s="234"/>
      <c r="F1" s="246"/>
      <c r="G1" s="246"/>
      <c r="H1" s="246"/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07"/>
    </row>
    <row r="2" spans="1:38" s="204" customFormat="1" ht="16.5" customHeight="1">
      <c r="A2" s="203" t="s">
        <v>373</v>
      </c>
      <c r="B2" s="203"/>
      <c r="C2" s="234"/>
      <c r="D2" s="203"/>
      <c r="E2" s="234"/>
      <c r="F2" s="247">
        <f>F3</f>
        <v>42309</v>
      </c>
      <c r="G2" s="247">
        <f t="shared" ref="G2:AI2" si="0">G3</f>
        <v>42310</v>
      </c>
      <c r="H2" s="247">
        <f t="shared" si="0"/>
        <v>42311</v>
      </c>
      <c r="I2" s="247">
        <f t="shared" si="0"/>
        <v>42312</v>
      </c>
      <c r="J2" s="247">
        <f t="shared" si="0"/>
        <v>42313</v>
      </c>
      <c r="K2" s="247">
        <f t="shared" si="0"/>
        <v>42314</v>
      </c>
      <c r="L2" s="247">
        <f t="shared" si="0"/>
        <v>42315</v>
      </c>
      <c r="M2" s="247">
        <f t="shared" si="0"/>
        <v>42316</v>
      </c>
      <c r="N2" s="247">
        <f t="shared" si="0"/>
        <v>42317</v>
      </c>
      <c r="O2" s="247">
        <f t="shared" si="0"/>
        <v>42318</v>
      </c>
      <c r="P2" s="247">
        <f t="shared" si="0"/>
        <v>42319</v>
      </c>
      <c r="Q2" s="247">
        <f t="shared" si="0"/>
        <v>42320</v>
      </c>
      <c r="R2" s="247">
        <f t="shared" si="0"/>
        <v>42321</v>
      </c>
      <c r="S2" s="247">
        <f t="shared" si="0"/>
        <v>42322</v>
      </c>
      <c r="T2" s="247">
        <f t="shared" si="0"/>
        <v>42323</v>
      </c>
      <c r="U2" s="247">
        <f t="shared" si="0"/>
        <v>42324</v>
      </c>
      <c r="V2" s="247">
        <f t="shared" si="0"/>
        <v>42325</v>
      </c>
      <c r="W2" s="247">
        <f t="shared" si="0"/>
        <v>42326</v>
      </c>
      <c r="X2" s="247">
        <f t="shared" si="0"/>
        <v>42327</v>
      </c>
      <c r="Y2" s="247">
        <f t="shared" si="0"/>
        <v>42328</v>
      </c>
      <c r="Z2" s="247">
        <f t="shared" si="0"/>
        <v>42329</v>
      </c>
      <c r="AA2" s="247">
        <f t="shared" si="0"/>
        <v>42330</v>
      </c>
      <c r="AB2" s="247">
        <f t="shared" si="0"/>
        <v>42331</v>
      </c>
      <c r="AC2" s="247">
        <f t="shared" si="0"/>
        <v>42332</v>
      </c>
      <c r="AD2" s="247">
        <f t="shared" si="0"/>
        <v>42333</v>
      </c>
      <c r="AE2" s="247">
        <f t="shared" si="0"/>
        <v>42334</v>
      </c>
      <c r="AF2" s="247">
        <f t="shared" si="0"/>
        <v>42335</v>
      </c>
      <c r="AG2" s="247">
        <f t="shared" si="0"/>
        <v>42336</v>
      </c>
      <c r="AH2" s="247">
        <f t="shared" si="0"/>
        <v>42337</v>
      </c>
      <c r="AI2" s="247">
        <f t="shared" si="0"/>
        <v>42338</v>
      </c>
      <c r="AJ2" s="247"/>
      <c r="AK2" s="208"/>
    </row>
    <row r="3" spans="1:38" s="204" customFormat="1">
      <c r="A3" s="221">
        <f>F3</f>
        <v>42309</v>
      </c>
      <c r="B3" s="221" t="s">
        <v>501</v>
      </c>
      <c r="C3" s="221" t="s">
        <v>605</v>
      </c>
      <c r="D3" s="221" t="s">
        <v>548</v>
      </c>
      <c r="F3" s="248">
        <v>42309</v>
      </c>
      <c r="G3" s="248">
        <f t="shared" ref="G3:P3" si="1">F3+1</f>
        <v>42310</v>
      </c>
      <c r="H3" s="248">
        <f t="shared" si="1"/>
        <v>42311</v>
      </c>
      <c r="I3" s="248">
        <f t="shared" si="1"/>
        <v>42312</v>
      </c>
      <c r="J3" s="248">
        <f t="shared" si="1"/>
        <v>42313</v>
      </c>
      <c r="K3" s="248">
        <f t="shared" si="1"/>
        <v>42314</v>
      </c>
      <c r="L3" s="248">
        <f t="shared" si="1"/>
        <v>42315</v>
      </c>
      <c r="M3" s="248">
        <f t="shared" si="1"/>
        <v>42316</v>
      </c>
      <c r="N3" s="248">
        <f t="shared" si="1"/>
        <v>42317</v>
      </c>
      <c r="O3" s="248">
        <f t="shared" si="1"/>
        <v>42318</v>
      </c>
      <c r="P3" s="248">
        <f t="shared" si="1"/>
        <v>42319</v>
      </c>
      <c r="Q3" s="248">
        <f t="shared" ref="Q3:AG3" si="2">P3+1</f>
        <v>42320</v>
      </c>
      <c r="R3" s="248">
        <f t="shared" si="2"/>
        <v>42321</v>
      </c>
      <c r="S3" s="248">
        <f t="shared" si="2"/>
        <v>42322</v>
      </c>
      <c r="T3" s="248">
        <f t="shared" si="2"/>
        <v>42323</v>
      </c>
      <c r="U3" s="248">
        <f t="shared" si="2"/>
        <v>42324</v>
      </c>
      <c r="V3" s="248">
        <f t="shared" si="2"/>
        <v>42325</v>
      </c>
      <c r="W3" s="248">
        <f t="shared" si="2"/>
        <v>42326</v>
      </c>
      <c r="X3" s="248">
        <f t="shared" si="2"/>
        <v>42327</v>
      </c>
      <c r="Y3" s="248">
        <f t="shared" si="2"/>
        <v>42328</v>
      </c>
      <c r="Z3" s="248">
        <f t="shared" si="2"/>
        <v>42329</v>
      </c>
      <c r="AA3" s="248">
        <f t="shared" si="2"/>
        <v>42330</v>
      </c>
      <c r="AB3" s="248">
        <f t="shared" si="2"/>
        <v>42331</v>
      </c>
      <c r="AC3" s="248">
        <f t="shared" si="2"/>
        <v>42332</v>
      </c>
      <c r="AD3" s="248">
        <f t="shared" si="2"/>
        <v>42333</v>
      </c>
      <c r="AE3" s="248">
        <f t="shared" si="2"/>
        <v>42334</v>
      </c>
      <c r="AF3" s="248">
        <f t="shared" si="2"/>
        <v>42335</v>
      </c>
      <c r="AG3" s="248">
        <f t="shared" si="2"/>
        <v>42336</v>
      </c>
      <c r="AH3" s="248">
        <f>AG3+1</f>
        <v>42337</v>
      </c>
      <c r="AI3" s="248">
        <f>AH3+1</f>
        <v>42338</v>
      </c>
      <c r="AJ3" s="248"/>
      <c r="AK3" s="209"/>
      <c r="AL3" s="264"/>
    </row>
    <row r="4" spans="1:38" ht="27" customHeight="1">
      <c r="A4" s="232" t="s">
        <v>1088</v>
      </c>
      <c r="B4" s="245" t="str">
        <f t="shared" ref="B4:B21" si="3">ConcatenerPlage(F4:AK4,"+")</f>
        <v/>
      </c>
      <c r="C4" s="396">
        <f>$L$25</f>
        <v>0</v>
      </c>
      <c r="D4" s="397" t="str">
        <f>analyserListeProduits(CmdRestoTotalMoisSelection)</f>
        <v xml:space="preserve">0*Divers (1€)_x000D_
</v>
      </c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</row>
    <row r="5" spans="1:38" ht="27" customHeight="1">
      <c r="A5" s="232" t="s">
        <v>790</v>
      </c>
      <c r="B5" s="245" t="str">
        <f>ConcatenerPlage(F5:AK5,"+")</f>
        <v>10T+15C+5B+5C+5PC+10T+10PB+15T+4T+5B+10C+3PC+17T+10PB+5B+15T+10C+5PC+7B+5PC+10T+21T+7B+10C+5PC+20PB+15T+25C+5PC+7B+1BR+20PB+15T+15C+5PC+7B+1BR+10T+5C+7B+10C+3PC+12T+10PB+15B+10C+3PC+12T+5T+15T+7T+10C+5PC+7B+110C+5C+15T+5B+10C+5PC+12T+6T+20PB+10C+7B+5PB+10C+10T+10PB+10C+7B+16T+5C+5B+10C+5PC+15T+15PB+5B+10C+5PC+15T+20T+10C+5PC+10PB+5B+5PC+10C+15T+7B+5PC+10C+15T+20PB+7B+10C+5PC+1BR+14T+5C+10PB+1BR+7B+10C+5PC+10C+14T+20PB+7B+10C+5PC+10T+5B+5PC+8C+15T+20PB+15T+10C+5PC+5T+5B+10C+5PC+10PB+19T+5B+10C+5C+15+19PB+7B+1BR+15C+5PC+15T+4C+7B+1BR+20PB+15T+20C+5PC+7B+5PC+10C+15T</v>
      </c>
      <c r="C5" s="396"/>
      <c r="D5" s="397"/>
      <c r="F5" s="222" t="s">
        <v>922</v>
      </c>
      <c r="G5" s="222" t="s">
        <v>925</v>
      </c>
      <c r="H5" s="222" t="s">
        <v>934</v>
      </c>
      <c r="I5" s="222" t="s">
        <v>943</v>
      </c>
      <c r="J5" s="222" t="s">
        <v>949</v>
      </c>
      <c r="K5" s="222" t="s">
        <v>955</v>
      </c>
      <c r="L5" s="222" t="s">
        <v>963</v>
      </c>
      <c r="M5" s="222" t="s">
        <v>968</v>
      </c>
      <c r="N5" s="222" t="s">
        <v>971</v>
      </c>
      <c r="O5" s="263" t="s">
        <v>973</v>
      </c>
      <c r="P5" s="263" t="s">
        <v>977</v>
      </c>
      <c r="Q5" s="222" t="s">
        <v>981</v>
      </c>
      <c r="R5" s="222" t="s">
        <v>985</v>
      </c>
      <c r="S5" s="222" t="s">
        <v>989</v>
      </c>
      <c r="T5" s="222" t="s">
        <v>994</v>
      </c>
      <c r="U5" s="222" t="s">
        <v>997</v>
      </c>
      <c r="V5" s="222" t="s">
        <v>1002</v>
      </c>
      <c r="W5" s="222" t="s">
        <v>1005</v>
      </c>
      <c r="X5" s="222" t="s">
        <v>1007</v>
      </c>
      <c r="Y5" s="222" t="s">
        <v>1011</v>
      </c>
      <c r="Z5" s="222" t="s">
        <v>1014</v>
      </c>
      <c r="AA5" s="222" t="s">
        <v>1017</v>
      </c>
      <c r="AB5" s="222" t="s">
        <v>1019</v>
      </c>
      <c r="AC5" s="222" t="s">
        <v>1021</v>
      </c>
      <c r="AD5" s="222" t="s">
        <v>1026</v>
      </c>
      <c r="AE5" s="222" t="s">
        <v>1029</v>
      </c>
      <c r="AF5" s="222" t="s">
        <v>1032</v>
      </c>
      <c r="AG5" s="222" t="s">
        <v>1037</v>
      </c>
      <c r="AH5" s="222" t="s">
        <v>1040</v>
      </c>
      <c r="AI5" s="222" t="s">
        <v>1043</v>
      </c>
      <c r="AJ5" s="222"/>
      <c r="AK5" s="222"/>
      <c r="AL5" s="222"/>
    </row>
    <row r="6" spans="1:38" ht="27" customHeight="1">
      <c r="A6" s="232" t="s">
        <v>769</v>
      </c>
      <c r="B6" s="245" t="str">
        <f t="shared" si="3"/>
        <v>6B+5PC+3C+10T+4T+27,5+6B+5PC+3C+20T+15T+18T+6C+3PC+25T+6C+6PC+15T+5C+3PC+5T+18T+5B+6T+5T+6C+3PC+18T+18T+5T+13T+5C+3PC+5C+17T+3PC+16B+9,8+11T+13,7+15T+19T+11T+5T+5C+3PC+6T+93,6+3PC+5T+5C+14T+14,1+17T+20T+5C+3PC+3C+2PC+28T+17T+7B+15T+3PC+3C+13,45+15T+5C+3PC+5C+21T+3PC</v>
      </c>
      <c r="C6" s="396"/>
      <c r="D6" s="397"/>
      <c r="F6" s="222"/>
      <c r="G6" s="222" t="s">
        <v>926</v>
      </c>
      <c r="H6" s="222" t="s">
        <v>935</v>
      </c>
      <c r="I6" s="222" t="s">
        <v>927</v>
      </c>
      <c r="J6" s="222" t="s">
        <v>950</v>
      </c>
      <c r="K6" s="222" t="s">
        <v>956</v>
      </c>
      <c r="L6" s="222" t="s">
        <v>964</v>
      </c>
      <c r="M6" s="222" t="s">
        <v>969</v>
      </c>
      <c r="N6" s="222" t="s">
        <v>950</v>
      </c>
      <c r="O6" s="222" t="s">
        <v>974</v>
      </c>
      <c r="P6" s="222" t="s">
        <v>978</v>
      </c>
      <c r="Q6" s="222" t="s">
        <v>950</v>
      </c>
      <c r="R6" s="222" t="s">
        <v>950</v>
      </c>
      <c r="S6" s="222" t="s">
        <v>990</v>
      </c>
      <c r="T6" s="222" t="s">
        <v>995</v>
      </c>
      <c r="U6" s="222" t="s">
        <v>998</v>
      </c>
      <c r="V6" s="222" t="s">
        <v>1003</v>
      </c>
      <c r="W6" s="222" t="s">
        <v>927</v>
      </c>
      <c r="X6" s="222" t="s">
        <v>928</v>
      </c>
      <c r="Y6" s="222" t="s">
        <v>975</v>
      </c>
      <c r="Z6" s="222" t="s">
        <v>1015</v>
      </c>
      <c r="AA6" s="222" t="s">
        <v>1018</v>
      </c>
      <c r="AB6" s="222" t="s">
        <v>1020</v>
      </c>
      <c r="AC6" s="222" t="s">
        <v>933</v>
      </c>
      <c r="AD6" s="222" t="s">
        <v>1027</v>
      </c>
      <c r="AE6" s="222" t="s">
        <v>1030</v>
      </c>
      <c r="AF6" s="222" t="s">
        <v>1033</v>
      </c>
      <c r="AG6" s="222" t="s">
        <v>1038</v>
      </c>
      <c r="AH6" s="222" t="s">
        <v>1041</v>
      </c>
      <c r="AI6" s="222" t="s">
        <v>1044</v>
      </c>
      <c r="AJ6" s="222"/>
      <c r="AK6" s="222"/>
      <c r="AL6" s="222"/>
    </row>
    <row r="7" spans="1:38" ht="27" customHeight="1">
      <c r="A7" s="232" t="s">
        <v>495</v>
      </c>
      <c r="B7" s="245" t="str">
        <f t="shared" si="3"/>
        <v>1T+1TG+2T+1T+2TG+2T+1TG+1T+1TG+2T+1DT+2T+2T+1TG+2B+1TG+1B+1TG+2T+1TG+2T+1TG+2T+1TG+2T+2TG+2T+2T+1TG+2T+2TG</v>
      </c>
      <c r="C7" s="396"/>
      <c r="D7" s="397"/>
      <c r="F7" s="222"/>
      <c r="G7" s="222"/>
      <c r="H7" s="222" t="s">
        <v>936</v>
      </c>
      <c r="I7" s="251" t="s">
        <v>945</v>
      </c>
      <c r="J7" s="222" t="s">
        <v>951</v>
      </c>
      <c r="K7" s="222" t="s">
        <v>957</v>
      </c>
      <c r="L7" s="222"/>
      <c r="M7" s="222"/>
      <c r="N7" s="222" t="s">
        <v>936</v>
      </c>
      <c r="O7" s="222" t="s">
        <v>1053</v>
      </c>
      <c r="P7" s="222" t="s">
        <v>945</v>
      </c>
      <c r="Q7" s="222" t="s">
        <v>957</v>
      </c>
      <c r="R7" s="222" t="s">
        <v>986</v>
      </c>
      <c r="S7" s="222"/>
      <c r="T7" s="222"/>
      <c r="U7" s="222" t="s">
        <v>999</v>
      </c>
      <c r="V7" s="222" t="s">
        <v>957</v>
      </c>
      <c r="X7" s="222" t="s">
        <v>957</v>
      </c>
      <c r="Y7" s="222" t="s">
        <v>957</v>
      </c>
      <c r="Z7" s="222"/>
      <c r="AA7" s="222"/>
      <c r="AB7" s="222"/>
      <c r="AC7" s="222" t="s">
        <v>1022</v>
      </c>
      <c r="AD7" s="222" t="s">
        <v>945</v>
      </c>
      <c r="AE7" s="222" t="s">
        <v>957</v>
      </c>
      <c r="AF7" s="222" t="s">
        <v>1022</v>
      </c>
      <c r="AG7" s="222"/>
      <c r="AH7" s="222"/>
      <c r="AJ7" s="222"/>
      <c r="AK7" s="222"/>
      <c r="AL7" s="222"/>
    </row>
    <row r="8" spans="1:38" ht="27" customHeight="1">
      <c r="A8" s="232" t="s">
        <v>496</v>
      </c>
      <c r="B8" s="245" t="str">
        <f t="shared" si="3"/>
        <v>15T+14T+25T+15T+15T+30T+22T+15T+15T+25T+15T+19T+20T+25T+21T+15T+6T+3PMIE+19T+15T+25T+22T+21T+15T</v>
      </c>
      <c r="C8" s="396"/>
      <c r="D8" s="397"/>
      <c r="F8" s="222"/>
      <c r="G8" s="222" t="s">
        <v>927</v>
      </c>
      <c r="H8" s="222" t="s">
        <v>937</v>
      </c>
      <c r="I8" s="222" t="s">
        <v>944</v>
      </c>
      <c r="J8" s="222" t="s">
        <v>927</v>
      </c>
      <c r="K8" s="222" t="s">
        <v>927</v>
      </c>
      <c r="L8" s="222" t="s">
        <v>965</v>
      </c>
      <c r="M8" s="222"/>
      <c r="N8" s="222" t="s">
        <v>923</v>
      </c>
      <c r="O8" s="222" t="s">
        <v>927</v>
      </c>
      <c r="P8" s="222"/>
      <c r="Q8" s="222" t="s">
        <v>927</v>
      </c>
      <c r="R8" s="222" t="s">
        <v>944</v>
      </c>
      <c r="S8" s="222" t="s">
        <v>927</v>
      </c>
      <c r="T8" s="222"/>
      <c r="U8" s="222" t="s">
        <v>928</v>
      </c>
      <c r="V8" s="222" t="s">
        <v>946</v>
      </c>
      <c r="W8" s="222" t="s">
        <v>944</v>
      </c>
      <c r="X8" s="222" t="s">
        <v>1008</v>
      </c>
      <c r="Y8" s="222" t="s">
        <v>1012</v>
      </c>
      <c r="Z8" s="222"/>
      <c r="AA8" s="222"/>
      <c r="AB8" s="222" t="s">
        <v>928</v>
      </c>
      <c r="AC8" s="222" t="s">
        <v>927</v>
      </c>
      <c r="AD8" s="222" t="s">
        <v>944</v>
      </c>
      <c r="AE8" s="222" t="s">
        <v>923</v>
      </c>
      <c r="AF8" s="222" t="s">
        <v>1008</v>
      </c>
      <c r="AG8" s="222"/>
      <c r="AH8" s="222"/>
      <c r="AI8" s="222" t="s">
        <v>927</v>
      </c>
      <c r="AJ8" s="222"/>
      <c r="AK8" s="222"/>
      <c r="AL8" s="222"/>
    </row>
    <row r="9" spans="1:38" ht="27" customHeight="1">
      <c r="A9" s="232" t="s">
        <v>497</v>
      </c>
      <c r="B9" s="245" t="str">
        <f t="shared" ref="B9:B14" si="4">ConcatenerPlage(F9:AK9,"+")</f>
        <v>22T+19T+13T+20T+20T+23T+23T+17T+12T+11T+20T+16T+11T+13T+15T+12T+4,4+12T+13T+20T+15T+21T+16T+20T+13T+17T+20T+23T+22T+25T+25T</v>
      </c>
      <c r="C9" s="396"/>
      <c r="D9" s="397"/>
      <c r="F9" s="252" t="s">
        <v>923</v>
      </c>
      <c r="G9" s="252" t="s">
        <v>928</v>
      </c>
      <c r="H9" s="252" t="s">
        <v>938</v>
      </c>
      <c r="I9" s="252" t="s">
        <v>946</v>
      </c>
      <c r="J9" s="252" t="s">
        <v>946</v>
      </c>
      <c r="K9" s="252" t="s">
        <v>958</v>
      </c>
      <c r="L9" s="252" t="s">
        <v>958</v>
      </c>
      <c r="M9" s="252" t="s">
        <v>933</v>
      </c>
      <c r="N9" s="252" t="s">
        <v>972</v>
      </c>
      <c r="O9" s="252" t="s">
        <v>975</v>
      </c>
      <c r="P9" s="252" t="s">
        <v>946</v>
      </c>
      <c r="Q9" s="252" t="s">
        <v>982</v>
      </c>
      <c r="R9" s="252" t="s">
        <v>987</v>
      </c>
      <c r="S9" s="252" t="s">
        <v>927</v>
      </c>
      <c r="T9" s="252" t="s">
        <v>996</v>
      </c>
      <c r="U9" s="252" t="s">
        <v>972</v>
      </c>
      <c r="V9" s="252" t="s">
        <v>938</v>
      </c>
      <c r="W9" s="222" t="s">
        <v>946</v>
      </c>
      <c r="X9" s="252" t="s">
        <v>927</v>
      </c>
      <c r="Y9" s="222" t="s">
        <v>1008</v>
      </c>
      <c r="Z9" s="222" t="s">
        <v>982</v>
      </c>
      <c r="AA9" s="252" t="s">
        <v>946</v>
      </c>
      <c r="AB9" s="252" t="s">
        <v>938</v>
      </c>
      <c r="AC9" s="252" t="s">
        <v>933</v>
      </c>
      <c r="AD9" s="252" t="s">
        <v>946</v>
      </c>
      <c r="AE9" s="252"/>
      <c r="AF9" s="252" t="s">
        <v>958</v>
      </c>
      <c r="AG9" s="252" t="s">
        <v>923</v>
      </c>
      <c r="AH9" s="252" t="s">
        <v>944</v>
      </c>
      <c r="AI9" s="252" t="s">
        <v>944</v>
      </c>
      <c r="AJ9" s="252"/>
      <c r="AK9" s="222"/>
      <c r="AL9" s="252"/>
    </row>
    <row r="10" spans="1:38" ht="27" customHeight="1">
      <c r="A10" s="232" t="s">
        <v>624</v>
      </c>
      <c r="B10" s="245" t="str">
        <f t="shared" si="4"/>
        <v>9T+7T+7T+8T+8T+8T+6T+6T+8T+6T+4T+2BR+6T+10T+6T+7T+12T+12T+6T+9T+7T+29T+33T+3+8T</v>
      </c>
      <c r="C10" s="397"/>
      <c r="D10" s="397"/>
      <c r="F10" s="222"/>
      <c r="G10" s="222" t="s">
        <v>929</v>
      </c>
      <c r="H10" s="222" t="s">
        <v>939</v>
      </c>
      <c r="I10" s="222" t="s">
        <v>939</v>
      </c>
      <c r="J10" s="222" t="s">
        <v>947</v>
      </c>
      <c r="K10" s="222" t="s">
        <v>947</v>
      </c>
      <c r="L10" s="222" t="s">
        <v>947</v>
      </c>
      <c r="M10" s="222"/>
      <c r="N10" s="222" t="s">
        <v>931</v>
      </c>
      <c r="O10" s="222" t="s">
        <v>931</v>
      </c>
      <c r="P10" s="222"/>
      <c r="Q10" s="222" t="s">
        <v>947</v>
      </c>
      <c r="R10" s="222" t="s">
        <v>988</v>
      </c>
      <c r="S10" s="222" t="s">
        <v>931</v>
      </c>
      <c r="T10" s="222"/>
      <c r="U10" s="222" t="s">
        <v>976</v>
      </c>
      <c r="V10" s="222" t="s">
        <v>931</v>
      </c>
      <c r="W10" s="252" t="s">
        <v>939</v>
      </c>
      <c r="X10" s="222" t="s">
        <v>972</v>
      </c>
      <c r="Y10" s="222" t="s">
        <v>972</v>
      </c>
      <c r="Z10" s="222"/>
      <c r="AA10" s="222"/>
      <c r="AB10" s="222" t="s">
        <v>931</v>
      </c>
      <c r="AC10" s="222" t="s">
        <v>929</v>
      </c>
      <c r="AD10" s="222" t="s">
        <v>939</v>
      </c>
      <c r="AE10" s="222" t="s">
        <v>1031</v>
      </c>
      <c r="AF10" s="222" t="s">
        <v>1034</v>
      </c>
      <c r="AG10" s="222"/>
      <c r="AH10" s="222"/>
      <c r="AI10" s="222" t="s">
        <v>947</v>
      </c>
      <c r="AJ10" s="222"/>
      <c r="AK10" s="222"/>
      <c r="AL10" s="222"/>
    </row>
    <row r="11" spans="1:38" ht="27" customHeight="1">
      <c r="A11" s="232" t="s">
        <v>498</v>
      </c>
      <c r="B11" s="245" t="str">
        <f t="shared" si="4"/>
        <v>5T+5T+5T+5T+4T+5T+5T+5T+5T+7T+5T+5T+7T+14+5T+5T+5T+5T+5T+5T+5T</v>
      </c>
      <c r="C11" s="397"/>
      <c r="D11" s="397"/>
      <c r="F11" s="222"/>
      <c r="G11" s="222" t="s">
        <v>930</v>
      </c>
      <c r="H11" s="222" t="s">
        <v>930</v>
      </c>
      <c r="I11" s="222" t="s">
        <v>930</v>
      </c>
      <c r="J11" s="222" t="s">
        <v>930</v>
      </c>
      <c r="K11" s="222" t="s">
        <v>959</v>
      </c>
      <c r="L11" s="222"/>
      <c r="M11" s="222"/>
      <c r="N11" s="222" t="s">
        <v>930</v>
      </c>
      <c r="O11" s="222" t="s">
        <v>930</v>
      </c>
      <c r="P11" s="222"/>
      <c r="Q11" s="222" t="s">
        <v>930</v>
      </c>
      <c r="R11" s="222" t="s">
        <v>930</v>
      </c>
      <c r="S11" s="222"/>
      <c r="T11" s="222"/>
      <c r="U11" s="222" t="s">
        <v>939</v>
      </c>
      <c r="V11" s="222" t="s">
        <v>930</v>
      </c>
      <c r="W11" s="222" t="s">
        <v>930</v>
      </c>
      <c r="X11" s="222" t="s">
        <v>1009</v>
      </c>
      <c r="Y11" s="222" t="s">
        <v>930</v>
      </c>
      <c r="Z11" s="222"/>
      <c r="AA11" s="222"/>
      <c r="AB11" s="222" t="s">
        <v>930</v>
      </c>
      <c r="AC11" s="222" t="s">
        <v>930</v>
      </c>
      <c r="AD11" s="222" t="s">
        <v>930</v>
      </c>
      <c r="AE11" s="222" t="s">
        <v>930</v>
      </c>
      <c r="AF11" s="222" t="s">
        <v>930</v>
      </c>
      <c r="AG11" s="222"/>
      <c r="AH11" s="222"/>
      <c r="AI11" s="222" t="s">
        <v>930</v>
      </c>
      <c r="AJ11" s="222"/>
      <c r="AK11" s="222"/>
      <c r="AL11" s="222"/>
    </row>
    <row r="12" spans="1:38" ht="27" customHeight="1">
      <c r="A12" s="232" t="s">
        <v>499</v>
      </c>
      <c r="B12" s="245" t="str">
        <f t="shared" si="4"/>
        <v>6T+5T+8T+7T+7T+5T+6T+6T+6T+6T+4T+2BR+5T+7T+6T+7T+6T+6T+4T+5T+6T+8T+5T+5T+4T+5T</v>
      </c>
      <c r="C12" s="397"/>
      <c r="D12" s="397"/>
      <c r="F12" s="222"/>
      <c r="G12" s="222" t="s">
        <v>931</v>
      </c>
      <c r="H12" s="222" t="s">
        <v>930</v>
      </c>
      <c r="I12" s="222" t="s">
        <v>947</v>
      </c>
      <c r="J12" s="222" t="s">
        <v>939</v>
      </c>
      <c r="K12" s="222" t="s">
        <v>939</v>
      </c>
      <c r="L12" s="222" t="s">
        <v>930</v>
      </c>
      <c r="M12" s="222"/>
      <c r="N12" s="222" t="s">
        <v>931</v>
      </c>
      <c r="O12" s="222" t="s">
        <v>931</v>
      </c>
      <c r="P12" s="222"/>
      <c r="Q12" s="222" t="s">
        <v>931</v>
      </c>
      <c r="R12" s="222" t="s">
        <v>988</v>
      </c>
      <c r="S12" s="222" t="s">
        <v>930</v>
      </c>
      <c r="T12" s="222"/>
      <c r="U12" s="222" t="s">
        <v>939</v>
      </c>
      <c r="V12" s="222" t="s">
        <v>931</v>
      </c>
      <c r="W12" s="222" t="s">
        <v>939</v>
      </c>
      <c r="X12" s="222" t="s">
        <v>931</v>
      </c>
      <c r="Y12" s="222" t="s">
        <v>931</v>
      </c>
      <c r="Z12" s="222" t="s">
        <v>959</v>
      </c>
      <c r="AA12" s="222"/>
      <c r="AB12" s="222" t="s">
        <v>930</v>
      </c>
      <c r="AC12" s="222" t="s">
        <v>931</v>
      </c>
      <c r="AD12" s="222" t="s">
        <v>947</v>
      </c>
      <c r="AE12" s="222" t="s">
        <v>930</v>
      </c>
      <c r="AF12" s="222" t="s">
        <v>930</v>
      </c>
      <c r="AG12" s="222" t="s">
        <v>959</v>
      </c>
      <c r="AH12" s="222"/>
      <c r="AI12" s="222" t="s">
        <v>930</v>
      </c>
      <c r="AJ12" s="222"/>
      <c r="AK12" s="222"/>
      <c r="AL12" s="222"/>
    </row>
    <row r="13" spans="1:38" ht="27" customHeight="1">
      <c r="A13" s="232" t="s">
        <v>784</v>
      </c>
      <c r="B13" s="245" t="str">
        <f t="shared" si="4"/>
        <v>18DT+7DT+15DT+14DT+16DT+12DT+18T+12DT+8DT+6DT+5T+8DT+14DT+4DT+2T+12DT+20DT+10DT+14DT+15DT+12DT+11DT+13DT+12DT+18DT+9DT+12DT</v>
      </c>
      <c r="C13" s="397"/>
      <c r="D13" s="397"/>
      <c r="F13" s="222"/>
      <c r="G13" s="222" t="s">
        <v>932</v>
      </c>
      <c r="H13" s="222" t="s">
        <v>940</v>
      </c>
      <c r="I13" s="222" t="s">
        <v>948</v>
      </c>
      <c r="J13" s="222" t="s">
        <v>952</v>
      </c>
      <c r="K13" s="222" t="s">
        <v>960</v>
      </c>
      <c r="L13" s="222" t="s">
        <v>966</v>
      </c>
      <c r="M13" s="222"/>
      <c r="N13" s="222" t="s">
        <v>950</v>
      </c>
      <c r="O13" s="222" t="s">
        <v>966</v>
      </c>
      <c r="P13" s="222" t="s">
        <v>979</v>
      </c>
      <c r="Q13" s="222" t="s">
        <v>983</v>
      </c>
      <c r="R13" s="222" t="s">
        <v>991</v>
      </c>
      <c r="S13" s="222" t="s">
        <v>952</v>
      </c>
      <c r="T13" s="222"/>
      <c r="U13" s="222" t="s">
        <v>1000</v>
      </c>
      <c r="V13" s="222" t="s">
        <v>1004</v>
      </c>
      <c r="W13" s="222" t="s">
        <v>1006</v>
      </c>
      <c r="X13" s="222" t="s">
        <v>1010</v>
      </c>
      <c r="Y13" s="222" t="s">
        <v>952</v>
      </c>
      <c r="Z13" s="222" t="s">
        <v>948</v>
      </c>
      <c r="AA13" s="222"/>
      <c r="AB13" s="222" t="s">
        <v>966</v>
      </c>
      <c r="AC13" s="222" t="s">
        <v>1023</v>
      </c>
      <c r="AD13" s="222" t="s">
        <v>1028</v>
      </c>
      <c r="AE13" s="222" t="s">
        <v>966</v>
      </c>
      <c r="AF13" s="222" t="s">
        <v>932</v>
      </c>
      <c r="AG13" s="222" t="s">
        <v>1071</v>
      </c>
      <c r="AH13" s="222"/>
      <c r="AI13" s="222" t="s">
        <v>966</v>
      </c>
      <c r="AJ13" s="222"/>
      <c r="AK13" s="222"/>
      <c r="AL13" s="222"/>
    </row>
    <row r="14" spans="1:38" ht="27" customHeight="1">
      <c r="A14" s="348" t="s">
        <v>627</v>
      </c>
      <c r="B14" s="245" t="str">
        <f t="shared" si="4"/>
        <v>17T+14T+4,59+6T+8T+8,1+7T+6,9+5T+9T+14T+6T+7T+14,2+9T+1B+5T+11T+14T+10T+4T+12T+11T+7+10T+5T+6,1+6T+8T+5T+14T+13,55+12T</v>
      </c>
      <c r="C14" s="397"/>
      <c r="D14" s="397"/>
      <c r="F14" s="222"/>
      <c r="G14" s="222" t="s">
        <v>933</v>
      </c>
      <c r="H14" s="222" t="s">
        <v>941</v>
      </c>
      <c r="I14" s="222" t="s">
        <v>931</v>
      </c>
      <c r="J14" s="222" t="s">
        <v>953</v>
      </c>
      <c r="K14" s="222" t="s">
        <v>961</v>
      </c>
      <c r="L14" s="222" t="s">
        <v>930</v>
      </c>
      <c r="M14" s="222"/>
      <c r="N14" s="222" t="s">
        <v>929</v>
      </c>
      <c r="O14" s="222" t="s">
        <v>937</v>
      </c>
      <c r="P14" s="222" t="s">
        <v>931</v>
      </c>
      <c r="Q14" s="222" t="s">
        <v>984</v>
      </c>
      <c r="R14" s="222" t="s">
        <v>929</v>
      </c>
      <c r="S14" s="222" t="s">
        <v>992</v>
      </c>
      <c r="T14" s="222"/>
      <c r="U14" s="222" t="s">
        <v>975</v>
      </c>
      <c r="V14" s="222" t="s">
        <v>937</v>
      </c>
      <c r="W14" s="222" t="s">
        <v>976</v>
      </c>
      <c r="X14" s="222" t="s">
        <v>959</v>
      </c>
      <c r="Y14" s="222" t="s">
        <v>972</v>
      </c>
      <c r="Z14" s="222" t="s">
        <v>1016</v>
      </c>
      <c r="AA14" s="222"/>
      <c r="AB14" s="222" t="s">
        <v>976</v>
      </c>
      <c r="AC14" s="222" t="s">
        <v>1025</v>
      </c>
      <c r="AD14" s="222" t="s">
        <v>931</v>
      </c>
      <c r="AE14" s="222" t="s">
        <v>947</v>
      </c>
      <c r="AF14" s="222" t="s">
        <v>930</v>
      </c>
      <c r="AG14" s="222" t="s">
        <v>1039</v>
      </c>
      <c r="AH14" s="222"/>
      <c r="AI14" s="222" t="s">
        <v>972</v>
      </c>
      <c r="AJ14" s="222"/>
      <c r="AK14" s="222"/>
      <c r="AL14" s="222"/>
    </row>
    <row r="15" spans="1:38" ht="27" customHeight="1">
      <c r="A15" s="232" t="s">
        <v>917</v>
      </c>
      <c r="B15" s="245" t="str">
        <f t="shared" si="3"/>
        <v>3T+5T+5T+5C+3PC</v>
      </c>
      <c r="C15" s="397"/>
      <c r="D15" s="397"/>
      <c r="F15" s="222"/>
      <c r="G15" s="222"/>
      <c r="H15" s="222"/>
      <c r="I15" s="222"/>
      <c r="J15" s="222"/>
      <c r="K15" s="222"/>
      <c r="L15" s="222"/>
      <c r="M15" s="222"/>
      <c r="N15" s="222"/>
      <c r="O15" s="222"/>
      <c r="P15" s="222"/>
      <c r="Q15" s="222"/>
      <c r="R15" s="222"/>
      <c r="S15" s="222"/>
      <c r="T15" s="222"/>
      <c r="U15" s="352" t="s">
        <v>1001</v>
      </c>
      <c r="V15" s="222"/>
      <c r="W15" s="222"/>
      <c r="X15" s="222" t="s">
        <v>930</v>
      </c>
      <c r="Y15" s="222"/>
      <c r="Z15" s="222"/>
      <c r="AA15" s="222"/>
      <c r="AB15" s="222"/>
      <c r="AC15" s="222" t="s">
        <v>930</v>
      </c>
      <c r="AD15" s="222"/>
      <c r="AE15" s="222"/>
      <c r="AF15" s="222" t="s">
        <v>1035</v>
      </c>
      <c r="AG15" s="222"/>
      <c r="AH15" s="222"/>
      <c r="AI15" s="222"/>
      <c r="AJ15" s="222"/>
      <c r="AK15" s="222"/>
      <c r="AL15" s="222"/>
    </row>
    <row r="16" spans="1:38" ht="27" customHeight="1">
      <c r="A16" s="232" t="s">
        <v>626</v>
      </c>
      <c r="B16" s="245" t="str">
        <f t="shared" si="3"/>
        <v>15B</v>
      </c>
      <c r="C16" s="397"/>
      <c r="D16" s="397"/>
      <c r="F16" s="222" t="s">
        <v>924</v>
      </c>
      <c r="G16" s="222"/>
      <c r="H16" s="222"/>
      <c r="I16" s="222"/>
      <c r="J16" s="222"/>
      <c r="K16" s="222"/>
      <c r="L16" s="222"/>
      <c r="M16" s="222"/>
      <c r="N16" s="222"/>
      <c r="O16" s="222"/>
      <c r="P16" s="222"/>
      <c r="Q16" s="222"/>
      <c r="R16" s="222"/>
      <c r="S16" s="222"/>
      <c r="T16" s="222"/>
      <c r="U16" s="222"/>
      <c r="V16" s="222"/>
      <c r="W16" s="222"/>
      <c r="X16" s="222"/>
      <c r="Y16" s="222"/>
      <c r="Z16" s="222"/>
      <c r="AA16" s="222"/>
      <c r="AB16" s="222"/>
      <c r="AC16" s="222"/>
      <c r="AD16" s="222"/>
      <c r="AE16" s="222"/>
      <c r="AF16" s="222"/>
      <c r="AG16" s="222"/>
      <c r="AH16" s="222"/>
      <c r="AI16" s="222"/>
      <c r="AJ16" s="222"/>
      <c r="AK16" s="222"/>
      <c r="AL16" s="222"/>
    </row>
    <row r="17" spans="1:38" ht="27" customHeight="1">
      <c r="A17" s="232" t="s">
        <v>1087</v>
      </c>
      <c r="B17" s="245" t="str">
        <f t="shared" si="3"/>
        <v>4T+30CHX+500LEV+6T+8B+30CHX+8T+4T+3,2+5T+11,6+6T+10T+6T+10PB+8T+9T+8T+30CHX+4T+7T+8T+6T+8T+9T+30CHX+8T+3T+7+7T+4T+8T+4T+60CHX+8T+5T+12+8T+60CHX</v>
      </c>
      <c r="C17" s="397"/>
      <c r="D17" s="397"/>
      <c r="F17" s="222"/>
      <c r="G17" s="222"/>
      <c r="H17" s="352" t="s">
        <v>942</v>
      </c>
      <c r="I17" s="222" t="s">
        <v>931</v>
      </c>
      <c r="J17" s="222" t="s">
        <v>954</v>
      </c>
      <c r="K17" s="352" t="s">
        <v>962</v>
      </c>
      <c r="L17" s="222" t="s">
        <v>967</v>
      </c>
      <c r="M17" s="222" t="s">
        <v>970</v>
      </c>
      <c r="N17" s="222" t="s">
        <v>931</v>
      </c>
      <c r="O17" s="222" t="s">
        <v>976</v>
      </c>
      <c r="P17" s="222" t="s">
        <v>980</v>
      </c>
      <c r="Q17" s="222" t="s">
        <v>947</v>
      </c>
      <c r="R17" s="222" t="s">
        <v>929</v>
      </c>
      <c r="S17" s="222" t="s">
        <v>993</v>
      </c>
      <c r="T17" s="222" t="s">
        <v>959</v>
      </c>
      <c r="U17" s="222" t="s">
        <v>939</v>
      </c>
      <c r="V17" s="222" t="s">
        <v>947</v>
      </c>
      <c r="W17" s="222" t="s">
        <v>931</v>
      </c>
      <c r="X17" s="222" t="s">
        <v>947</v>
      </c>
      <c r="Y17" s="222" t="s">
        <v>1013</v>
      </c>
      <c r="Z17" s="222" t="s">
        <v>947</v>
      </c>
      <c r="AA17" s="222" t="s">
        <v>1024</v>
      </c>
      <c r="AB17" s="222" t="s">
        <v>939</v>
      </c>
      <c r="AC17" s="222" t="s">
        <v>959</v>
      </c>
      <c r="AD17" s="222" t="s">
        <v>947</v>
      </c>
      <c r="AE17" s="222" t="s">
        <v>959</v>
      </c>
      <c r="AF17" s="222" t="s">
        <v>1036</v>
      </c>
      <c r="AG17" s="222" t="s">
        <v>947</v>
      </c>
      <c r="AH17" s="222" t="s">
        <v>1042</v>
      </c>
      <c r="AI17" s="222" t="s">
        <v>1045</v>
      </c>
      <c r="AJ17" s="222"/>
      <c r="AK17" s="222"/>
      <c r="AL17" s="222"/>
    </row>
    <row r="18" spans="1:38" ht="27" customHeight="1">
      <c r="A18" s="232" t="s">
        <v>817</v>
      </c>
      <c r="B18" s="245" t="str">
        <f t="shared" si="3"/>
        <v/>
      </c>
      <c r="C18" s="397"/>
      <c r="D18" s="397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2"/>
      <c r="AL18" s="222"/>
    </row>
    <row r="19" spans="1:38" ht="27" customHeight="1">
      <c r="A19" s="232" t="s">
        <v>820</v>
      </c>
      <c r="B19" s="245" t="str">
        <f t="shared" si="3"/>
        <v>18pcomp+8grenier+18pfrui+18pmie+323t+338f+25ppn+210vc+180vn+18briotraichoco+705mv+560mv+16kgpatebrioche+10cak+2brow+100tarteletteamande+2patecakesmarbre+4pnoiscaram</v>
      </c>
      <c r="C19" s="397"/>
      <c r="D19" s="397"/>
      <c r="F19" s="222" t="s">
        <v>1132</v>
      </c>
      <c r="G19" s="222" t="s">
        <v>1135</v>
      </c>
      <c r="H19" s="222" t="s">
        <v>1131</v>
      </c>
      <c r="I19" s="222"/>
      <c r="J19" s="222"/>
      <c r="K19" s="222"/>
      <c r="L19" s="222"/>
      <c r="M19" s="222"/>
      <c r="N19" s="222"/>
      <c r="O19" s="222"/>
      <c r="P19" s="222"/>
      <c r="Q19" s="222"/>
      <c r="R19" s="222"/>
      <c r="S19" s="222"/>
      <c r="T19" s="222"/>
      <c r="U19" s="222"/>
      <c r="V19" s="222"/>
      <c r="W19" s="222"/>
      <c r="X19" s="222"/>
      <c r="Y19" s="222"/>
      <c r="Z19" s="222"/>
      <c r="AA19" s="222"/>
      <c r="AB19" s="222"/>
      <c r="AC19" s="222"/>
      <c r="AD19" s="222"/>
      <c r="AE19" s="222"/>
      <c r="AF19" s="222"/>
      <c r="AG19" s="222"/>
      <c r="AH19" s="222"/>
      <c r="AI19" s="222"/>
      <c r="AJ19" s="222"/>
      <c r="AK19" s="222"/>
      <c r="AL19" s="222"/>
    </row>
    <row r="20" spans="1:38" ht="27" customHeight="1">
      <c r="A20" s="232" t="s">
        <v>1089</v>
      </c>
      <c r="B20" s="245" t="str">
        <f t="shared" si="3"/>
        <v/>
      </c>
      <c r="C20" s="397"/>
      <c r="D20" s="397"/>
      <c r="F20" s="222"/>
      <c r="G20" s="222"/>
      <c r="H20" s="222"/>
      <c r="I20" s="222"/>
      <c r="J20" s="222"/>
      <c r="K20" s="222"/>
      <c r="L20" s="222"/>
      <c r="M20" s="222"/>
      <c r="N20" s="222"/>
      <c r="O20" s="222"/>
      <c r="P20" s="222"/>
      <c r="Q20" s="222"/>
      <c r="R20" s="222"/>
      <c r="S20" s="222"/>
      <c r="T20" s="222"/>
      <c r="U20" s="222"/>
      <c r="V20" s="222"/>
      <c r="W20" s="222"/>
      <c r="X20" s="222"/>
      <c r="Y20" s="222"/>
      <c r="Z20" s="222"/>
      <c r="AA20" s="222"/>
      <c r="AB20" s="222"/>
      <c r="AC20" s="222"/>
      <c r="AD20" s="222"/>
      <c r="AE20" s="222"/>
      <c r="AF20" s="222"/>
      <c r="AG20" s="222"/>
      <c r="AH20" s="222"/>
      <c r="AI20" s="222"/>
      <c r="AJ20" s="222"/>
      <c r="AK20" s="222"/>
      <c r="AL20" s="222"/>
    </row>
    <row r="21" spans="1:38" ht="27" customHeight="1">
      <c r="A21" s="232" t="s">
        <v>1091</v>
      </c>
      <c r="B21" s="245" t="str">
        <f t="shared" si="3"/>
        <v>194C+102PC+340B+165PB</v>
      </c>
      <c r="C21" s="397"/>
      <c r="D21" s="397"/>
      <c r="F21" s="222" t="s">
        <v>1107</v>
      </c>
      <c r="G21" s="222" t="s">
        <v>1111</v>
      </c>
      <c r="H21" s="222" t="s">
        <v>1113</v>
      </c>
      <c r="I21" s="222" t="s">
        <v>1114</v>
      </c>
      <c r="J21" s="222"/>
      <c r="K21" s="222"/>
      <c r="L21" s="222"/>
      <c r="M21" s="222"/>
      <c r="N21" s="222"/>
      <c r="O21" s="222"/>
      <c r="P21" s="222"/>
      <c r="Q21" s="222"/>
      <c r="R21" s="222"/>
      <c r="S21" s="222"/>
      <c r="T21" s="222"/>
      <c r="U21" s="222"/>
      <c r="V21" s="222"/>
      <c r="W21" s="222"/>
      <c r="X21" s="222"/>
      <c r="Y21" s="222"/>
      <c r="Z21" s="222"/>
      <c r="AA21" s="222"/>
      <c r="AB21" s="222"/>
      <c r="AC21" s="222"/>
      <c r="AD21" s="222"/>
      <c r="AE21"/>
      <c r="AF21" s="222"/>
      <c r="AG21" s="222"/>
      <c r="AH21" s="222"/>
      <c r="AI21" s="222"/>
      <c r="AJ21" s="222"/>
      <c r="AK21" s="222"/>
    </row>
    <row r="22" spans="1:38" ht="27" customHeight="1">
      <c r="A22" s="232" t="s">
        <v>1094</v>
      </c>
      <c r="B22" s="245" t="str">
        <f>ConcatenerPlage(F22:AK22,"+")</f>
        <v>77PNOR+11PSEI+3paincereale</v>
      </c>
      <c r="C22" s="397"/>
      <c r="D22" s="397"/>
      <c r="F22" s="222" t="s">
        <v>1121</v>
      </c>
      <c r="G22" s="222" t="s">
        <v>1105</v>
      </c>
      <c r="H22" s="222" t="s">
        <v>1120</v>
      </c>
      <c r="I22" s="222"/>
      <c r="J22" s="222"/>
      <c r="K22" s="222"/>
      <c r="L22" s="222"/>
      <c r="M22" s="222"/>
      <c r="N22" s="222"/>
      <c r="O22" s="222"/>
      <c r="P22" s="222"/>
      <c r="Q22" s="222"/>
      <c r="R22" s="222"/>
      <c r="S22" s="222"/>
      <c r="T22" s="222"/>
      <c r="U22" s="222"/>
      <c r="V22" s="222"/>
      <c r="W22" s="222"/>
      <c r="X22" s="222"/>
      <c r="Y22" s="222"/>
      <c r="Z22" s="222"/>
      <c r="AA22" s="222"/>
      <c r="AB22" s="222"/>
      <c r="AC22" s="222"/>
      <c r="AD22" s="222"/>
      <c r="AE22" s="222"/>
      <c r="AF22" s="222"/>
      <c r="AG22" s="222"/>
      <c r="AH22" s="250"/>
      <c r="AI22" s="222"/>
      <c r="AJ22" s="222"/>
      <c r="AK22" s="222"/>
    </row>
    <row r="23" spans="1:38" ht="27" customHeight="1">
      <c r="A23" s="232" t="s">
        <v>1096</v>
      </c>
      <c r="B23" s="245" t="str">
        <f>ConcatenerPlage(F23:AK23,"+")</f>
        <v>52Co+97B+600PP+5GRANDECAMP+2LEV</v>
      </c>
      <c r="C23" s="397"/>
      <c r="D23" s="397"/>
      <c r="F23" s="222" t="s">
        <v>1125</v>
      </c>
      <c r="G23" s="222" t="s">
        <v>1108</v>
      </c>
      <c r="H23" s="222" t="s">
        <v>1109</v>
      </c>
      <c r="I23" s="222" t="s">
        <v>1110</v>
      </c>
      <c r="J23" s="222" t="s">
        <v>1112</v>
      </c>
      <c r="K23" s="222"/>
      <c r="L23" s="222"/>
      <c r="M23" s="222"/>
      <c r="N23" s="222"/>
      <c r="O23" s="222"/>
      <c r="P23" s="222"/>
      <c r="Q23" s="222"/>
      <c r="R23" s="222"/>
      <c r="S23" s="222"/>
      <c r="T23" s="222"/>
      <c r="U23" s="222"/>
      <c r="V23" s="222"/>
      <c r="W23" s="222"/>
      <c r="X23" s="222"/>
      <c r="Y23" s="222"/>
      <c r="Z23" s="222"/>
      <c r="AA23" s="222"/>
      <c r="AB23" s="222"/>
      <c r="AC23" s="222"/>
      <c r="AD23" s="222"/>
      <c r="AE23" s="222"/>
      <c r="AF23" s="222"/>
      <c r="AG23" s="222"/>
      <c r="AH23" s="250"/>
      <c r="AI23" s="222"/>
      <c r="AJ23" s="222"/>
      <c r="AK23" s="222"/>
    </row>
    <row r="24" spans="1:38" ht="27" customHeight="1">
      <c r="A24" s="232" t="s">
        <v>1099</v>
      </c>
      <c r="B24" s="245" t="str">
        <f>ConcatenerPlage(F24:AK24,"+")</f>
        <v>48B+150C+12PC+1VN</v>
      </c>
      <c r="C24" s="397"/>
      <c r="D24" s="397"/>
      <c r="F24" s="222" t="s">
        <v>1102</v>
      </c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2"/>
      <c r="R24" s="222"/>
      <c r="S24" s="222"/>
      <c r="T24" s="222"/>
      <c r="U24" s="222"/>
      <c r="V24" s="222"/>
      <c r="W24" s="222"/>
      <c r="X24" s="222"/>
      <c r="Y24" s="222"/>
      <c r="Z24" s="222"/>
      <c r="AA24" s="222"/>
      <c r="AB24" s="222"/>
      <c r="AC24" s="222"/>
      <c r="AD24" s="222"/>
      <c r="AE24" s="222"/>
      <c r="AF24" s="222"/>
      <c r="AG24" s="222"/>
      <c r="AH24" s="250"/>
      <c r="AI24" s="222"/>
      <c r="AJ24" s="222"/>
      <c r="AK24" s="222"/>
    </row>
    <row r="25" spans="1:38" ht="27" customHeight="1">
      <c r="A25" s="233"/>
      <c r="B25" s="245" t="str">
        <f>ConcatenerPlage(F25:AK25,"+")</f>
        <v/>
      </c>
      <c r="C25" s="397"/>
      <c r="D25" s="397"/>
      <c r="F25" s="222"/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22"/>
      <c r="R25" s="222"/>
      <c r="S25" s="222"/>
      <c r="T25" s="222"/>
      <c r="U25" s="222"/>
      <c r="V25" s="222"/>
      <c r="W25" s="222"/>
      <c r="X25" s="222"/>
      <c r="Y25" s="222"/>
      <c r="Z25" s="222"/>
      <c r="AA25" s="222"/>
      <c r="AB25" s="222"/>
      <c r="AC25" s="222"/>
      <c r="AD25" s="222"/>
      <c r="AE25" s="222"/>
      <c r="AF25" s="222"/>
      <c r="AG25" s="222"/>
      <c r="AH25" s="250"/>
      <c r="AI25" s="222"/>
      <c r="AJ25" s="222"/>
      <c r="AK25" s="222"/>
    </row>
    <row r="26" spans="1:38" s="204" customFormat="1" ht="16.5" customHeight="1">
      <c r="A26" s="233"/>
      <c r="B26" s="245"/>
      <c r="C26" s="397"/>
      <c r="D26" s="397"/>
      <c r="E26" s="235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  <c r="T26" s="249"/>
      <c r="U26" s="249"/>
      <c r="V26" s="249"/>
      <c r="W26" s="249"/>
      <c r="X26" s="249"/>
      <c r="Y26" s="249"/>
      <c r="Z26" s="249"/>
      <c r="AA26" s="249"/>
      <c r="AB26" s="249"/>
      <c r="AC26" s="249"/>
      <c r="AD26" s="249"/>
      <c r="AE26" s="249"/>
      <c r="AF26" s="249"/>
      <c r="AG26" s="249"/>
      <c r="AH26" s="250"/>
      <c r="AI26" s="247">
        <f>AI27</f>
        <v>1</v>
      </c>
      <c r="AJ26" s="247">
        <f>AJ27</f>
        <v>1</v>
      </c>
      <c r="AK26" s="208"/>
    </row>
    <row r="27" spans="1:38" s="204" customFormat="1">
      <c r="A27" s="205"/>
      <c r="B27" s="245"/>
      <c r="C27" s="397"/>
      <c r="D27" s="397"/>
      <c r="E27" s="235"/>
      <c r="F27" s="249"/>
      <c r="G27" s="249"/>
      <c r="H27" s="249"/>
      <c r="I27" s="249"/>
      <c r="J27" s="249"/>
      <c r="K27" s="249"/>
      <c r="L27" s="249"/>
      <c r="M27" s="249"/>
      <c r="N27" s="249"/>
      <c r="O27" s="249"/>
      <c r="P27" s="249"/>
      <c r="Q27" s="249"/>
      <c r="R27" s="249"/>
      <c r="S27" s="249"/>
      <c r="T27" s="249"/>
      <c r="U27" s="249"/>
      <c r="V27" s="249"/>
      <c r="W27" s="249"/>
      <c r="X27" s="249"/>
      <c r="Y27" s="249"/>
      <c r="Z27" s="249"/>
      <c r="AA27" s="249"/>
      <c r="AB27" s="249"/>
      <c r="AC27" s="249"/>
      <c r="AD27" s="249"/>
      <c r="AE27" s="249"/>
      <c r="AF27" s="249"/>
      <c r="AG27" s="249"/>
      <c r="AH27" s="250"/>
      <c r="AI27" s="248">
        <f>AG65538+1</f>
        <v>1</v>
      </c>
      <c r="AJ27" s="248">
        <f>AH65538+1</f>
        <v>1</v>
      </c>
      <c r="AK27" s="209"/>
      <c r="AL27" s="151"/>
    </row>
    <row r="28" spans="1:38" ht="27" customHeight="1">
      <c r="A28" s="205"/>
      <c r="B28" s="205"/>
      <c r="C28" s="205"/>
      <c r="D28" s="205"/>
      <c r="F28" s="249"/>
      <c r="G28" s="249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  <c r="T28" s="249"/>
      <c r="U28" s="249"/>
      <c r="V28" s="249"/>
      <c r="W28" s="249"/>
      <c r="X28" s="249"/>
      <c r="Y28" s="249"/>
      <c r="Z28" s="249"/>
      <c r="AA28" s="249"/>
      <c r="AB28" s="249"/>
      <c r="AC28" s="249"/>
      <c r="AD28" s="249"/>
      <c r="AE28" s="249"/>
      <c r="AF28" s="249"/>
      <c r="AG28" s="249"/>
      <c r="AH28" s="249"/>
      <c r="AI28" s="222"/>
      <c r="AJ28" s="222"/>
      <c r="AK28" s="222"/>
    </row>
    <row r="29" spans="1:38" ht="27" customHeight="1">
      <c r="A29" s="205"/>
      <c r="B29" s="205"/>
      <c r="C29" s="205"/>
      <c r="D29" s="205"/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  <c r="T29" s="249"/>
      <c r="U29" s="249"/>
      <c r="V29" s="249"/>
      <c r="W29" s="249"/>
      <c r="X29" s="249"/>
      <c r="Y29" s="249"/>
      <c r="Z29" s="249"/>
      <c r="AA29" s="249"/>
      <c r="AB29" s="249"/>
      <c r="AC29" s="249"/>
      <c r="AD29" s="249"/>
      <c r="AE29" s="249"/>
      <c r="AF29" s="249"/>
      <c r="AG29" s="249"/>
      <c r="AH29" s="249"/>
      <c r="AI29" s="222"/>
      <c r="AJ29" s="222"/>
      <c r="AK29" s="222"/>
    </row>
    <row r="30" spans="1:38" ht="27" customHeight="1">
      <c r="A30" s="205"/>
      <c r="B30" s="205"/>
      <c r="C30" s="205"/>
      <c r="D30" s="205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49"/>
      <c r="AC30" s="249"/>
      <c r="AD30" s="249"/>
      <c r="AE30" s="249"/>
      <c r="AF30" s="249"/>
      <c r="AG30" s="249"/>
      <c r="AH30" s="249"/>
      <c r="AI30" s="222"/>
      <c r="AJ30" s="222"/>
      <c r="AK30" s="222"/>
    </row>
    <row r="31" spans="1:38" s="204" customFormat="1" ht="16.5" customHeight="1">
      <c r="A31" s="203" t="s">
        <v>378</v>
      </c>
      <c r="B31" s="203"/>
      <c r="C31" s="234"/>
      <c r="D31" s="203"/>
      <c r="E31" s="234"/>
      <c r="F31" s="247">
        <f>F32</f>
        <v>42278</v>
      </c>
      <c r="G31" s="247">
        <f t="shared" ref="G31:AJ31" si="5">G32</f>
        <v>42279</v>
      </c>
      <c r="H31" s="247">
        <f t="shared" si="5"/>
        <v>42280</v>
      </c>
      <c r="I31" s="247">
        <f t="shared" si="5"/>
        <v>42281</v>
      </c>
      <c r="J31" s="247">
        <f t="shared" si="5"/>
        <v>42282</v>
      </c>
      <c r="K31" s="247">
        <f t="shared" si="5"/>
        <v>42283</v>
      </c>
      <c r="L31" s="247">
        <f t="shared" si="5"/>
        <v>42284</v>
      </c>
      <c r="M31" s="247">
        <f t="shared" si="5"/>
        <v>42285</v>
      </c>
      <c r="N31" s="247">
        <f t="shared" si="5"/>
        <v>42286</v>
      </c>
      <c r="O31" s="247">
        <f t="shared" si="5"/>
        <v>42287</v>
      </c>
      <c r="P31" s="247">
        <f t="shared" si="5"/>
        <v>42288</v>
      </c>
      <c r="Q31" s="247">
        <f t="shared" si="5"/>
        <v>42289</v>
      </c>
      <c r="R31" s="247">
        <f t="shared" si="5"/>
        <v>42290</v>
      </c>
      <c r="S31" s="247">
        <f t="shared" si="5"/>
        <v>42291</v>
      </c>
      <c r="T31" s="247">
        <f t="shared" si="5"/>
        <v>42292</v>
      </c>
      <c r="U31" s="247">
        <f t="shared" si="5"/>
        <v>42293</v>
      </c>
      <c r="V31" s="247">
        <f t="shared" si="5"/>
        <v>42294</v>
      </c>
      <c r="W31" s="247">
        <f t="shared" si="5"/>
        <v>42295</v>
      </c>
      <c r="X31" s="247">
        <f t="shared" si="5"/>
        <v>42296</v>
      </c>
      <c r="Y31" s="247">
        <f t="shared" si="5"/>
        <v>42297</v>
      </c>
      <c r="Z31" s="247">
        <f t="shared" si="5"/>
        <v>42298</v>
      </c>
      <c r="AA31" s="247">
        <f t="shared" si="5"/>
        <v>42299</v>
      </c>
      <c r="AB31" s="247">
        <f t="shared" si="5"/>
        <v>42300</v>
      </c>
      <c r="AC31" s="247">
        <f t="shared" si="5"/>
        <v>42301</v>
      </c>
      <c r="AD31" s="247">
        <f t="shared" si="5"/>
        <v>42302</v>
      </c>
      <c r="AE31" s="247">
        <f t="shared" si="5"/>
        <v>42303</v>
      </c>
      <c r="AF31" s="247">
        <f t="shared" si="5"/>
        <v>42304</v>
      </c>
      <c r="AG31" s="247">
        <f t="shared" si="5"/>
        <v>42305</v>
      </c>
      <c r="AH31" s="247">
        <f t="shared" si="5"/>
        <v>42306</v>
      </c>
      <c r="AI31" s="247">
        <f t="shared" si="5"/>
        <v>42307</v>
      </c>
      <c r="AJ31" s="247">
        <f t="shared" si="5"/>
        <v>42308</v>
      </c>
      <c r="AK31" s="208"/>
    </row>
    <row r="32" spans="1:38" s="204" customFormat="1">
      <c r="A32" s="221">
        <f>F32</f>
        <v>42278</v>
      </c>
      <c r="B32" s="221" t="s">
        <v>501</v>
      </c>
      <c r="C32" s="221" t="s">
        <v>605</v>
      </c>
      <c r="D32" s="221" t="s">
        <v>548</v>
      </c>
      <c r="F32" s="248">
        <v>42278</v>
      </c>
      <c r="G32" s="248">
        <f t="shared" ref="G32:AJ32" si="6">F32+1</f>
        <v>42279</v>
      </c>
      <c r="H32" s="248">
        <f t="shared" si="6"/>
        <v>42280</v>
      </c>
      <c r="I32" s="248">
        <f t="shared" si="6"/>
        <v>42281</v>
      </c>
      <c r="J32" s="248">
        <f t="shared" si="6"/>
        <v>42282</v>
      </c>
      <c r="K32" s="248">
        <f t="shared" si="6"/>
        <v>42283</v>
      </c>
      <c r="L32" s="248">
        <f t="shared" si="6"/>
        <v>42284</v>
      </c>
      <c r="M32" s="248">
        <f t="shared" si="6"/>
        <v>42285</v>
      </c>
      <c r="N32" s="248">
        <f t="shared" si="6"/>
        <v>42286</v>
      </c>
      <c r="O32" s="248">
        <f t="shared" si="6"/>
        <v>42287</v>
      </c>
      <c r="P32" s="248">
        <f t="shared" si="6"/>
        <v>42288</v>
      </c>
      <c r="Q32" s="248">
        <f t="shared" si="6"/>
        <v>42289</v>
      </c>
      <c r="R32" s="248">
        <f t="shared" si="6"/>
        <v>42290</v>
      </c>
      <c r="S32" s="248">
        <f t="shared" si="6"/>
        <v>42291</v>
      </c>
      <c r="T32" s="248">
        <f t="shared" si="6"/>
        <v>42292</v>
      </c>
      <c r="U32" s="248">
        <f t="shared" si="6"/>
        <v>42293</v>
      </c>
      <c r="V32" s="248">
        <f t="shared" si="6"/>
        <v>42294</v>
      </c>
      <c r="W32" s="248">
        <f t="shared" si="6"/>
        <v>42295</v>
      </c>
      <c r="X32" s="248">
        <f t="shared" si="6"/>
        <v>42296</v>
      </c>
      <c r="Y32" s="248">
        <f t="shared" si="6"/>
        <v>42297</v>
      </c>
      <c r="Z32" s="248">
        <f t="shared" si="6"/>
        <v>42298</v>
      </c>
      <c r="AA32" s="248">
        <f t="shared" si="6"/>
        <v>42299</v>
      </c>
      <c r="AB32" s="248">
        <f t="shared" si="6"/>
        <v>42300</v>
      </c>
      <c r="AC32" s="248">
        <f t="shared" si="6"/>
        <v>42301</v>
      </c>
      <c r="AD32" s="248">
        <f t="shared" si="6"/>
        <v>42302</v>
      </c>
      <c r="AE32" s="248">
        <f t="shared" si="6"/>
        <v>42303</v>
      </c>
      <c r="AF32" s="248">
        <f t="shared" si="6"/>
        <v>42304</v>
      </c>
      <c r="AG32" s="248">
        <f t="shared" si="6"/>
        <v>42305</v>
      </c>
      <c r="AH32" s="248">
        <f t="shared" si="6"/>
        <v>42306</v>
      </c>
      <c r="AI32" s="248">
        <f t="shared" si="6"/>
        <v>42307</v>
      </c>
      <c r="AJ32" s="248">
        <f t="shared" si="6"/>
        <v>42308</v>
      </c>
      <c r="AK32" s="209"/>
      <c r="AL32" s="264"/>
    </row>
    <row r="33" spans="1:38" ht="27" customHeight="1">
      <c r="A33" s="232" t="s">
        <v>623</v>
      </c>
      <c r="B33" s="245" t="str">
        <f t="shared" ref="B33:B50" si="7">ConcatenerPlage(F33:AK33,"+")</f>
        <v/>
      </c>
      <c r="C33" s="396" t="str">
        <f>$A$2</f>
        <v>MAR</v>
      </c>
      <c r="D33" s="397" t="str">
        <f>analyserListeProduits(CmdRestoTotalMoisSelection)</f>
        <v xml:space="preserve">0*Divers (1€)_x000D_
</v>
      </c>
      <c r="F33" s="222"/>
      <c r="G33" s="222"/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2"/>
      <c r="AB33" s="222"/>
      <c r="AC33" s="222"/>
      <c r="AD33" s="222"/>
      <c r="AE33" s="222"/>
      <c r="AF33" s="222"/>
      <c r="AG33" s="222"/>
      <c r="AH33" s="222"/>
      <c r="AI33" s="222"/>
      <c r="AJ33" s="222"/>
      <c r="AK33" s="222"/>
      <c r="AL33" s="222"/>
    </row>
    <row r="34" spans="1:38" ht="27" customHeight="1">
      <c r="A34" s="232" t="s">
        <v>769</v>
      </c>
      <c r="B34" s="245" t="str">
        <f t="shared" si="7"/>
        <v>10b+10b+6t+5c+3pc+11b+10b+6t+5c+3pc+6t+5c+12b+15b+5b+3pc+4c+3pc+5b+13,85€+10b+6b+10b+5b+4b+6t+3c+3pc+6t+5c+3pc+18b+15b+6c+3pc+6t+5c+3pc+6t+5c+3pc+15b+15,8€+8t+5t+6c+3pc+11b+6b+5c+3pc+6b+6t+3pc+5c+10b+4b+5b+13,5€+12b+4b+6t+5c+3pc+15b+5b+3pc+4c+15c+6t+5c+3pc+15t+1t+5c+3pc+5t+14,1€+5c+6t+3pc+3c+5pc+5t+15€+10t+6t+5t+5c+3pc+15t+7t+3b+15b+4t+12b+3pc+5c+5t+15t+21b+15t+15,85€+3b+5t+3pc+5c+8t+5c+3pc+5t+10t+15t+6t+12t+10t+13,2€+15t+14t+1c+10t+14t+9,65€+6t+3t+5c+7pc+12t+4t</v>
      </c>
      <c r="C34" s="396"/>
      <c r="D34" s="397"/>
      <c r="F34" s="222" t="s">
        <v>628</v>
      </c>
      <c r="G34" s="222" t="s">
        <v>637</v>
      </c>
      <c r="H34" s="222" t="s">
        <v>645</v>
      </c>
      <c r="I34" s="222" t="s">
        <v>651</v>
      </c>
      <c r="J34" s="222" t="s">
        <v>655</v>
      </c>
      <c r="K34" s="222" t="s">
        <v>661</v>
      </c>
      <c r="L34" s="222" t="s">
        <v>668</v>
      </c>
      <c r="M34" s="222" t="s">
        <v>672</v>
      </c>
      <c r="N34" s="222" t="s">
        <v>678</v>
      </c>
      <c r="O34" s="222" t="s">
        <v>681</v>
      </c>
      <c r="P34" s="222" t="s">
        <v>695</v>
      </c>
      <c r="Q34" s="222" t="s">
        <v>685</v>
      </c>
      <c r="R34" s="222" t="s">
        <v>689</v>
      </c>
      <c r="S34" s="222" t="s">
        <v>697</v>
      </c>
      <c r="T34" s="222" t="s">
        <v>700</v>
      </c>
      <c r="U34" s="222" t="s">
        <v>702</v>
      </c>
      <c r="V34" s="222" t="s">
        <v>705</v>
      </c>
      <c r="W34" s="222" t="s">
        <v>709</v>
      </c>
      <c r="X34" s="222" t="s">
        <v>713</v>
      </c>
      <c r="Y34" s="222" t="s">
        <v>718</v>
      </c>
      <c r="Z34" s="222" t="s">
        <v>687</v>
      </c>
      <c r="AA34" s="222" t="s">
        <v>722</v>
      </c>
      <c r="AB34" s="222" t="s">
        <v>726</v>
      </c>
      <c r="AC34" s="222" t="s">
        <v>731</v>
      </c>
      <c r="AD34" s="222" t="s">
        <v>735</v>
      </c>
      <c r="AE34" s="222" t="s">
        <v>737</v>
      </c>
      <c r="AF34" s="222" t="s">
        <v>739</v>
      </c>
      <c r="AG34" s="222" t="s">
        <v>687</v>
      </c>
      <c r="AH34" s="222" t="s">
        <v>747</v>
      </c>
      <c r="AI34" s="222" t="s">
        <v>751</v>
      </c>
      <c r="AJ34" s="222" t="s">
        <v>756</v>
      </c>
      <c r="AK34" s="222"/>
      <c r="AL34" s="222"/>
    </row>
    <row r="35" spans="1:38" ht="27" customHeight="1">
      <c r="A35" s="232" t="s">
        <v>495</v>
      </c>
      <c r="B35" s="245" t="str">
        <f t="shared" si="7"/>
        <v>2t+1gr+1t+1gr+1t+1tg+2t+2t+1tg+2t+1gr+5t+1b+1tg+1t+3t+1ba+1tg+2t+1tg+2t+1t+1tg+1t+1tg+1t+1tg+1t+2tg+2t+1t+1tg+2t+1tg</v>
      </c>
      <c r="C35" s="396"/>
      <c r="D35" s="397"/>
      <c r="F35" s="222" t="s">
        <v>629</v>
      </c>
      <c r="G35" s="222" t="s">
        <v>638</v>
      </c>
      <c r="H35" s="222"/>
      <c r="I35" s="222"/>
      <c r="J35" s="222"/>
      <c r="K35" s="222" t="s">
        <v>662</v>
      </c>
      <c r="L35" s="222" t="s">
        <v>669</v>
      </c>
      <c r="M35" s="222" t="s">
        <v>673</v>
      </c>
      <c r="N35" s="222" t="s">
        <v>629</v>
      </c>
      <c r="O35" s="222"/>
      <c r="P35" s="222"/>
      <c r="Q35" s="222" t="s">
        <v>650</v>
      </c>
      <c r="R35" s="222" t="s">
        <v>690</v>
      </c>
      <c r="S35" s="222" t="s">
        <v>698</v>
      </c>
      <c r="T35" s="222"/>
      <c r="U35" s="222"/>
      <c r="V35" s="222"/>
      <c r="W35" s="222"/>
      <c r="X35" s="222" t="s">
        <v>712</v>
      </c>
      <c r="Y35" s="222" t="s">
        <v>673</v>
      </c>
      <c r="Z35" s="222" t="s">
        <v>669</v>
      </c>
      <c r="AA35" s="222" t="s">
        <v>662</v>
      </c>
      <c r="AB35" s="222" t="s">
        <v>662</v>
      </c>
      <c r="AC35" s="222"/>
      <c r="AD35" s="222"/>
      <c r="AE35" s="222"/>
      <c r="AF35" s="222" t="s">
        <v>740</v>
      </c>
      <c r="AG35" s="222" t="s">
        <v>745</v>
      </c>
      <c r="AH35" s="222" t="s">
        <v>662</v>
      </c>
      <c r="AI35" s="222" t="s">
        <v>673</v>
      </c>
      <c r="AJ35" s="222"/>
      <c r="AK35" s="222"/>
      <c r="AL35" s="222"/>
    </row>
    <row r="36" spans="1:38" ht="27" customHeight="1">
      <c r="A36" s="232" t="s">
        <v>790</v>
      </c>
      <c r="B36" s="245" t="str">
        <f t="shared" si="7"/>
        <v>10b+10c+5pc+15t+6b+5pc+10c+15t+20pb+1br+7b+10c+5pc+15t+20pb+1br+10c+5pc+15c+10pb+15t+5b+5pc+10b+10t+20pb+5t+5b+5pc+10c+15t+10pb+10c+5pc+10pb+15t+5b+8b+6b+10c+5pc+15t+7b+10c+5pc+15t+10pb+7pc+15c+10b+1br+10t+5pb+10pb+10b+15t+1br+15c+12c+10pb+5b+10c+5pc+10b+20pb+5t+5b+5pc+10c+15t+10pb+5b+10c+5pc+15t+10pb+5b+5pc+10c+15c+5b+20c+5pc+1br+20pb+15t+8b+20c+5pc+1br+20pb+5b+3pb+6c+10t+5b+8c+4pc+6b+5b+15t+15pb+10c+5pc+7b+3pc+7c+15t+7b+7c+7pc+1brp+7b+5pc+15c+15t+5c+5c+15b+15c+5pc+20pb+7c+3pc+5b+12t+3pc+17c+5b+15t+10pb+5b+10c+5pc+15t+7b+7c+3pc+13t+7b+7c+3pc+5c+10c+5pc+7b+1br+7c+20pb+15t</v>
      </c>
      <c r="C36" s="396"/>
      <c r="D36" s="397"/>
      <c r="F36" s="222" t="s">
        <v>630</v>
      </c>
      <c r="G36" s="222" t="s">
        <v>639</v>
      </c>
      <c r="H36" s="222" t="s">
        <v>646</v>
      </c>
      <c r="I36" s="222" t="s">
        <v>652</v>
      </c>
      <c r="J36" s="222" t="s">
        <v>656</v>
      </c>
      <c r="K36" s="222" t="s">
        <v>663</v>
      </c>
      <c r="L36" s="222" t="s">
        <v>670</v>
      </c>
      <c r="M36" s="222" t="s">
        <v>674</v>
      </c>
      <c r="N36" s="222" t="s">
        <v>680</v>
      </c>
      <c r="O36" s="263" t="s">
        <v>800</v>
      </c>
      <c r="P36" s="263" t="s">
        <v>696</v>
      </c>
      <c r="Q36" s="222" t="s">
        <v>686</v>
      </c>
      <c r="R36" s="222" t="s">
        <v>663</v>
      </c>
      <c r="S36" s="222" t="s">
        <v>699</v>
      </c>
      <c r="T36" s="222" t="s">
        <v>701</v>
      </c>
      <c r="U36" s="222"/>
      <c r="V36" s="222" t="s">
        <v>706</v>
      </c>
      <c r="W36" s="222" t="s">
        <v>708</v>
      </c>
      <c r="X36" s="222" t="s">
        <v>711</v>
      </c>
      <c r="Y36" s="222" t="s">
        <v>717</v>
      </c>
      <c r="Z36" s="222" t="s">
        <v>719</v>
      </c>
      <c r="AA36" s="222" t="s">
        <v>721</v>
      </c>
      <c r="AB36" s="222" t="s">
        <v>725</v>
      </c>
      <c r="AC36" s="222" t="s">
        <v>730</v>
      </c>
      <c r="AD36" s="222" t="s">
        <v>734</v>
      </c>
      <c r="AE36" s="222" t="s">
        <v>736</v>
      </c>
      <c r="AF36" s="222" t="s">
        <v>738</v>
      </c>
      <c r="AG36" s="222" t="s">
        <v>744</v>
      </c>
      <c r="AH36" s="222" t="s">
        <v>746</v>
      </c>
      <c r="AI36" s="222" t="s">
        <v>750</v>
      </c>
      <c r="AJ36" s="222" t="s">
        <v>755</v>
      </c>
      <c r="AK36" s="222"/>
      <c r="AL36" s="222"/>
    </row>
    <row r="37" spans="1:38" ht="27" customHeight="1">
      <c r="A37" s="232" t="s">
        <v>496</v>
      </c>
      <c r="B37" s="245" t="str">
        <f t="shared" si="7"/>
        <v>15t+12t+16t+12t+21t+25t+16t+16t+15t+15t+3t+25t+15t+7t+15t+10t+15t+25t+15t+15t+15,85€+3b+15t+7t+5t+25t+15t+15t</v>
      </c>
      <c r="C37" s="396"/>
      <c r="D37" s="397"/>
      <c r="F37" s="222" t="s">
        <v>631</v>
      </c>
      <c r="G37" s="222" t="s">
        <v>633</v>
      </c>
      <c r="H37" s="222"/>
      <c r="I37" s="222"/>
      <c r="J37" s="222" t="s">
        <v>657</v>
      </c>
      <c r="K37" s="222" t="s">
        <v>664</v>
      </c>
      <c r="L37" s="222" t="s">
        <v>671</v>
      </c>
      <c r="M37" s="222" t="s">
        <v>633</v>
      </c>
      <c r="N37" s="222" t="s">
        <v>633</v>
      </c>
      <c r="O37" s="222"/>
      <c r="P37" s="222"/>
      <c r="Q37" s="222" t="s">
        <v>687</v>
      </c>
      <c r="R37" s="222" t="s">
        <v>691</v>
      </c>
      <c r="S37" s="222" t="s">
        <v>671</v>
      </c>
      <c r="T37" s="222"/>
      <c r="U37" s="222" t="s">
        <v>703</v>
      </c>
      <c r="V37" s="222"/>
      <c r="W37" s="222"/>
      <c r="X37" s="222" t="s">
        <v>714</v>
      </c>
      <c r="Y37" s="222" t="s">
        <v>687</v>
      </c>
      <c r="Z37" s="222" t="s">
        <v>671</v>
      </c>
      <c r="AA37" s="222" t="s">
        <v>687</v>
      </c>
      <c r="AB37" s="222" t="s">
        <v>726</v>
      </c>
      <c r="AC37" s="222"/>
      <c r="AD37" s="222"/>
      <c r="AE37" s="222" t="s">
        <v>703</v>
      </c>
      <c r="AF37" s="222" t="s">
        <v>650</v>
      </c>
      <c r="AG37" s="222" t="s">
        <v>671</v>
      </c>
      <c r="AH37" s="222" t="s">
        <v>687</v>
      </c>
      <c r="AI37" s="222" t="s">
        <v>687</v>
      </c>
      <c r="AJ37" s="222"/>
      <c r="AK37" s="222"/>
      <c r="AL37" s="222"/>
    </row>
    <row r="38" spans="1:38" ht="27" customHeight="1">
      <c r="A38" s="232" t="s">
        <v>624</v>
      </c>
      <c r="B38" s="245" t="str">
        <f t="shared" si="7"/>
        <v>8t+6t+5t+11t+12t+7t+16t+10t+11t+7t+5t+7t+7t+6t+7t+4t+2t+10t+7t+7t+7t+5t+6t+7t+8t+8t</v>
      </c>
      <c r="C38" s="397"/>
      <c r="D38" s="397"/>
      <c r="F38" s="222" t="s">
        <v>632</v>
      </c>
      <c r="G38" s="222" t="s">
        <v>642</v>
      </c>
      <c r="H38" s="222"/>
      <c r="I38" s="222"/>
      <c r="J38" s="222" t="s">
        <v>644</v>
      </c>
      <c r="K38" s="222" t="s">
        <v>657</v>
      </c>
      <c r="L38" s="222" t="s">
        <v>660</v>
      </c>
      <c r="M38" s="222" t="s">
        <v>633</v>
      </c>
      <c r="N38" s="222" t="s">
        <v>606</v>
      </c>
      <c r="O38" s="222"/>
      <c r="P38" s="222"/>
      <c r="Q38" s="222" t="s">
        <v>644</v>
      </c>
      <c r="R38" s="222" t="s">
        <v>692</v>
      </c>
      <c r="S38" s="222" t="s">
        <v>660</v>
      </c>
      <c r="T38" s="222" t="s">
        <v>660</v>
      </c>
      <c r="U38" s="222" t="s">
        <v>659</v>
      </c>
      <c r="V38" s="222"/>
      <c r="W38" s="222" t="s">
        <v>660</v>
      </c>
      <c r="X38" s="222" t="s">
        <v>716</v>
      </c>
      <c r="Y38" s="222" t="s">
        <v>606</v>
      </c>
      <c r="Z38" s="222" t="s">
        <v>660</v>
      </c>
      <c r="AA38" s="222" t="s">
        <v>660</v>
      </c>
      <c r="AB38" s="222" t="s">
        <v>692</v>
      </c>
      <c r="AC38" s="222"/>
      <c r="AD38" s="222"/>
      <c r="AE38" s="222" t="s">
        <v>659</v>
      </c>
      <c r="AF38" s="222"/>
      <c r="AG38" s="222" t="s">
        <v>660</v>
      </c>
      <c r="AH38" s="222" t="s">
        <v>632</v>
      </c>
      <c r="AI38" s="222" t="s">
        <v>632</v>
      </c>
      <c r="AJ38" s="222"/>
      <c r="AK38" s="222"/>
      <c r="AL38" s="222"/>
    </row>
    <row r="39" spans="1:38" ht="27" customHeight="1">
      <c r="A39" s="232" t="s">
        <v>497</v>
      </c>
      <c r="B39" s="245" t="str">
        <f t="shared" si="7"/>
        <v>16t+16t+13t+15t+18t+20t+14t+13t+20t+20t+21t+6t+22t+13b+15t+12t+19t+20t+8t+6t+15t+15t+13t+7t+6t+16t+20t+18t+7t+15t+6t+10t+5t+10t+7t+5t+6t+12t+20t+7t+9t+12t+14t</v>
      </c>
      <c r="C39" s="397"/>
      <c r="D39" s="397"/>
      <c r="F39" s="252" t="s">
        <v>633</v>
      </c>
      <c r="G39" s="252" t="s">
        <v>643</v>
      </c>
      <c r="H39" s="252" t="s">
        <v>648</v>
      </c>
      <c r="I39" s="252" t="s">
        <v>653</v>
      </c>
      <c r="J39" s="252" t="s">
        <v>658</v>
      </c>
      <c r="K39" s="252" t="s">
        <v>665</v>
      </c>
      <c r="L39" s="252" t="s">
        <v>653</v>
      </c>
      <c r="M39" s="252" t="s">
        <v>653</v>
      </c>
      <c r="N39" s="252" t="s">
        <v>664</v>
      </c>
      <c r="O39" s="252" t="s">
        <v>682</v>
      </c>
      <c r="P39" s="252" t="s">
        <v>687</v>
      </c>
      <c r="Q39" s="252" t="s">
        <v>657</v>
      </c>
      <c r="R39" s="252" t="s">
        <v>693</v>
      </c>
      <c r="S39" s="252" t="s">
        <v>653</v>
      </c>
      <c r="T39" s="252"/>
      <c r="U39" s="252" t="s">
        <v>632</v>
      </c>
      <c r="V39" s="252" t="s">
        <v>707</v>
      </c>
      <c r="W39" s="252" t="s">
        <v>710</v>
      </c>
      <c r="X39" s="252" t="s">
        <v>715</v>
      </c>
      <c r="Y39" s="222" t="s">
        <v>633</v>
      </c>
      <c r="Z39" s="222" t="s">
        <v>653</v>
      </c>
      <c r="AA39" s="252" t="s">
        <v>723</v>
      </c>
      <c r="AB39" s="252" t="s">
        <v>727</v>
      </c>
      <c r="AC39" s="252" t="s">
        <v>732</v>
      </c>
      <c r="AD39" s="252" t="s">
        <v>606</v>
      </c>
      <c r="AE39" s="252" t="s">
        <v>692</v>
      </c>
      <c r="AF39" s="252" t="s">
        <v>741</v>
      </c>
      <c r="AG39" s="252" t="s">
        <v>653</v>
      </c>
      <c r="AH39" s="252" t="s">
        <v>660</v>
      </c>
      <c r="AI39" s="252" t="s">
        <v>752</v>
      </c>
      <c r="AJ39" s="252" t="s">
        <v>658</v>
      </c>
      <c r="AK39" s="222"/>
      <c r="AL39" s="252"/>
    </row>
    <row r="40" spans="1:38" ht="27" customHeight="1">
      <c r="A40" s="232" t="s">
        <v>625</v>
      </c>
      <c r="B40" s="245" t="str">
        <f t="shared" si="7"/>
        <v>8t</v>
      </c>
      <c r="C40" s="397"/>
      <c r="D40" s="397"/>
      <c r="F40" s="222" t="s">
        <v>632</v>
      </c>
      <c r="G40" s="222"/>
      <c r="H40" s="222"/>
      <c r="I40" s="222"/>
      <c r="J40" s="222"/>
      <c r="K40" s="222"/>
      <c r="L40" s="222"/>
      <c r="M40" s="222"/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</row>
    <row r="41" spans="1:38" ht="27" customHeight="1">
      <c r="A41" s="232" t="s">
        <v>626</v>
      </c>
      <c r="B41" s="245" t="str">
        <f t="shared" si="7"/>
        <v>20b+15b</v>
      </c>
      <c r="C41" s="397"/>
      <c r="D41" s="397"/>
      <c r="F41" s="222"/>
      <c r="G41" s="222"/>
      <c r="H41" s="222"/>
      <c r="I41" s="222" t="s">
        <v>654</v>
      </c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 t="s">
        <v>697</v>
      </c>
      <c r="X41" s="222"/>
      <c r="Y41" s="222"/>
      <c r="Z41" s="222"/>
      <c r="AA41" s="222"/>
      <c r="AB41" s="222"/>
      <c r="AC41" s="222"/>
      <c r="AD41" s="222"/>
      <c r="AE41" s="222"/>
      <c r="AF41" s="222"/>
      <c r="AG41" s="222"/>
      <c r="AH41" s="222"/>
      <c r="AI41" s="222"/>
      <c r="AJ41" s="222"/>
      <c r="AK41" s="222"/>
      <c r="AL41" s="222"/>
    </row>
    <row r="42" spans="1:38" ht="27" customHeight="1">
      <c r="A42" s="232" t="s">
        <v>498</v>
      </c>
      <c r="B42" s="245" t="str">
        <f t="shared" si="7"/>
        <v>6t+5t+5t+5t+5t+5t+5t+5t+5t+5t+5t+5t+5t+5t+5t+4t</v>
      </c>
      <c r="C42" s="397"/>
      <c r="D42" s="397"/>
      <c r="F42" s="222"/>
      <c r="G42" s="222"/>
      <c r="H42" s="222"/>
      <c r="I42" s="222"/>
      <c r="J42" s="222" t="s">
        <v>659</v>
      </c>
      <c r="K42" s="222"/>
      <c r="L42" s="222"/>
      <c r="M42" s="222" t="s">
        <v>650</v>
      </c>
      <c r="N42" s="222" t="s">
        <v>650</v>
      </c>
      <c r="O42" s="222"/>
      <c r="P42" s="222"/>
      <c r="Q42" s="222"/>
      <c r="R42" s="222" t="s">
        <v>650</v>
      </c>
      <c r="S42" s="222" t="s">
        <v>650</v>
      </c>
      <c r="T42" s="222" t="s">
        <v>650</v>
      </c>
      <c r="U42" s="222" t="s">
        <v>650</v>
      </c>
      <c r="V42" s="222"/>
      <c r="W42" s="222"/>
      <c r="X42" s="222" t="s">
        <v>650</v>
      </c>
      <c r="Y42" s="222" t="s">
        <v>650</v>
      </c>
      <c r="Z42" s="222" t="s">
        <v>650</v>
      </c>
      <c r="AA42" s="222" t="s">
        <v>650</v>
      </c>
      <c r="AB42" s="222" t="s">
        <v>650</v>
      </c>
      <c r="AC42" s="222"/>
      <c r="AD42" s="222"/>
      <c r="AE42" s="222" t="s">
        <v>650</v>
      </c>
      <c r="AF42" s="222" t="s">
        <v>650</v>
      </c>
      <c r="AG42" s="222" t="s">
        <v>650</v>
      </c>
      <c r="AH42" s="222"/>
      <c r="AI42" s="222" t="s">
        <v>634</v>
      </c>
      <c r="AJ42" s="222"/>
      <c r="AK42" s="222"/>
      <c r="AL42" s="222"/>
    </row>
    <row r="43" spans="1:38" ht="27" customHeight="1">
      <c r="A43" s="348" t="s">
        <v>627</v>
      </c>
      <c r="B43" s="245" t="str">
        <f t="shared" si="7"/>
        <v>4t+10t+7t+8t+10t+10t+6t+4t+9t+4t+7t+11t+6t+5t+10t+15t+3t+13t+6t+6t+9t+6,15€+5t+7t+11t+4t+6t+6t+5t+6,95€+5t+4t+4t+18t</v>
      </c>
      <c r="C43" s="397"/>
      <c r="D43" s="397"/>
      <c r="F43" s="222" t="s">
        <v>634</v>
      </c>
      <c r="G43" s="222" t="s">
        <v>606</v>
      </c>
      <c r="H43" s="222" t="s">
        <v>649</v>
      </c>
      <c r="I43" s="222"/>
      <c r="J43" s="222" t="s">
        <v>606</v>
      </c>
      <c r="K43" s="222"/>
      <c r="L43" s="222"/>
      <c r="M43" s="222" t="s">
        <v>606</v>
      </c>
      <c r="N43" s="222" t="s">
        <v>659</v>
      </c>
      <c r="O43" s="222" t="s">
        <v>683</v>
      </c>
      <c r="P43" s="222"/>
      <c r="Q43" s="222" t="s">
        <v>688</v>
      </c>
      <c r="R43" s="222" t="s">
        <v>644</v>
      </c>
      <c r="S43" s="222" t="s">
        <v>659</v>
      </c>
      <c r="T43" s="222"/>
      <c r="U43" s="222" t="s">
        <v>704</v>
      </c>
      <c r="V43" s="222" t="s">
        <v>687</v>
      </c>
      <c r="W43" s="222"/>
      <c r="X43" s="222" t="s">
        <v>698</v>
      </c>
      <c r="Y43" s="222" t="s">
        <v>665</v>
      </c>
      <c r="Z43" s="222" t="s">
        <v>659</v>
      </c>
      <c r="AA43" s="222" t="s">
        <v>724</v>
      </c>
      <c r="AB43" s="222" t="s">
        <v>729</v>
      </c>
      <c r="AC43" s="222" t="s">
        <v>644</v>
      </c>
      <c r="AD43" s="222"/>
      <c r="AE43" s="222"/>
      <c r="AF43" s="222" t="s">
        <v>743</v>
      </c>
      <c r="AG43" s="222" t="s">
        <v>659</v>
      </c>
      <c r="AH43" s="222" t="s">
        <v>749</v>
      </c>
      <c r="AI43" s="222" t="s">
        <v>754</v>
      </c>
      <c r="AJ43" s="222" t="s">
        <v>723</v>
      </c>
      <c r="AK43" s="222"/>
      <c r="AL43" s="222"/>
    </row>
    <row r="44" spans="1:38" ht="27" customHeight="1">
      <c r="A44" s="232" t="s">
        <v>499</v>
      </c>
      <c r="B44" s="245" t="str">
        <f t="shared" si="7"/>
        <v>7t+4t+11t+5t+7t+7t+8t+7t+7t+8t+7t+7t+6t+7t+8t+6t+5t+6t+5t+7t+6t+6t</v>
      </c>
      <c r="C44" s="397"/>
      <c r="D44" s="397"/>
      <c r="F44" s="222" t="s">
        <v>635</v>
      </c>
      <c r="G44" s="222" t="s">
        <v>644</v>
      </c>
      <c r="H44" s="222" t="s">
        <v>650</v>
      </c>
      <c r="I44" s="222"/>
      <c r="J44" s="222" t="s">
        <v>660</v>
      </c>
      <c r="K44" s="222"/>
      <c r="L44" s="222"/>
      <c r="M44" s="222" t="s">
        <v>660</v>
      </c>
      <c r="N44" s="222" t="s">
        <v>632</v>
      </c>
      <c r="O44" s="222"/>
      <c r="P44" s="222"/>
      <c r="Q44" s="222" t="s">
        <v>660</v>
      </c>
      <c r="R44" s="222" t="s">
        <v>660</v>
      </c>
      <c r="S44" s="222" t="s">
        <v>632</v>
      </c>
      <c r="T44" s="222"/>
      <c r="U44" s="222" t="s">
        <v>660</v>
      </c>
      <c r="V44" s="222" t="s">
        <v>660</v>
      </c>
      <c r="W44" s="222"/>
      <c r="X44" s="222" t="s">
        <v>659</v>
      </c>
      <c r="Y44" s="222" t="s">
        <v>660</v>
      </c>
      <c r="Z44" s="222" t="s">
        <v>632</v>
      </c>
      <c r="AA44" s="222"/>
      <c r="AB44" s="222" t="s">
        <v>659</v>
      </c>
      <c r="AC44" s="222" t="s">
        <v>650</v>
      </c>
      <c r="AD44" s="222"/>
      <c r="AE44" s="222" t="s">
        <v>659</v>
      </c>
      <c r="AF44" s="222"/>
      <c r="AG44" s="222" t="s">
        <v>650</v>
      </c>
      <c r="AH44" s="222" t="s">
        <v>660</v>
      </c>
      <c r="AI44" s="222" t="s">
        <v>659</v>
      </c>
      <c r="AJ44" s="222" t="s">
        <v>659</v>
      </c>
      <c r="AK44" s="222"/>
      <c r="AL44" s="222"/>
    </row>
    <row r="45" spans="1:38" ht="27" customHeight="1">
      <c r="A45" s="232" t="s">
        <v>817</v>
      </c>
      <c r="B45" s="245" t="str">
        <f t="shared" si="7"/>
        <v/>
      </c>
      <c r="C45" s="397"/>
      <c r="D45" s="397"/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  <c r="AA45" s="222"/>
      <c r="AB45" s="222"/>
      <c r="AC45" s="222"/>
      <c r="AD45" s="222"/>
      <c r="AE45" s="222"/>
      <c r="AF45" s="222"/>
      <c r="AG45" s="222"/>
      <c r="AH45" s="222"/>
      <c r="AI45" s="222"/>
      <c r="AJ45" s="222"/>
      <c r="AK45" s="222"/>
      <c r="AL45" s="222"/>
    </row>
    <row r="46" spans="1:38" ht="27" customHeight="1">
      <c r="A46" s="232" t="s">
        <v>820</v>
      </c>
      <c r="B46" s="245" t="str">
        <f t="shared" si="7"/>
        <v>15 bra+16dt</v>
      </c>
      <c r="C46" s="397"/>
      <c r="D46" s="397"/>
      <c r="F46" s="222" t="s">
        <v>636</v>
      </c>
      <c r="G46" s="222"/>
      <c r="H46" s="222"/>
      <c r="I46" s="222"/>
      <c r="J46" s="222"/>
      <c r="K46" s="222"/>
      <c r="L46" s="222"/>
      <c r="M46" s="222"/>
      <c r="N46" s="222"/>
      <c r="O46" s="222" t="s">
        <v>684</v>
      </c>
      <c r="P46" s="222"/>
      <c r="Q46" s="222"/>
      <c r="R46" s="222"/>
      <c r="S46" s="222"/>
      <c r="T46" s="222"/>
      <c r="U46" s="222"/>
      <c r="V46" s="222"/>
      <c r="W46" s="222"/>
      <c r="X46" s="222"/>
      <c r="Y46" s="222"/>
      <c r="Z46" s="222"/>
      <c r="AA46" s="222"/>
      <c r="AB46" s="222"/>
      <c r="AC46" s="222"/>
      <c r="AD46" s="222"/>
      <c r="AE46" s="222"/>
      <c r="AF46" s="222"/>
      <c r="AG46" s="222"/>
      <c r="AH46" s="222"/>
      <c r="AI46" s="222"/>
      <c r="AJ46" s="222"/>
      <c r="AK46" s="222"/>
      <c r="AL46" s="222"/>
    </row>
    <row r="47" spans="1:38" ht="27" customHeight="1">
      <c r="A47" s="232"/>
      <c r="B47" s="245" t="str">
        <f t="shared" si="7"/>
        <v/>
      </c>
      <c r="C47" s="397"/>
      <c r="D47" s="397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  <c r="AD47" s="222"/>
      <c r="AE47" s="222"/>
      <c r="AF47" s="222"/>
      <c r="AG47" s="222"/>
      <c r="AH47" s="222"/>
      <c r="AI47" s="222"/>
      <c r="AJ47" s="222"/>
      <c r="AK47" s="222"/>
      <c r="AL47" s="222"/>
    </row>
    <row r="48" spans="1:38" ht="27" customHeight="1">
      <c r="A48" s="232" t="s">
        <v>784</v>
      </c>
      <c r="B48" s="245" t="str">
        <f t="shared" si="7"/>
        <v>4dt+16dt+16t+6dt+14dt+20dt+20dt+10t+12t+15dt+13dt+4t+4dt+16dt+4dt+14dt+14dt+4dt+10dt</v>
      </c>
      <c r="C48" s="397"/>
      <c r="D48" s="397"/>
      <c r="F48" s="222"/>
      <c r="G48" s="222"/>
      <c r="H48" s="222"/>
      <c r="I48" s="222"/>
      <c r="J48" s="222"/>
      <c r="K48" s="222"/>
      <c r="L48" s="222"/>
      <c r="M48" s="222" t="s">
        <v>675</v>
      </c>
      <c r="N48" s="222" t="s">
        <v>633</v>
      </c>
      <c r="O48" s="222"/>
      <c r="P48" s="222"/>
      <c r="Q48" s="222"/>
      <c r="R48" s="222" t="s">
        <v>694</v>
      </c>
      <c r="S48" s="222"/>
      <c r="T48" s="222"/>
      <c r="U48" s="222"/>
      <c r="V48" s="222"/>
      <c r="W48" s="222"/>
      <c r="X48" s="222"/>
      <c r="Y48" s="222" t="s">
        <v>720</v>
      </c>
      <c r="Z48" s="222" t="s">
        <v>720</v>
      </c>
      <c r="AA48" s="222" t="s">
        <v>606</v>
      </c>
      <c r="AB48" s="222" t="s">
        <v>728</v>
      </c>
      <c r="AC48" s="222" t="s">
        <v>733</v>
      </c>
      <c r="AD48" s="222"/>
      <c r="AE48" s="222" t="s">
        <v>634</v>
      </c>
      <c r="AF48" s="222" t="s">
        <v>742</v>
      </c>
      <c r="AG48" s="222" t="s">
        <v>684</v>
      </c>
      <c r="AH48" s="222" t="s">
        <v>748</v>
      </c>
      <c r="AI48" s="222" t="s">
        <v>753</v>
      </c>
      <c r="AJ48" s="222" t="s">
        <v>757</v>
      </c>
      <c r="AK48" s="222"/>
      <c r="AL48" s="222"/>
    </row>
    <row r="49" spans="1:38" ht="27" customHeight="1">
      <c r="A49" s="232"/>
      <c r="B49" s="245" t="str">
        <f t="shared" si="7"/>
        <v/>
      </c>
      <c r="C49" s="397"/>
      <c r="D49" s="397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/>
      <c r="AF49" s="222"/>
      <c r="AG49" s="222"/>
      <c r="AH49" s="222"/>
      <c r="AI49" s="222"/>
      <c r="AJ49" s="222"/>
      <c r="AK49" s="222"/>
    </row>
    <row r="50" spans="1:38" ht="27" customHeight="1">
      <c r="A50" s="232"/>
      <c r="B50" s="245" t="str">
        <f t="shared" si="7"/>
        <v/>
      </c>
      <c r="C50" s="397"/>
      <c r="D50" s="397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50"/>
      <c r="AI50" s="222"/>
      <c r="AJ50" s="222"/>
      <c r="AK50" s="222"/>
    </row>
    <row r="51" spans="1:38" ht="27" customHeight="1">
      <c r="A51" s="232"/>
      <c r="B51" s="245"/>
      <c r="C51" s="397"/>
      <c r="D51" s="397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  <c r="AG51" s="222"/>
      <c r="AH51" s="250"/>
      <c r="AI51" s="222"/>
      <c r="AJ51" s="222"/>
      <c r="AK51" s="222"/>
    </row>
    <row r="52" spans="1:38" ht="27" customHeight="1">
      <c r="A52" s="232"/>
      <c r="B52" s="245"/>
      <c r="C52" s="397"/>
      <c r="D52" s="397"/>
      <c r="F52" s="222"/>
      <c r="G52" s="222"/>
      <c r="H52" s="222"/>
      <c r="I52" s="222"/>
      <c r="J52" s="222"/>
      <c r="K52" s="222"/>
      <c r="L52" s="222"/>
      <c r="M52" s="222"/>
      <c r="N52" s="222"/>
      <c r="O52" s="222"/>
      <c r="P52" s="222"/>
      <c r="Q52" s="222"/>
      <c r="R52" s="222"/>
      <c r="S52" s="222"/>
      <c r="T52" s="222"/>
      <c r="U52" s="222"/>
      <c r="V52" s="222"/>
      <c r="W52" s="222"/>
      <c r="X52" s="222"/>
      <c r="Y52" s="222"/>
      <c r="Z52" s="222"/>
      <c r="AA52" s="222"/>
      <c r="AB52" s="222"/>
      <c r="AC52" s="222"/>
      <c r="AD52" s="222"/>
      <c r="AE52" s="222"/>
      <c r="AF52" s="222"/>
      <c r="AG52" s="222"/>
      <c r="AH52" s="250"/>
      <c r="AI52" s="222"/>
      <c r="AJ52" s="222"/>
      <c r="AK52" s="222"/>
    </row>
    <row r="53" spans="1:38" ht="27" customHeight="1">
      <c r="A53" s="233"/>
      <c r="B53" s="245" t="str">
        <f>ConcatenerPlage(F53:AK53,"+")</f>
        <v/>
      </c>
      <c r="C53" s="397"/>
      <c r="D53" s="397"/>
      <c r="F53" s="222"/>
      <c r="G53" s="222"/>
      <c r="H53" s="222"/>
      <c r="I53" s="222"/>
      <c r="J53" s="222"/>
      <c r="K53" s="222"/>
      <c r="L53" s="222"/>
      <c r="M53" s="222"/>
      <c r="N53" s="222"/>
      <c r="O53" s="222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2"/>
      <c r="AC53" s="222"/>
      <c r="AD53" s="222"/>
      <c r="AE53" s="222"/>
      <c r="AF53" s="222"/>
      <c r="AG53" s="222"/>
      <c r="AH53" s="250"/>
      <c r="AI53" s="222"/>
      <c r="AJ53" s="222"/>
      <c r="AK53" s="222"/>
    </row>
    <row r="54" spans="1:38" s="204" customFormat="1" ht="16.5" customHeight="1">
      <c r="A54" s="233"/>
      <c r="B54" s="245"/>
      <c r="C54" s="397"/>
      <c r="D54" s="397"/>
      <c r="E54" s="235"/>
      <c r="F54" s="249"/>
      <c r="G54" s="249"/>
      <c r="H54" s="249"/>
      <c r="I54" s="249"/>
      <c r="J54" s="249"/>
      <c r="K54" s="249"/>
      <c r="L54" s="249"/>
      <c r="M54" s="249"/>
      <c r="N54" s="249"/>
      <c r="O54" s="249"/>
      <c r="P54" s="249"/>
      <c r="Q54" s="249"/>
      <c r="R54" s="249"/>
      <c r="S54" s="249"/>
      <c r="T54" s="249"/>
      <c r="U54" s="249"/>
      <c r="V54" s="249"/>
      <c r="W54" s="249"/>
      <c r="X54" s="249"/>
      <c r="Y54" s="249"/>
      <c r="Z54" s="249"/>
      <c r="AA54" s="249"/>
      <c r="AB54" s="249"/>
      <c r="AC54" s="249"/>
      <c r="AD54" s="249"/>
      <c r="AE54" s="249"/>
      <c r="AF54" s="249"/>
      <c r="AG54" s="249"/>
      <c r="AH54" s="250"/>
      <c r="AI54" s="247">
        <f>AI55</f>
        <v>1</v>
      </c>
      <c r="AJ54" s="247">
        <f>AJ55</f>
        <v>1</v>
      </c>
      <c r="AK54" s="208"/>
    </row>
    <row r="55" spans="1:38" s="204" customFormat="1">
      <c r="A55" s="205"/>
      <c r="B55" s="245"/>
      <c r="C55" s="397"/>
      <c r="D55" s="397"/>
      <c r="E55" s="235"/>
      <c r="F55" s="249"/>
      <c r="G55" s="249"/>
      <c r="H55" s="249"/>
      <c r="I55" s="249"/>
      <c r="J55" s="249"/>
      <c r="K55" s="249"/>
      <c r="L55" s="249"/>
      <c r="M55" s="249"/>
      <c r="N55" s="249"/>
      <c r="O55" s="249"/>
      <c r="P55" s="249"/>
      <c r="Q55" s="249"/>
      <c r="R55" s="249"/>
      <c r="S55" s="249"/>
      <c r="T55" s="249"/>
      <c r="U55" s="249"/>
      <c r="V55" s="249"/>
      <c r="W55" s="249"/>
      <c r="X55" s="249"/>
      <c r="Y55" s="249"/>
      <c r="Z55" s="249"/>
      <c r="AA55" s="249"/>
      <c r="AB55" s="249"/>
      <c r="AC55" s="249"/>
      <c r="AD55" s="249"/>
      <c r="AE55" s="249"/>
      <c r="AF55" s="249"/>
      <c r="AG55" s="249"/>
      <c r="AH55" s="250"/>
      <c r="AI55" s="248">
        <f>AG65566+1</f>
        <v>1</v>
      </c>
      <c r="AJ55" s="248">
        <f>AH65566+1</f>
        <v>1</v>
      </c>
      <c r="AK55" s="209"/>
      <c r="AL55" s="151"/>
    </row>
    <row r="56" spans="1:38" ht="27" customHeight="1">
      <c r="A56" s="205"/>
      <c r="B56" s="205"/>
      <c r="C56" s="205"/>
      <c r="D56" s="205"/>
      <c r="F56" s="249"/>
      <c r="G56" s="249"/>
      <c r="H56" s="249"/>
      <c r="I56" s="249"/>
      <c r="J56" s="249"/>
      <c r="K56" s="249"/>
      <c r="L56" s="249"/>
      <c r="M56" s="249"/>
      <c r="N56" s="249"/>
      <c r="O56" s="249"/>
      <c r="P56" s="249"/>
      <c r="Q56" s="249"/>
      <c r="R56" s="249"/>
      <c r="S56" s="249"/>
      <c r="T56" s="249"/>
      <c r="U56" s="249"/>
      <c r="V56" s="249"/>
      <c r="W56" s="249"/>
      <c r="X56" s="249"/>
      <c r="Y56" s="249"/>
      <c r="Z56" s="249"/>
      <c r="AA56" s="249"/>
      <c r="AB56" s="249"/>
      <c r="AC56" s="249"/>
      <c r="AD56" s="249"/>
      <c r="AE56" s="249"/>
      <c r="AF56" s="249"/>
      <c r="AG56" s="249"/>
      <c r="AH56" s="249"/>
      <c r="AI56" s="222"/>
      <c r="AJ56" s="222"/>
      <c r="AK56" s="222"/>
    </row>
    <row r="57" spans="1:38" ht="27" customHeight="1">
      <c r="A57" s="205"/>
      <c r="B57" s="205"/>
      <c r="C57" s="205"/>
      <c r="D57" s="205"/>
      <c r="F57" s="249"/>
      <c r="G57" s="249"/>
      <c r="H57" s="249"/>
      <c r="I57" s="249"/>
      <c r="J57" s="249"/>
      <c r="K57" s="249"/>
      <c r="L57" s="249"/>
      <c r="M57" s="249"/>
      <c r="N57" s="249"/>
      <c r="O57" s="249"/>
      <c r="P57" s="249"/>
      <c r="Q57" s="249"/>
      <c r="R57" s="249"/>
      <c r="S57" s="249"/>
      <c r="T57" s="249"/>
      <c r="U57" s="249"/>
      <c r="V57" s="249"/>
      <c r="W57" s="249"/>
      <c r="X57" s="249"/>
      <c r="Y57" s="249"/>
      <c r="Z57" s="249"/>
      <c r="AA57" s="249"/>
      <c r="AB57" s="249"/>
      <c r="AC57" s="249"/>
      <c r="AD57" s="249"/>
      <c r="AE57" s="249"/>
      <c r="AF57" s="249"/>
      <c r="AG57" s="249"/>
      <c r="AH57" s="249"/>
      <c r="AI57" s="222"/>
      <c r="AJ57" s="222"/>
      <c r="AK57" s="222"/>
    </row>
    <row r="58" spans="1:38" ht="27" customHeight="1">
      <c r="A58" s="205"/>
      <c r="B58" s="205"/>
      <c r="C58" s="205"/>
      <c r="D58" s="205"/>
      <c r="F58" s="249"/>
      <c r="G58" s="249"/>
      <c r="H58" s="249"/>
      <c r="I58" s="249"/>
      <c r="J58" s="249"/>
      <c r="K58" s="249"/>
      <c r="L58" s="249"/>
      <c r="M58" s="249"/>
      <c r="N58" s="249"/>
      <c r="O58" s="249"/>
      <c r="P58" s="249"/>
      <c r="Q58" s="249"/>
      <c r="R58" s="249"/>
      <c r="S58" s="249"/>
      <c r="T58" s="249"/>
      <c r="U58" s="249"/>
      <c r="V58" s="249"/>
      <c r="W58" s="249"/>
      <c r="X58" s="249"/>
      <c r="Y58" s="249"/>
      <c r="Z58" s="249"/>
      <c r="AA58" s="249"/>
      <c r="AB58" s="249"/>
      <c r="AC58" s="249"/>
      <c r="AD58" s="249"/>
      <c r="AE58" s="249"/>
      <c r="AF58" s="249"/>
      <c r="AG58" s="249"/>
      <c r="AH58" s="249"/>
      <c r="AI58" s="222"/>
      <c r="AJ58" s="222"/>
      <c r="AK58" s="222"/>
    </row>
    <row r="59" spans="1:38" ht="30" customHeight="1">
      <c r="A59" s="205"/>
      <c r="B59" s="205"/>
      <c r="C59" s="205"/>
      <c r="D59" s="205"/>
      <c r="F59" s="250"/>
      <c r="G59" s="250"/>
      <c r="H59" s="250"/>
      <c r="I59" s="250"/>
      <c r="J59" s="250"/>
      <c r="K59" s="250"/>
      <c r="L59" s="250"/>
      <c r="M59" s="250"/>
      <c r="N59" s="250"/>
      <c r="O59" s="250"/>
      <c r="P59" s="250"/>
      <c r="Q59" s="250"/>
      <c r="R59" s="250"/>
      <c r="S59" s="250"/>
      <c r="T59" s="250"/>
      <c r="U59" s="250"/>
      <c r="V59" s="250"/>
      <c r="W59" s="250"/>
      <c r="X59" s="250"/>
      <c r="Y59" s="250"/>
      <c r="Z59" s="250"/>
      <c r="AA59" s="250"/>
      <c r="AB59" s="250"/>
      <c r="AC59" s="250"/>
      <c r="AD59" s="250"/>
      <c r="AE59" s="250"/>
      <c r="AF59" s="250"/>
      <c r="AG59" s="250"/>
      <c r="AH59" s="250"/>
      <c r="AI59" s="250"/>
      <c r="AJ59" s="250"/>
      <c r="AK59" s="206"/>
    </row>
    <row r="60" spans="1:38" ht="30" customHeight="1">
      <c r="A60" s="205"/>
      <c r="B60" s="205"/>
      <c r="C60" s="205"/>
      <c r="D60" s="205"/>
      <c r="F60" s="250"/>
      <c r="G60" s="250"/>
      <c r="H60" s="250"/>
      <c r="I60" s="250"/>
      <c r="J60" s="250"/>
      <c r="K60" s="250"/>
      <c r="L60" s="250"/>
      <c r="M60" s="250"/>
      <c r="N60" s="250"/>
      <c r="O60" s="250"/>
      <c r="P60" s="250"/>
      <c r="Q60" s="250"/>
      <c r="R60" s="250"/>
      <c r="S60" s="250"/>
      <c r="T60" s="250"/>
      <c r="U60" s="250"/>
      <c r="V60" s="250"/>
      <c r="W60" s="250"/>
      <c r="X60" s="250"/>
      <c r="Y60" s="250"/>
      <c r="Z60" s="250"/>
      <c r="AA60" s="250"/>
      <c r="AB60" s="250"/>
      <c r="AC60" s="250"/>
      <c r="AD60" s="250"/>
      <c r="AE60" s="250"/>
      <c r="AF60" s="250"/>
      <c r="AG60" s="250"/>
      <c r="AH60" s="250"/>
      <c r="AI60" s="250"/>
      <c r="AJ60" s="250"/>
      <c r="AK60" s="206"/>
    </row>
    <row r="61" spans="1:38" ht="30" customHeight="1">
      <c r="A61" s="205"/>
      <c r="B61" s="205"/>
      <c r="C61" s="205"/>
      <c r="D61" s="205"/>
      <c r="F61" s="250"/>
      <c r="G61" s="250"/>
      <c r="H61" s="250"/>
      <c r="I61" s="250"/>
      <c r="J61" s="250"/>
      <c r="K61" s="250"/>
      <c r="L61" s="250"/>
      <c r="M61" s="250"/>
      <c r="N61" s="250"/>
      <c r="O61" s="250"/>
      <c r="P61" s="250"/>
      <c r="Q61" s="250"/>
      <c r="R61" s="250"/>
      <c r="S61" s="250"/>
      <c r="T61" s="250"/>
      <c r="U61" s="250"/>
      <c r="V61" s="250"/>
      <c r="W61" s="250"/>
      <c r="X61" s="250"/>
      <c r="Y61" s="250"/>
      <c r="Z61" s="250"/>
      <c r="AA61" s="250"/>
      <c r="AB61" s="250"/>
      <c r="AC61" s="250"/>
      <c r="AD61" s="250"/>
      <c r="AE61" s="250"/>
      <c r="AF61" s="250"/>
      <c r="AG61" s="250"/>
      <c r="AH61" s="250"/>
      <c r="AI61" s="250"/>
      <c r="AJ61" s="250"/>
      <c r="AK61" s="206"/>
    </row>
    <row r="62" spans="1:38" ht="30" customHeight="1">
      <c r="A62" s="205"/>
      <c r="B62" s="205"/>
      <c r="C62" s="205"/>
      <c r="D62" s="205"/>
      <c r="F62" s="250"/>
      <c r="G62" s="250"/>
      <c r="H62" s="250"/>
      <c r="I62" s="250"/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  <c r="U62" s="250"/>
      <c r="V62" s="250"/>
      <c r="W62" s="250"/>
      <c r="X62" s="250"/>
      <c r="Y62" s="250"/>
      <c r="Z62" s="250"/>
      <c r="AA62" s="250"/>
      <c r="AB62" s="250"/>
      <c r="AC62" s="250"/>
      <c r="AD62" s="250"/>
      <c r="AE62" s="250"/>
      <c r="AF62" s="250"/>
      <c r="AG62" s="250"/>
      <c r="AH62" s="250"/>
      <c r="AI62" s="250"/>
      <c r="AJ62" s="250"/>
      <c r="AK62" s="206"/>
    </row>
    <row r="63" spans="1:38" ht="30" customHeight="1">
      <c r="A63" s="205"/>
      <c r="B63" s="205"/>
      <c r="C63" s="205"/>
      <c r="D63" s="205"/>
      <c r="F63" s="250"/>
      <c r="G63" s="250"/>
      <c r="H63" s="250"/>
      <c r="I63" s="250"/>
      <c r="J63" s="250"/>
      <c r="K63" s="250"/>
      <c r="L63" s="250"/>
      <c r="M63" s="250"/>
      <c r="N63" s="250"/>
      <c r="O63" s="250"/>
      <c r="P63" s="250"/>
      <c r="Q63" s="250"/>
      <c r="R63" s="250"/>
      <c r="S63" s="250"/>
      <c r="T63" s="250"/>
      <c r="U63" s="250"/>
      <c r="V63" s="250"/>
      <c r="W63" s="250"/>
      <c r="X63" s="250"/>
      <c r="Y63" s="250"/>
      <c r="Z63" s="250"/>
      <c r="AA63" s="250"/>
      <c r="AB63" s="250"/>
      <c r="AC63" s="250"/>
      <c r="AD63" s="250"/>
      <c r="AE63" s="250"/>
      <c r="AF63" s="250"/>
      <c r="AG63" s="250"/>
      <c r="AH63" s="250"/>
      <c r="AI63" s="251"/>
      <c r="AJ63" s="251"/>
      <c r="AK63" s="2"/>
    </row>
    <row r="64" spans="1:38" ht="30" customHeight="1">
      <c r="A64" s="205"/>
      <c r="B64" s="205"/>
      <c r="C64" s="205"/>
      <c r="D64" s="205"/>
      <c r="F64" s="250"/>
      <c r="G64" s="250"/>
      <c r="H64" s="250"/>
      <c r="I64" s="250"/>
      <c r="J64" s="250"/>
      <c r="K64" s="250"/>
      <c r="L64" s="250"/>
      <c r="M64" s="250"/>
      <c r="N64" s="250"/>
      <c r="O64" s="250"/>
      <c r="P64" s="250"/>
      <c r="Q64" s="250"/>
      <c r="R64" s="250"/>
      <c r="S64" s="250"/>
      <c r="T64" s="250"/>
      <c r="U64" s="250"/>
      <c r="V64" s="250"/>
      <c r="W64" s="250"/>
      <c r="X64" s="250"/>
      <c r="Y64" s="250"/>
      <c r="Z64" s="250"/>
      <c r="AA64" s="250"/>
      <c r="AB64" s="250"/>
      <c r="AC64" s="250"/>
      <c r="AD64" s="250"/>
      <c r="AE64" s="250"/>
      <c r="AF64" s="250"/>
      <c r="AG64" s="250"/>
      <c r="AH64" s="250"/>
      <c r="AI64" s="251"/>
      <c r="AJ64" s="251"/>
      <c r="AK64" s="2"/>
    </row>
    <row r="65" spans="1:37" ht="30" customHeight="1">
      <c r="A65" s="205"/>
      <c r="B65" s="205"/>
      <c r="C65" s="205"/>
      <c r="D65" s="205"/>
      <c r="F65" s="250"/>
      <c r="G65" s="250"/>
      <c r="H65" s="250"/>
      <c r="I65" s="250"/>
      <c r="J65" s="250"/>
      <c r="K65" s="250"/>
      <c r="L65" s="250"/>
      <c r="M65" s="250"/>
      <c r="N65" s="250"/>
      <c r="O65" s="250"/>
      <c r="P65" s="250"/>
      <c r="Q65" s="250"/>
      <c r="R65" s="250"/>
      <c r="S65" s="250"/>
      <c r="T65" s="250"/>
      <c r="U65" s="250"/>
      <c r="V65" s="250"/>
      <c r="W65" s="250"/>
      <c r="X65" s="250"/>
      <c r="Y65" s="250"/>
      <c r="Z65" s="250"/>
      <c r="AA65" s="250"/>
      <c r="AB65" s="250"/>
      <c r="AC65" s="250"/>
      <c r="AD65" s="250"/>
      <c r="AE65" s="250"/>
      <c r="AF65" s="250"/>
      <c r="AG65" s="250"/>
      <c r="AH65" s="250"/>
      <c r="AI65" s="251"/>
      <c r="AJ65" s="251"/>
      <c r="AK65" s="2"/>
    </row>
    <row r="66" spans="1:37">
      <c r="A66" s="205"/>
      <c r="B66" s="205"/>
      <c r="C66" s="205"/>
      <c r="D66" s="205"/>
      <c r="F66" s="250"/>
      <c r="G66" s="250"/>
      <c r="H66" s="250"/>
      <c r="I66" s="250"/>
      <c r="J66" s="250"/>
      <c r="K66" s="250"/>
      <c r="L66" s="250"/>
      <c r="M66" s="250"/>
      <c r="N66" s="250"/>
      <c r="O66" s="250"/>
      <c r="P66" s="250"/>
      <c r="Q66" s="250"/>
      <c r="R66" s="250"/>
      <c r="S66" s="250"/>
      <c r="T66" s="250"/>
      <c r="U66" s="250"/>
      <c r="V66" s="250"/>
      <c r="W66" s="250"/>
      <c r="X66" s="250"/>
      <c r="Y66" s="250"/>
      <c r="Z66" s="250"/>
      <c r="AA66" s="250"/>
      <c r="AB66" s="250"/>
      <c r="AC66" s="250"/>
      <c r="AD66" s="250"/>
      <c r="AE66" s="250"/>
      <c r="AF66" s="250"/>
      <c r="AG66" s="250"/>
      <c r="AH66" s="250"/>
      <c r="AI66" s="251"/>
      <c r="AJ66" s="251"/>
      <c r="AK66" s="2"/>
    </row>
    <row r="67" spans="1:37">
      <c r="A67" s="205"/>
      <c r="B67" s="205"/>
      <c r="C67" s="205"/>
      <c r="D67" s="205"/>
      <c r="AH67" s="251"/>
      <c r="AI67" s="251"/>
      <c r="AJ67" s="251"/>
      <c r="AK67" s="2"/>
    </row>
    <row r="68" spans="1:37">
      <c r="A68" s="205"/>
      <c r="B68" s="205"/>
      <c r="C68" s="205"/>
      <c r="D68" s="205"/>
      <c r="AH68" s="251"/>
      <c r="AI68" s="251"/>
      <c r="AJ68" s="251"/>
      <c r="AK68" s="2"/>
    </row>
    <row r="69" spans="1:37">
      <c r="A69" s="205"/>
      <c r="B69" s="205"/>
      <c r="C69" s="205"/>
      <c r="D69" s="205"/>
      <c r="AH69" s="251"/>
      <c r="AI69" s="251"/>
      <c r="AJ69" s="251"/>
      <c r="AK69" s="2"/>
    </row>
    <row r="70" spans="1:37">
      <c r="A70" s="205"/>
      <c r="B70" s="205"/>
      <c r="C70" s="205"/>
      <c r="D70" s="205"/>
      <c r="AH70" s="251"/>
      <c r="AI70" s="251"/>
      <c r="AJ70" s="251"/>
      <c r="AK70" s="2"/>
    </row>
    <row r="71" spans="1:37">
      <c r="A71" s="205"/>
      <c r="B71" s="205"/>
      <c r="C71" s="205"/>
      <c r="D71" s="205"/>
      <c r="AH71" s="251"/>
      <c r="AI71" s="251"/>
      <c r="AJ71" s="251"/>
      <c r="AK71" s="2"/>
    </row>
    <row r="72" spans="1:37">
      <c r="A72" s="205"/>
      <c r="B72" s="205"/>
      <c r="C72" s="205"/>
      <c r="D72" s="205"/>
      <c r="AH72" s="251"/>
      <c r="AI72" s="251"/>
      <c r="AJ72" s="251"/>
      <c r="AK72" s="2"/>
    </row>
    <row r="73" spans="1:37">
      <c r="A73" s="205"/>
      <c r="B73" s="205"/>
      <c r="C73" s="205"/>
      <c r="D73" s="205"/>
      <c r="AH73" s="251"/>
      <c r="AI73" s="251"/>
      <c r="AJ73" s="251"/>
      <c r="AK73" s="2"/>
    </row>
    <row r="74" spans="1:37">
      <c r="A74" s="205"/>
      <c r="B74" s="205"/>
      <c r="C74" s="205"/>
      <c r="D74" s="205"/>
      <c r="AH74" s="251"/>
      <c r="AI74" s="251"/>
      <c r="AJ74" s="251"/>
      <c r="AK74" s="2"/>
    </row>
    <row r="75" spans="1:37">
      <c r="A75" s="205"/>
      <c r="B75" s="205"/>
      <c r="C75" s="205"/>
      <c r="D75" s="205"/>
      <c r="AH75" s="251"/>
      <c r="AI75" s="251"/>
      <c r="AJ75" s="251"/>
      <c r="AK75" s="2"/>
    </row>
    <row r="76" spans="1:37">
      <c r="A76" s="205"/>
      <c r="B76" s="205"/>
      <c r="C76" s="205"/>
      <c r="D76" s="205"/>
      <c r="AH76" s="251"/>
      <c r="AI76" s="251"/>
      <c r="AJ76" s="251"/>
      <c r="AK76" s="2"/>
    </row>
    <row r="77" spans="1:37">
      <c r="A77" s="205"/>
      <c r="B77" s="205"/>
      <c r="C77" s="205"/>
      <c r="D77" s="205"/>
      <c r="AH77" s="251"/>
      <c r="AI77" s="251"/>
      <c r="AJ77" s="251"/>
      <c r="AK77" s="2"/>
    </row>
    <row r="78" spans="1:37">
      <c r="A78" s="205"/>
      <c r="B78" s="205"/>
      <c r="C78" s="205"/>
      <c r="D78" s="205"/>
      <c r="AH78" s="251"/>
      <c r="AI78" s="251"/>
      <c r="AJ78" s="251"/>
      <c r="AK78" s="2"/>
    </row>
    <row r="79" spans="1:37">
      <c r="A79" s="205"/>
      <c r="B79" s="205"/>
      <c r="C79" s="205"/>
      <c r="D79" s="205"/>
      <c r="AH79" s="251"/>
      <c r="AI79" s="251"/>
      <c r="AJ79" s="251"/>
      <c r="AK79" s="2"/>
    </row>
    <row r="80" spans="1:37">
      <c r="A80" s="205"/>
      <c r="B80" s="205"/>
      <c r="C80" s="205"/>
      <c r="D80" s="205"/>
      <c r="AH80" s="251"/>
      <c r="AI80" s="251"/>
      <c r="AJ80" s="251"/>
      <c r="AK80" s="2"/>
    </row>
    <row r="81" spans="1:37">
      <c r="A81" s="205"/>
      <c r="B81" s="205"/>
      <c r="C81" s="205"/>
      <c r="D81" s="205"/>
      <c r="AH81" s="251"/>
      <c r="AI81" s="251"/>
      <c r="AJ81" s="251"/>
      <c r="AK81" s="2"/>
    </row>
    <row r="82" spans="1:37">
      <c r="A82" s="205"/>
      <c r="B82" s="205"/>
      <c r="C82" s="205"/>
      <c r="D82" s="205"/>
      <c r="AH82" s="251"/>
      <c r="AI82" s="251"/>
      <c r="AJ82" s="251"/>
      <c r="AK82" s="2"/>
    </row>
    <row r="83" spans="1:37">
      <c r="AH83" s="251"/>
      <c r="AI83" s="251"/>
      <c r="AJ83" s="251"/>
      <c r="AK83" s="2"/>
    </row>
    <row r="84" spans="1:37">
      <c r="AH84" s="251"/>
      <c r="AI84" s="251"/>
      <c r="AJ84" s="251"/>
      <c r="AK84" s="2"/>
    </row>
    <row r="85" spans="1:37">
      <c r="AH85" s="251"/>
      <c r="AI85" s="251"/>
      <c r="AJ85" s="251"/>
      <c r="AK85" s="2"/>
    </row>
    <row r="86" spans="1:37">
      <c r="AH86" s="251"/>
      <c r="AI86" s="251"/>
      <c r="AJ86" s="251"/>
      <c r="AK86" s="2"/>
    </row>
    <row r="87" spans="1:37">
      <c r="AH87" s="251"/>
    </row>
    <row r="88" spans="1:37">
      <c r="AH88" s="251"/>
    </row>
    <row r="89" spans="1:37">
      <c r="AH89" s="251"/>
    </row>
    <row r="90" spans="1:37">
      <c r="AH90" s="251"/>
    </row>
    <row r="91" spans="1:37">
      <c r="AH91" s="251"/>
    </row>
    <row r="92" spans="1:37">
      <c r="AH92" s="251"/>
    </row>
    <row r="93" spans="1:37">
      <c r="AH93" s="251"/>
    </row>
    <row r="94" spans="1:37">
      <c r="AH94" s="251"/>
    </row>
    <row r="95" spans="1:37">
      <c r="AH95" s="251"/>
    </row>
    <row r="96" spans="1:37">
      <c r="AH96" s="251"/>
    </row>
    <row r="97" spans="34:34">
      <c r="AH97" s="251"/>
    </row>
    <row r="98" spans="34:34">
      <c r="AH98" s="251"/>
    </row>
    <row r="99" spans="34:34">
      <c r="AH99" s="251"/>
    </row>
    <row r="100" spans="34:34" hidden="1"/>
    <row r="101" spans="34:34" hidden="1"/>
    <row r="102" spans="34:34" hidden="1"/>
    <row r="103" spans="34:34" hidden="1"/>
    <row r="104" spans="34:34" hidden="1"/>
    <row r="105" spans="34:34" hidden="1"/>
    <row r="106" spans="34:34" hidden="1"/>
    <row r="107" spans="34:34" hidden="1"/>
    <row r="108" spans="34:34" hidden="1"/>
    <row r="109" spans="34:34" hidden="1"/>
    <row r="110" spans="34:34" hidden="1"/>
    <row r="111" spans="34:34" hidden="1"/>
  </sheetData>
  <mergeCells count="4">
    <mergeCell ref="C4:C27"/>
    <mergeCell ref="D4:D27"/>
    <mergeCell ref="C33:C55"/>
    <mergeCell ref="D33:D55"/>
  </mergeCells>
  <pageMargins left="0.23622047244094491" right="0.23622047244094491" top="0.74803149606299213" bottom="0.74803149606299213" header="0.31496062992125984" footer="0.31496062992125984"/>
  <pageSetup paperSize="9" scale="94" fitToWidth="0" pageOrder="overThenDown" orientation="landscape" r:id="rId1"/>
  <colBreaks count="4" manualBreakCount="4">
    <brk id="17" max="1048575" man="1"/>
    <brk id="23" max="1048575" man="1"/>
    <brk id="29" max="1048575" man="1"/>
    <brk id="3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btnGenererFactureRestaurant">
                <anchor moveWithCells="1" sizeWithCells="1">
                  <from>
                    <xdr:col>0</xdr:col>
                    <xdr:colOff>819150</xdr:colOff>
                    <xdr:row>1</xdr:row>
                    <xdr:rowOff>19050</xdr:rowOff>
                  </from>
                  <to>
                    <xdr:col>0</xdr:col>
                    <xdr:colOff>1409700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93" r:id="rId5" name="Button 21">
              <controlPr defaultSize="0" print="0" autoFill="0" autoPict="0" macro="[0]!btnGenererFactureRestaurant">
                <anchor moveWithCells="1" sizeWithCells="1">
                  <from>
                    <xdr:col>0</xdr:col>
                    <xdr:colOff>819150</xdr:colOff>
                    <xdr:row>30</xdr:row>
                    <xdr:rowOff>19050</xdr:rowOff>
                  </from>
                  <to>
                    <xdr:col>0</xdr:col>
                    <xdr:colOff>1409700</xdr:colOff>
                    <xdr:row>31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pageSetUpPr fitToPage="1"/>
  </sheetPr>
  <dimension ref="A1:H10"/>
  <sheetViews>
    <sheetView zoomScale="70" zoomScaleNormal="70" workbookViewId="0">
      <selection activeCell="Q5" sqref="Q5"/>
    </sheetView>
  </sheetViews>
  <sheetFormatPr baseColWidth="10" defaultRowHeight="14.5"/>
  <cols>
    <col min="1" max="1" width="8.54296875" style="354" customWidth="1"/>
    <col min="2" max="8" width="27.7265625" customWidth="1"/>
    <col min="9" max="9" width="12" customWidth="1"/>
  </cols>
  <sheetData>
    <row r="1" spans="1:8" s="357" customFormat="1" ht="36" customHeight="1">
      <c r="A1" s="398" t="s">
        <v>1143</v>
      </c>
      <c r="B1" s="399"/>
      <c r="C1" s="399"/>
      <c r="D1" s="399"/>
      <c r="E1" s="399"/>
      <c r="F1" s="399"/>
      <c r="G1" s="399"/>
      <c r="H1" s="400"/>
    </row>
    <row r="2" spans="1:8" s="376" customFormat="1" ht="36" customHeight="1">
      <c r="A2" s="358" t="s">
        <v>1140</v>
      </c>
      <c r="B2" s="359"/>
      <c r="C2" s="359"/>
      <c r="D2" s="359" t="s">
        <v>1141</v>
      </c>
      <c r="E2" s="359"/>
      <c r="F2" s="359"/>
      <c r="G2" s="374" t="s">
        <v>1142</v>
      </c>
      <c r="H2" s="375" t="s">
        <v>373</v>
      </c>
    </row>
    <row r="4" spans="1:8" s="367" customFormat="1" ht="36" customHeight="1">
      <c r="A4" s="355"/>
      <c r="B4" s="373" t="s">
        <v>356</v>
      </c>
      <c r="C4" s="373" t="s">
        <v>357</v>
      </c>
      <c r="D4" s="373" t="s">
        <v>358</v>
      </c>
      <c r="E4" s="373" t="s">
        <v>359</v>
      </c>
      <c r="F4" s="373" t="s">
        <v>360</v>
      </c>
      <c r="G4" s="373" t="s">
        <v>361</v>
      </c>
      <c r="H4" s="373" t="s">
        <v>362</v>
      </c>
    </row>
    <row r="5" spans="1:8" ht="110.25" customHeight="1">
      <c r="A5" s="356"/>
      <c r="B5" s="53"/>
      <c r="C5" s="53"/>
      <c r="D5" s="53"/>
      <c r="E5" s="53"/>
      <c r="F5" s="53"/>
      <c r="G5" s="53"/>
      <c r="H5" s="53"/>
    </row>
    <row r="6" spans="1:8" ht="110.25" customHeight="1">
      <c r="A6" s="356"/>
      <c r="B6" s="53"/>
      <c r="C6" s="53"/>
      <c r="D6" s="53"/>
      <c r="E6" s="53"/>
      <c r="F6" s="53"/>
      <c r="G6" s="53"/>
      <c r="H6" s="53"/>
    </row>
    <row r="7" spans="1:8" ht="110.25" customHeight="1">
      <c r="A7" s="356"/>
      <c r="B7" s="53"/>
      <c r="C7" s="53"/>
      <c r="D7" s="53"/>
      <c r="E7" s="53"/>
      <c r="F7" s="53"/>
      <c r="G7" s="53"/>
      <c r="H7" s="53"/>
    </row>
    <row r="8" spans="1:8" ht="110.25" customHeight="1">
      <c r="A8" s="356"/>
      <c r="B8" s="53"/>
      <c r="C8" s="53"/>
      <c r="D8" s="53"/>
      <c r="E8" s="53"/>
      <c r="F8" s="53"/>
      <c r="G8" s="53"/>
      <c r="H8" s="53"/>
    </row>
    <row r="9" spans="1:8" ht="110.25" customHeight="1">
      <c r="A9" s="356"/>
      <c r="B9" s="53"/>
      <c r="C9" s="53"/>
      <c r="D9" s="53"/>
      <c r="E9" s="53"/>
      <c r="F9" s="53"/>
      <c r="G9" s="53"/>
      <c r="H9" s="53"/>
    </row>
    <row r="10" spans="1:8" ht="110.25" customHeight="1">
      <c r="A10" s="372" t="s">
        <v>1139</v>
      </c>
      <c r="B10" s="53"/>
      <c r="C10" s="53"/>
      <c r="D10" s="53"/>
      <c r="E10" s="53"/>
      <c r="F10" s="53"/>
      <c r="G10" s="53"/>
      <c r="H10" s="53"/>
    </row>
  </sheetData>
  <mergeCells count="1">
    <mergeCell ref="A1:H1"/>
  </mergeCells>
  <pageMargins left="0.7" right="0.7" top="0.75" bottom="0.75" header="0.3" footer="0.3"/>
  <pageSetup paperSize="9" scale="64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4" name="Check Box 1">
              <controlPr defaultSize="0" autoFill="0" autoLine="0" autoPict="0">
                <anchor moveWithCells="1">
                  <from>
                    <xdr:col>6</xdr:col>
                    <xdr:colOff>1009650</xdr:colOff>
                    <xdr:row>1</xdr:row>
                    <xdr:rowOff>107950</xdr:rowOff>
                  </from>
                  <to>
                    <xdr:col>6</xdr:col>
                    <xdr:colOff>1314450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5" name="Check Box 2">
              <controlPr defaultSize="0" autoFill="0" autoLine="0" autoPict="0">
                <anchor moveWithCells="1">
                  <from>
                    <xdr:col>7</xdr:col>
                    <xdr:colOff>914400</xdr:colOff>
                    <xdr:row>1</xdr:row>
                    <xdr:rowOff>107950</xdr:rowOff>
                  </from>
                  <to>
                    <xdr:col>7</xdr:col>
                    <xdr:colOff>1200150</xdr:colOff>
                    <xdr:row>1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pageSetUpPr fitToPage="1"/>
  </sheetPr>
  <dimension ref="A1:K36"/>
  <sheetViews>
    <sheetView workbookViewId="0">
      <selection sqref="A1:XFD1048576"/>
    </sheetView>
  </sheetViews>
  <sheetFormatPr baseColWidth="10" defaultRowHeight="14.5"/>
  <cols>
    <col min="1" max="1" width="8.453125" style="354" bestFit="1" customWidth="1"/>
    <col min="2" max="11" width="12.1796875" customWidth="1"/>
    <col min="12" max="12" width="12" customWidth="1"/>
  </cols>
  <sheetData>
    <row r="1" spans="1:11" s="357" customFormat="1" ht="28.5">
      <c r="A1" s="398" t="s">
        <v>1143</v>
      </c>
      <c r="B1" s="399"/>
      <c r="C1" s="399"/>
      <c r="D1" s="399"/>
      <c r="E1" s="399"/>
      <c r="F1" s="399"/>
      <c r="G1" s="399"/>
      <c r="H1" s="399"/>
      <c r="I1" s="399"/>
      <c r="J1" s="399"/>
      <c r="K1" s="400"/>
    </row>
    <row r="2" spans="1:11" s="357" customFormat="1" ht="28.5">
      <c r="A2" s="358" t="s">
        <v>1140</v>
      </c>
      <c r="B2" s="359"/>
      <c r="C2" s="360"/>
      <c r="D2" s="360" t="s">
        <v>1141</v>
      </c>
      <c r="E2" s="361"/>
      <c r="F2" s="361"/>
      <c r="G2" s="360"/>
      <c r="H2" s="360"/>
      <c r="I2" s="360"/>
      <c r="J2" s="362" t="s">
        <v>1142</v>
      </c>
      <c r="K2" s="363" t="s">
        <v>373</v>
      </c>
    </row>
    <row r="4" spans="1:11" s="351" customFormat="1" ht="86.25" customHeight="1">
      <c r="A4" s="355" t="s">
        <v>95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</row>
    <row r="5" spans="1:11" ht="28.5" customHeight="1">
      <c r="A5" s="356">
        <v>1</v>
      </c>
      <c r="B5" s="53"/>
      <c r="C5" s="53"/>
      <c r="D5" s="53"/>
      <c r="E5" s="53"/>
      <c r="F5" s="53"/>
      <c r="G5" s="53"/>
      <c r="H5" s="53"/>
      <c r="I5" s="53"/>
      <c r="J5" s="53"/>
      <c r="K5" s="53"/>
    </row>
    <row r="6" spans="1:11" ht="28.5" customHeight="1">
      <c r="A6" s="356">
        <v>2</v>
      </c>
      <c r="B6" s="53"/>
      <c r="C6" s="53"/>
      <c r="D6" s="53"/>
      <c r="E6" s="53"/>
      <c r="F6" s="53"/>
      <c r="G6" s="53"/>
      <c r="H6" s="53"/>
      <c r="I6" s="53"/>
      <c r="J6" s="53"/>
      <c r="K6" s="53"/>
    </row>
    <row r="7" spans="1:11" ht="28.5" customHeight="1">
      <c r="A7" s="356">
        <v>3</v>
      </c>
      <c r="B7" s="53"/>
      <c r="C7" s="53"/>
      <c r="D7" s="53"/>
      <c r="E7" s="53"/>
      <c r="F7" s="53"/>
      <c r="G7" s="53"/>
      <c r="H7" s="53"/>
      <c r="I7" s="53"/>
      <c r="J7" s="53"/>
      <c r="K7" s="53"/>
    </row>
    <row r="8" spans="1:11" ht="28.5" customHeight="1">
      <c r="A8" s="356">
        <v>4</v>
      </c>
      <c r="B8" s="53"/>
      <c r="C8" s="53"/>
      <c r="D8" s="53"/>
      <c r="E8" s="53"/>
      <c r="F8" s="53"/>
      <c r="G8" s="53"/>
      <c r="H8" s="53"/>
      <c r="I8" s="53"/>
      <c r="J8" s="53"/>
      <c r="K8" s="53"/>
    </row>
    <row r="9" spans="1:11" ht="28.5" customHeight="1">
      <c r="A9" s="356">
        <v>5</v>
      </c>
      <c r="B9" s="53"/>
      <c r="C9" s="53"/>
      <c r="D9" s="53"/>
      <c r="E9" s="53"/>
      <c r="F9" s="53"/>
      <c r="G9" s="53"/>
      <c r="H9" s="53"/>
      <c r="I9" s="53"/>
      <c r="J9" s="53"/>
      <c r="K9" s="53"/>
    </row>
    <row r="10" spans="1:11" ht="28.5" customHeight="1">
      <c r="A10" s="356">
        <v>6</v>
      </c>
      <c r="B10" s="53"/>
      <c r="C10" s="53"/>
      <c r="D10" s="53"/>
      <c r="E10" s="53"/>
      <c r="F10" s="53"/>
      <c r="G10" s="53"/>
      <c r="H10" s="53"/>
      <c r="I10" s="53"/>
      <c r="J10" s="53"/>
      <c r="K10" s="53"/>
    </row>
    <row r="11" spans="1:11" ht="28.5" customHeight="1">
      <c r="A11" s="356">
        <v>7</v>
      </c>
      <c r="B11" s="53"/>
      <c r="C11" s="53"/>
      <c r="D11" s="53"/>
      <c r="E11" s="53"/>
      <c r="F11" s="53"/>
      <c r="G11" s="53"/>
      <c r="H11" s="53"/>
      <c r="I11" s="53"/>
      <c r="J11" s="53"/>
      <c r="K11" s="53"/>
    </row>
    <row r="12" spans="1:11" ht="28.5" customHeight="1">
      <c r="A12" s="356">
        <v>8</v>
      </c>
      <c r="B12" s="53"/>
      <c r="C12" s="53"/>
      <c r="D12" s="53"/>
      <c r="E12" s="53"/>
      <c r="F12" s="53"/>
      <c r="G12" s="53"/>
      <c r="H12" s="53"/>
      <c r="I12" s="53"/>
      <c r="J12" s="53"/>
      <c r="K12" s="53"/>
    </row>
    <row r="13" spans="1:11" ht="28.5" customHeight="1">
      <c r="A13" s="356">
        <v>9</v>
      </c>
      <c r="B13" s="53"/>
      <c r="C13" s="53"/>
      <c r="D13" s="53"/>
      <c r="E13" s="53"/>
      <c r="F13" s="53"/>
      <c r="G13" s="53"/>
      <c r="H13" s="53"/>
      <c r="I13" s="53"/>
      <c r="J13" s="53"/>
      <c r="K13" s="53"/>
    </row>
    <row r="14" spans="1:11" ht="28.5" customHeight="1">
      <c r="A14" s="356">
        <v>10</v>
      </c>
      <c r="B14" s="53"/>
      <c r="C14" s="53"/>
      <c r="D14" s="53"/>
      <c r="E14" s="53"/>
      <c r="F14" s="53"/>
      <c r="G14" s="53"/>
      <c r="H14" s="53"/>
      <c r="I14" s="53"/>
      <c r="J14" s="53"/>
      <c r="K14" s="53"/>
    </row>
    <row r="15" spans="1:11" ht="28.5" customHeight="1">
      <c r="A15" s="356">
        <v>11</v>
      </c>
      <c r="B15" s="53"/>
      <c r="C15" s="53"/>
      <c r="D15" s="53"/>
      <c r="E15" s="53"/>
      <c r="F15" s="53"/>
      <c r="G15" s="53"/>
      <c r="H15" s="53"/>
      <c r="I15" s="53"/>
      <c r="J15" s="53"/>
      <c r="K15" s="53"/>
    </row>
    <row r="16" spans="1:11" ht="28.5" customHeight="1">
      <c r="A16" s="356">
        <v>12</v>
      </c>
      <c r="B16" s="53"/>
      <c r="C16" s="53"/>
      <c r="D16" s="53"/>
      <c r="E16" s="53"/>
      <c r="F16" s="53"/>
      <c r="G16" s="53"/>
      <c r="H16" s="53"/>
      <c r="I16" s="53"/>
      <c r="J16" s="53"/>
      <c r="K16" s="53"/>
    </row>
    <row r="17" spans="1:11" ht="28.5" customHeight="1">
      <c r="A17" s="356">
        <v>13</v>
      </c>
      <c r="B17" s="53"/>
      <c r="C17" s="53"/>
      <c r="D17" s="53"/>
      <c r="E17" s="53"/>
      <c r="F17" s="53"/>
      <c r="G17" s="53"/>
      <c r="H17" s="53"/>
      <c r="I17" s="53"/>
      <c r="J17" s="53"/>
      <c r="K17" s="53"/>
    </row>
    <row r="18" spans="1:11" ht="28.5" customHeight="1">
      <c r="A18" s="356">
        <v>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</row>
    <row r="19" spans="1:11" ht="28.5" customHeight="1">
      <c r="A19" s="356">
        <v>15</v>
      </c>
      <c r="B19" s="53"/>
      <c r="C19" s="53"/>
      <c r="D19" s="53"/>
      <c r="E19" s="53"/>
      <c r="F19" s="53"/>
      <c r="G19" s="53"/>
      <c r="H19" s="53"/>
      <c r="I19" s="53"/>
      <c r="J19" s="53"/>
      <c r="K19" s="53"/>
    </row>
    <row r="20" spans="1:11" ht="28.5" customHeight="1">
      <c r="A20" s="356">
        <v>16</v>
      </c>
      <c r="B20" s="53"/>
      <c r="C20" s="53"/>
      <c r="D20" s="53"/>
      <c r="E20" s="53"/>
      <c r="F20" s="53"/>
      <c r="G20" s="53"/>
      <c r="H20" s="53"/>
      <c r="I20" s="53"/>
      <c r="J20" s="53"/>
      <c r="K20" s="53"/>
    </row>
    <row r="21" spans="1:11" ht="28.5" customHeight="1">
      <c r="A21" s="356">
        <v>17</v>
      </c>
      <c r="B21" s="53"/>
      <c r="C21" s="53"/>
      <c r="D21" s="53"/>
      <c r="E21" s="53"/>
      <c r="F21" s="53"/>
      <c r="G21" s="53"/>
      <c r="H21" s="53"/>
      <c r="I21" s="53"/>
      <c r="J21" s="53"/>
      <c r="K21" s="53"/>
    </row>
    <row r="22" spans="1:11" ht="28.5" customHeight="1">
      <c r="A22" s="356">
        <v>18</v>
      </c>
      <c r="B22" s="53"/>
      <c r="C22" s="53"/>
      <c r="D22" s="53"/>
      <c r="E22" s="53"/>
      <c r="F22" s="53"/>
      <c r="G22" s="53"/>
      <c r="H22" s="53"/>
      <c r="I22" s="53"/>
      <c r="J22" s="53"/>
      <c r="K22" s="53"/>
    </row>
    <row r="23" spans="1:11" ht="28.5" customHeight="1">
      <c r="A23" s="356">
        <v>19</v>
      </c>
      <c r="B23" s="53"/>
      <c r="C23" s="53"/>
      <c r="D23" s="53"/>
      <c r="E23" s="53"/>
      <c r="F23" s="53"/>
      <c r="G23" s="53"/>
      <c r="H23" s="53"/>
      <c r="I23" s="53"/>
      <c r="J23" s="53"/>
      <c r="K23" s="53"/>
    </row>
    <row r="24" spans="1:11" ht="28.5" customHeight="1">
      <c r="A24" s="356">
        <v>20</v>
      </c>
      <c r="B24" s="53"/>
      <c r="C24" s="53"/>
      <c r="D24" s="53"/>
      <c r="E24" s="53"/>
      <c r="F24" s="53"/>
      <c r="G24" s="53"/>
      <c r="H24" s="53"/>
      <c r="I24" s="53"/>
      <c r="J24" s="53"/>
      <c r="K24" s="53"/>
    </row>
    <row r="25" spans="1:11" ht="28.5" customHeight="1">
      <c r="A25" s="356">
        <v>21</v>
      </c>
      <c r="B25" s="53"/>
      <c r="C25" s="53"/>
      <c r="D25" s="53"/>
      <c r="E25" s="53"/>
      <c r="F25" s="53"/>
      <c r="G25" s="53"/>
      <c r="H25" s="53"/>
      <c r="I25" s="53"/>
      <c r="J25" s="53"/>
      <c r="K25" s="53"/>
    </row>
    <row r="26" spans="1:11" ht="28.5" customHeight="1">
      <c r="A26" s="356">
        <v>22</v>
      </c>
      <c r="B26" s="53"/>
      <c r="C26" s="53"/>
      <c r="D26" s="53"/>
      <c r="E26" s="53"/>
      <c r="F26" s="53"/>
      <c r="G26" s="53"/>
      <c r="H26" s="53"/>
      <c r="I26" s="53"/>
      <c r="J26" s="53"/>
      <c r="K26" s="53"/>
    </row>
    <row r="27" spans="1:11" ht="28.5" customHeight="1">
      <c r="A27" s="356">
        <v>23</v>
      </c>
      <c r="B27" s="53"/>
      <c r="C27" s="53"/>
      <c r="D27" s="53"/>
      <c r="E27" s="53"/>
      <c r="F27" s="53"/>
      <c r="G27" s="53"/>
      <c r="H27" s="53"/>
      <c r="I27" s="53"/>
      <c r="J27" s="53"/>
      <c r="K27" s="53"/>
    </row>
    <row r="28" spans="1:11" ht="28.5" customHeight="1">
      <c r="A28" s="356">
        <v>24</v>
      </c>
      <c r="B28" s="53"/>
      <c r="C28" s="53"/>
      <c r="D28" s="53"/>
      <c r="E28" s="53"/>
      <c r="F28" s="53"/>
      <c r="G28" s="53"/>
      <c r="H28" s="53"/>
      <c r="I28" s="53"/>
      <c r="J28" s="53"/>
      <c r="K28" s="53"/>
    </row>
    <row r="29" spans="1:11" ht="28.5" customHeight="1">
      <c r="A29" s="356">
        <v>25</v>
      </c>
      <c r="B29" s="53"/>
      <c r="C29" s="53"/>
      <c r="D29" s="53"/>
      <c r="E29" s="53"/>
      <c r="F29" s="53"/>
      <c r="G29" s="53"/>
      <c r="H29" s="53"/>
      <c r="I29" s="53"/>
      <c r="J29" s="53"/>
      <c r="K29" s="53"/>
    </row>
    <row r="30" spans="1:11" ht="28.5" customHeight="1">
      <c r="A30" s="356">
        <v>26</v>
      </c>
      <c r="B30" s="53"/>
      <c r="C30" s="53"/>
      <c r="D30" s="53"/>
      <c r="E30" s="53"/>
      <c r="F30" s="53"/>
      <c r="G30" s="53"/>
      <c r="H30" s="53"/>
      <c r="I30" s="53"/>
      <c r="J30" s="53"/>
      <c r="K30" s="53"/>
    </row>
    <row r="31" spans="1:11" ht="28.5" customHeight="1">
      <c r="A31" s="356">
        <v>27</v>
      </c>
      <c r="B31" s="53"/>
      <c r="C31" s="53"/>
      <c r="D31" s="53"/>
      <c r="E31" s="53"/>
      <c r="F31" s="53"/>
      <c r="G31" s="53"/>
      <c r="H31" s="53"/>
      <c r="I31" s="53"/>
      <c r="J31" s="53"/>
      <c r="K31" s="53"/>
    </row>
    <row r="32" spans="1:11" ht="28.5" customHeight="1">
      <c r="A32" s="356">
        <v>28</v>
      </c>
      <c r="B32" s="53"/>
      <c r="C32" s="53"/>
      <c r="D32" s="53"/>
      <c r="E32" s="53"/>
      <c r="F32" s="53"/>
      <c r="G32" s="53"/>
      <c r="H32" s="53"/>
      <c r="I32" s="53"/>
      <c r="J32" s="53"/>
      <c r="K32" s="53"/>
    </row>
    <row r="33" spans="1:11" ht="28.5" customHeight="1">
      <c r="A33" s="356">
        <v>29</v>
      </c>
      <c r="B33" s="53"/>
      <c r="C33" s="53"/>
      <c r="D33" s="53"/>
      <c r="E33" s="53"/>
      <c r="F33" s="53"/>
      <c r="G33" s="53"/>
      <c r="H33" s="53"/>
      <c r="I33" s="53"/>
      <c r="J33" s="53"/>
      <c r="K33" s="53"/>
    </row>
    <row r="34" spans="1:11" ht="28.5" customHeight="1">
      <c r="A34" s="356">
        <v>30</v>
      </c>
      <c r="B34" s="53"/>
      <c r="C34" s="53"/>
      <c r="D34" s="53"/>
      <c r="E34" s="53"/>
      <c r="F34" s="53"/>
      <c r="G34" s="53"/>
      <c r="H34" s="53"/>
      <c r="I34" s="53"/>
      <c r="J34" s="53"/>
      <c r="K34" s="53"/>
    </row>
    <row r="35" spans="1:11" ht="28.5" customHeight="1">
      <c r="A35" s="356">
        <v>31</v>
      </c>
      <c r="B35" s="53"/>
      <c r="C35" s="53"/>
      <c r="D35" s="53"/>
      <c r="E35" s="53"/>
      <c r="F35" s="53"/>
      <c r="G35" s="53"/>
      <c r="H35" s="53"/>
      <c r="I35" s="53"/>
      <c r="J35" s="53"/>
      <c r="K35" s="53"/>
    </row>
    <row r="36" spans="1:11" ht="28.5" customHeight="1">
      <c r="A36" s="356" t="s">
        <v>1139</v>
      </c>
      <c r="B36" s="53"/>
      <c r="C36" s="53"/>
      <c r="D36" s="53"/>
      <c r="E36" s="53"/>
      <c r="F36" s="53"/>
      <c r="G36" s="53"/>
      <c r="H36" s="53"/>
      <c r="I36" s="53"/>
      <c r="J36" s="53"/>
      <c r="K36" s="53"/>
    </row>
  </sheetData>
  <mergeCells count="1">
    <mergeCell ref="A1:K1"/>
  </mergeCells>
  <pageMargins left="0.39370078740157483" right="0.39370078740157483" top="0.39370078740157483" bottom="0.39370078740157483" header="0.31496062992125984" footer="0.31496062992125984"/>
  <pageSetup paperSize="9" scale="7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4" name="Check Box 1">
              <controlPr defaultSize="0" autoFill="0" autoLine="0" autoPict="0">
                <anchor moveWithCells="1">
                  <from>
                    <xdr:col>9</xdr:col>
                    <xdr:colOff>57150</xdr:colOff>
                    <xdr:row>1</xdr:row>
                    <xdr:rowOff>88900</xdr:rowOff>
                  </from>
                  <to>
                    <xdr:col>9</xdr:col>
                    <xdr:colOff>361950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5" name="Check Box 2">
              <controlPr defaultSize="0" autoFill="0" autoLine="0" autoPict="0">
                <anchor moveWithCells="1">
                  <from>
                    <xdr:col>9</xdr:col>
                    <xdr:colOff>793750</xdr:colOff>
                    <xdr:row>1</xdr:row>
                    <xdr:rowOff>88900</xdr:rowOff>
                  </from>
                  <to>
                    <xdr:col>10</xdr:col>
                    <xdr:colOff>285750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0">
    <pageSetUpPr fitToPage="1"/>
  </sheetPr>
  <dimension ref="B1:AV201"/>
  <sheetViews>
    <sheetView tabSelected="1" topLeftCell="J1" zoomScale="85" zoomScaleNormal="85" workbookViewId="0">
      <selection activeCell="U6" sqref="U6"/>
    </sheetView>
  </sheetViews>
  <sheetFormatPr baseColWidth="10" defaultColWidth="11.453125" defaultRowHeight="15.5"/>
  <cols>
    <col min="1" max="1" width="3.54296875" style="168" customWidth="1"/>
    <col min="2" max="2" width="2.81640625" style="168" customWidth="1"/>
    <col min="3" max="6" width="12.81640625" style="168" customWidth="1"/>
    <col min="7" max="7" width="2.26953125" style="168" customWidth="1"/>
    <col min="8" max="8" width="12.81640625" style="168" customWidth="1"/>
    <col min="9" max="9" width="2.54296875" style="168" customWidth="1"/>
    <col min="10" max="10" width="2.81640625" style="168" customWidth="1"/>
    <col min="11" max="11" width="2.54296875" style="168" customWidth="1"/>
    <col min="12" max="12" width="21.1796875" style="168" customWidth="1"/>
    <col min="13" max="17" width="12.81640625" style="168" customWidth="1"/>
    <col min="18" max="18" width="18.54296875" style="168" bestFit="1" customWidth="1"/>
    <col min="19" max="19" width="2.54296875" style="168" customWidth="1"/>
    <col min="20" max="20" width="3.453125" style="168" customWidth="1"/>
    <col min="21" max="21" width="12.81640625" style="168" customWidth="1"/>
    <col min="22" max="23" width="2.54296875" style="168" customWidth="1"/>
    <col min="24" max="24" width="28" style="168" customWidth="1"/>
    <col min="25" max="27" width="12.81640625" style="168" customWidth="1"/>
    <col min="28" max="28" width="18.54296875" style="168" bestFit="1" customWidth="1"/>
    <col min="29" max="29" width="2.54296875" style="168" customWidth="1"/>
    <col min="30" max="30" width="2.81640625" style="168" customWidth="1"/>
    <col min="31" max="31" width="5.7265625" style="188" customWidth="1"/>
    <col min="32" max="42" width="10.7265625" style="47" customWidth="1"/>
    <col min="43" max="44" width="10.7265625" style="48" customWidth="1"/>
    <col min="45" max="45" width="5.54296875" style="188" customWidth="1"/>
    <col min="46" max="46" width="1.81640625" style="168" customWidth="1"/>
    <col min="47" max="16384" width="11.453125" style="168"/>
  </cols>
  <sheetData>
    <row r="1" spans="2:48">
      <c r="AF1" s="188"/>
      <c r="AG1" s="188"/>
      <c r="AH1" s="188"/>
      <c r="AI1" s="188"/>
      <c r="AJ1" s="188"/>
      <c r="AK1" s="188"/>
      <c r="AL1" s="188"/>
      <c r="AM1" s="188"/>
      <c r="AN1" s="188"/>
      <c r="AO1" s="188"/>
      <c r="AP1" s="188"/>
      <c r="AQ1" s="188"/>
      <c r="AR1" s="188"/>
    </row>
    <row r="2" spans="2:48" ht="21" customHeight="1">
      <c r="B2" s="185"/>
      <c r="C2" s="186" t="s">
        <v>139</v>
      </c>
      <c r="D2" s="186"/>
      <c r="E2" s="186"/>
      <c r="F2" s="186"/>
      <c r="G2" s="186"/>
      <c r="H2" s="186"/>
      <c r="I2" s="187"/>
      <c r="V2" s="169"/>
      <c r="AB2" s="236" t="s">
        <v>1192</v>
      </c>
      <c r="AE2" s="189"/>
      <c r="AF2" s="410"/>
      <c r="AG2" s="410"/>
      <c r="AH2" s="410"/>
      <c r="AI2" s="410"/>
      <c r="AJ2" s="410"/>
      <c r="AK2" s="410"/>
      <c r="AL2" s="410"/>
      <c r="AM2" s="410"/>
      <c r="AN2" s="410"/>
      <c r="AO2" s="410"/>
      <c r="AP2" s="410"/>
      <c r="AQ2" s="410"/>
      <c r="AR2" s="410"/>
      <c r="AS2" s="189"/>
    </row>
    <row r="3" spans="2:48" ht="9" customHeight="1">
      <c r="AE3" s="189"/>
      <c r="AF3" s="410"/>
      <c r="AG3" s="410"/>
      <c r="AH3" s="410"/>
      <c r="AI3" s="410"/>
      <c r="AJ3" s="410"/>
      <c r="AK3" s="410"/>
      <c r="AL3" s="410"/>
      <c r="AM3" s="410"/>
      <c r="AN3" s="410"/>
      <c r="AO3" s="410"/>
      <c r="AP3" s="410"/>
      <c r="AQ3" s="410"/>
      <c r="AR3" s="410"/>
      <c r="AS3" s="189"/>
    </row>
    <row r="4" spans="2:48" ht="26">
      <c r="B4" s="171"/>
      <c r="C4" s="183" t="s">
        <v>549</v>
      </c>
      <c r="D4" s="181"/>
      <c r="E4" s="181"/>
      <c r="F4" s="181"/>
      <c r="G4" s="181"/>
      <c r="H4" s="181"/>
      <c r="I4" s="173"/>
      <c r="K4" s="171"/>
      <c r="L4" s="182" t="s">
        <v>603</v>
      </c>
      <c r="M4" s="172"/>
      <c r="N4" s="172"/>
      <c r="O4" s="172"/>
      <c r="P4" s="172"/>
      <c r="Q4" s="172"/>
      <c r="R4" s="172"/>
      <c r="S4" s="173"/>
      <c r="U4" s="190" t="s">
        <v>552</v>
      </c>
      <c r="V4" s="169"/>
      <c r="W4" s="171"/>
      <c r="X4" s="182" t="s">
        <v>95</v>
      </c>
      <c r="Y4" s="172"/>
      <c r="Z4" s="172"/>
      <c r="AA4" s="172"/>
      <c r="AB4" s="172"/>
      <c r="AC4" s="173"/>
      <c r="AE4" s="189"/>
      <c r="AF4" s="215" t="s">
        <v>139</v>
      </c>
      <c r="AL4" s="49"/>
      <c r="AM4" s="49"/>
      <c r="AN4" s="49"/>
      <c r="AO4" s="49"/>
      <c r="AP4" s="49"/>
      <c r="AQ4" s="50"/>
      <c r="AR4" s="51"/>
      <c r="AS4" s="189"/>
    </row>
    <row r="5" spans="2:48" ht="21">
      <c r="B5" s="174"/>
      <c r="C5" s="170" t="s">
        <v>332</v>
      </c>
      <c r="D5" s="424">
        <v>42716</v>
      </c>
      <c r="E5" s="424"/>
      <c r="F5" s="424"/>
      <c r="G5" s="169"/>
      <c r="H5" s="190" t="s">
        <v>546</v>
      </c>
      <c r="I5" s="175"/>
      <c r="K5" s="174"/>
      <c r="N5" s="190" t="s">
        <v>553</v>
      </c>
      <c r="O5" s="190" t="s">
        <v>1937</v>
      </c>
      <c r="P5" s="168" t="s">
        <v>1196</v>
      </c>
      <c r="Q5" s="168" t="s">
        <v>1197</v>
      </c>
      <c r="S5" s="175"/>
      <c r="V5" s="169"/>
      <c r="W5" s="174"/>
      <c r="Y5" s="190" t="s">
        <v>554</v>
      </c>
      <c r="Z5" s="243" t="s">
        <v>604</v>
      </c>
      <c r="AA5" s="243" t="s">
        <v>553</v>
      </c>
      <c r="AB5" s="169"/>
      <c r="AC5" s="175"/>
      <c r="AE5" s="189"/>
      <c r="AF5" s="293" t="str">
        <f>FrmFactureTitre</f>
        <v>Du 01/11/2016 au 3O/11/2016</v>
      </c>
      <c r="AG5" s="294"/>
      <c r="AH5" s="294"/>
      <c r="AI5" s="294"/>
      <c r="AJ5" s="294"/>
      <c r="AK5" s="294"/>
      <c r="AL5" s="294"/>
      <c r="AM5" s="294"/>
      <c r="AN5" s="294"/>
      <c r="AO5" s="294"/>
      <c r="AP5" s="294"/>
      <c r="AQ5" s="295"/>
      <c r="AR5" s="296"/>
      <c r="AS5" s="297"/>
    </row>
    <row r="6" spans="2:48" ht="15.75" customHeight="1">
      <c r="B6" s="174"/>
      <c r="C6" s="170" t="s">
        <v>63</v>
      </c>
      <c r="D6" s="406" t="s">
        <v>3461</v>
      </c>
      <c r="E6" s="406"/>
      <c r="F6" s="406"/>
      <c r="G6" s="169"/>
      <c r="H6" s="190" t="s">
        <v>547</v>
      </c>
      <c r="I6" s="175"/>
      <c r="K6" s="174"/>
      <c r="L6" s="170"/>
      <c r="M6" s="170"/>
      <c r="N6" s="170"/>
      <c r="O6" s="210" t="s">
        <v>64</v>
      </c>
      <c r="P6" s="210"/>
      <c r="Q6" s="210"/>
      <c r="R6" s="211">
        <f>SUM(R8:R81)</f>
        <v>747.1499969959259</v>
      </c>
      <c r="S6" s="175"/>
      <c r="U6" s="190" t="s">
        <v>551</v>
      </c>
      <c r="V6" s="169"/>
      <c r="W6" s="174"/>
      <c r="X6" s="170"/>
      <c r="Y6" s="170"/>
      <c r="Z6" s="170"/>
      <c r="AA6" s="210" t="s">
        <v>64</v>
      </c>
      <c r="AB6" s="211">
        <f>SUM(AB8:AB200)</f>
        <v>799.35</v>
      </c>
      <c r="AC6" s="175"/>
      <c r="AE6" s="189"/>
      <c r="AF6" s="294"/>
      <c r="AG6" s="297"/>
      <c r="AH6" s="294"/>
      <c r="AI6" s="294"/>
      <c r="AJ6" s="294"/>
      <c r="AK6" s="294"/>
      <c r="AL6" s="294"/>
      <c r="AM6" s="294"/>
      <c r="AN6" s="294"/>
      <c r="AO6" s="294"/>
      <c r="AP6" s="294"/>
      <c r="AQ6" s="295"/>
      <c r="AR6" s="295"/>
      <c r="AS6" s="297"/>
      <c r="AV6" s="168" t="s">
        <v>556</v>
      </c>
    </row>
    <row r="7" spans="2:48" ht="17.25" customHeight="1">
      <c r="B7" s="174"/>
      <c r="C7" s="170" t="s">
        <v>914</v>
      </c>
      <c r="D7" s="424">
        <v>42721</v>
      </c>
      <c r="E7" s="424"/>
      <c r="F7" s="424"/>
      <c r="G7" s="169"/>
      <c r="H7" s="169"/>
      <c r="I7" s="175"/>
      <c r="K7" s="174"/>
      <c r="L7" s="212" t="s">
        <v>386</v>
      </c>
      <c r="M7" s="213" t="s">
        <v>335</v>
      </c>
      <c r="N7" s="213" t="s">
        <v>344</v>
      </c>
      <c r="O7" s="214" t="s">
        <v>1193</v>
      </c>
      <c r="P7" s="214" t="s">
        <v>1194</v>
      </c>
      <c r="Q7" s="214" t="s">
        <v>1195</v>
      </c>
      <c r="R7" s="214" t="s">
        <v>369</v>
      </c>
      <c r="S7" s="175"/>
      <c r="V7" s="169"/>
      <c r="W7" s="174"/>
      <c r="X7" s="212" t="s">
        <v>386</v>
      </c>
      <c r="Y7" s="213" t="s">
        <v>335</v>
      </c>
      <c r="Z7" s="213" t="s">
        <v>344</v>
      </c>
      <c r="AA7" s="214" t="s">
        <v>141</v>
      </c>
      <c r="AB7" s="214" t="s">
        <v>369</v>
      </c>
      <c r="AC7" s="175"/>
      <c r="AE7" s="189"/>
      <c r="AR7" s="296"/>
      <c r="AS7" s="297"/>
      <c r="AV7" s="168" t="s">
        <v>792</v>
      </c>
    </row>
    <row r="8" spans="2:48" ht="21">
      <c r="B8" s="174"/>
      <c r="C8" s="170" t="s">
        <v>762</v>
      </c>
      <c r="D8" s="425">
        <v>0.2</v>
      </c>
      <c r="E8" s="425"/>
      <c r="F8" s="425"/>
      <c r="G8" s="169"/>
      <c r="H8" s="169"/>
      <c r="I8" s="175"/>
      <c r="K8" s="174"/>
      <c r="L8" t="s">
        <v>17</v>
      </c>
      <c r="M8" t="s">
        <v>331</v>
      </c>
      <c r="N8" s="386">
        <v>275</v>
      </c>
      <c r="O8" s="63">
        <v>1.1499999761581421</v>
      </c>
      <c r="P8" s="63"/>
      <c r="Q8" s="368"/>
      <c r="R8" s="242">
        <f>IF(N8&lt;&gt;"",IF(O8&lt;&gt;"",N8*O8,IF(P8&lt;&gt;"",N8*P8*(1-IF(Q8&lt;&gt;"",Q8,0.055)),"")),"")</f>
        <v>316.24999344348907</v>
      </c>
      <c r="S8" s="175"/>
      <c r="V8" s="169"/>
      <c r="W8" s="174"/>
      <c r="X8" s="8" t="str">
        <f>IF(Produits!A2&lt;&gt;"",Produits!A2,"")</f>
        <v>Tradition</v>
      </c>
      <c r="Y8" s="184" t="str">
        <f>IF(Produits!F2&lt;&gt;"",Produits!F2,"")</f>
        <v>Boulangerie</v>
      </c>
      <c r="Z8" s="184">
        <v>309</v>
      </c>
      <c r="AA8" s="9">
        <f>IF(Produits!B2&lt;&gt;"",Produits!B2,"")</f>
        <v>1.1499999999999999</v>
      </c>
      <c r="AB8" s="9">
        <f>IF(Z8&lt;&gt;"",Z8*AA8,"")</f>
        <v>355.34999999999997</v>
      </c>
      <c r="AC8" s="175"/>
      <c r="AE8" s="189"/>
      <c r="AF8" s="293" t="str">
        <f>FrmFactureBoulangerieNom</f>
        <v>SARL LOLA</v>
      </c>
      <c r="AG8" s="294"/>
      <c r="AH8" s="294"/>
      <c r="AI8" s="294"/>
      <c r="AJ8" s="294"/>
      <c r="AK8" s="294"/>
      <c r="AL8" s="294"/>
      <c r="AM8" s="294"/>
      <c r="AN8" s="294"/>
      <c r="AO8" s="294"/>
      <c r="AP8" s="294"/>
      <c r="AQ8" s="295"/>
      <c r="AR8" s="296"/>
      <c r="AS8" s="297"/>
    </row>
    <row r="9" spans="2:48" ht="21">
      <c r="B9" s="176"/>
      <c r="C9" s="179"/>
      <c r="D9" s="179"/>
      <c r="E9" s="179"/>
      <c r="F9" s="179"/>
      <c r="G9" s="179"/>
      <c r="H9" s="179"/>
      <c r="I9" s="180"/>
      <c r="K9" s="174"/>
      <c r="L9" t="s">
        <v>90</v>
      </c>
      <c r="M9" t="s">
        <v>331</v>
      </c>
      <c r="N9">
        <v>108</v>
      </c>
      <c r="O9" s="63">
        <v>0.60000002384185791</v>
      </c>
      <c r="P9" s="63"/>
      <c r="Q9" s="368"/>
      <c r="R9" s="242">
        <f t="shared" ref="R9:R51" si="0">IF(N9&lt;&gt;"",IF(O9&lt;&gt;"",N9*O9,IF(P9&lt;&gt;"",N9*P9*(1-IF(Q9&lt;&gt;"",Q9,0.055)),"")),"")</f>
        <v>64.800002574920654</v>
      </c>
      <c r="S9" s="175"/>
      <c r="V9" s="169"/>
      <c r="W9" s="174"/>
      <c r="X9" s="8" t="str">
        <f>IF(Produits!A3&lt;&gt;"",Produits!A3,"")</f>
        <v>Tradition aux Graines</v>
      </c>
      <c r="Y9" s="184" t="str">
        <f>IF(Produits!F3&lt;&gt;"",Produits!F3,"")</f>
        <v>Boulangerie</v>
      </c>
      <c r="Z9" s="184"/>
      <c r="AA9" s="9">
        <f>IF(Produits!B3&lt;&gt;"",Produits!B3,"")</f>
        <v>1.35</v>
      </c>
      <c r="AB9" s="9" t="str">
        <f t="shared" ref="AB9:AB22" si="1">IF(Z9&lt;&gt;"",Z9*AA9,"")</f>
        <v/>
      </c>
      <c r="AC9" s="175"/>
      <c r="AE9" s="189"/>
      <c r="AF9" s="293" t="s">
        <v>791</v>
      </c>
      <c r="AG9" s="294"/>
      <c r="AH9" s="294"/>
      <c r="AI9" s="294"/>
      <c r="AJ9" s="298"/>
      <c r="AK9" s="294"/>
      <c r="AL9" s="293"/>
      <c r="AM9" s="293" t="str">
        <f>FrmFactureClientNom</f>
        <v>La Table Monceau</v>
      </c>
      <c r="AN9" s="293"/>
      <c r="AO9" s="293"/>
      <c r="AP9" s="296"/>
      <c r="AQ9" s="298"/>
      <c r="AR9" s="296"/>
      <c r="AS9" s="300"/>
    </row>
    <row r="10" spans="2:48" ht="21">
      <c r="K10" s="174"/>
      <c r="L10" t="s">
        <v>314</v>
      </c>
      <c r="M10" t="s">
        <v>331</v>
      </c>
      <c r="N10">
        <v>3</v>
      </c>
      <c r="O10" s="63">
        <v>2.2999999523162842</v>
      </c>
      <c r="P10" s="63"/>
      <c r="Q10" s="368"/>
      <c r="R10" s="242">
        <f t="shared" si="0"/>
        <v>6.8999998569488525</v>
      </c>
      <c r="S10" s="175"/>
      <c r="W10" s="174"/>
      <c r="X10" s="8" t="str">
        <f>IF(Produits!A4&lt;&gt;"",Produits!A4,"")</f>
        <v>Demi-Tradition</v>
      </c>
      <c r="Y10" s="184" t="str">
        <f>IF(Produits!F4&lt;&gt;"",Produits!F4,"")</f>
        <v>Boulangerie</v>
      </c>
      <c r="Z10" s="184"/>
      <c r="AA10" s="9">
        <f>IF(Produits!B4&lt;&gt;"",Produits!B4,"")</f>
        <v>0.6</v>
      </c>
      <c r="AB10" s="9" t="str">
        <f t="shared" si="1"/>
        <v/>
      </c>
      <c r="AC10" s="175"/>
      <c r="AE10" s="189"/>
      <c r="AF10" s="294" t="str">
        <f>FrmFactureBoulangerieAdresse1</f>
        <v>24 rue de Lévis</v>
      </c>
      <c r="AG10" s="294"/>
      <c r="AH10" s="294"/>
      <c r="AI10" s="294"/>
      <c r="AJ10" s="294"/>
      <c r="AK10" s="294"/>
      <c r="AL10" s="299"/>
      <c r="AM10" s="299"/>
      <c r="AN10" s="299"/>
      <c r="AO10" s="299"/>
      <c r="AP10" s="296"/>
      <c r="AQ10" s="298"/>
      <c r="AR10" s="296"/>
      <c r="AS10" s="297"/>
    </row>
    <row r="11" spans="2:48" ht="21">
      <c r="B11" s="171"/>
      <c r="C11" s="182" t="s">
        <v>331</v>
      </c>
      <c r="D11" s="172"/>
      <c r="E11" s="172"/>
      <c r="F11" s="172"/>
      <c r="G11" s="172"/>
      <c r="H11" s="172"/>
      <c r="I11" s="173"/>
      <c r="K11" s="174"/>
      <c r="L11" t="s">
        <v>640</v>
      </c>
      <c r="M11" t="s">
        <v>331</v>
      </c>
      <c r="N11">
        <v>152</v>
      </c>
      <c r="O11" s="63">
        <v>1.2000000476837158</v>
      </c>
      <c r="P11" s="63"/>
      <c r="Q11" s="368"/>
      <c r="R11" s="242">
        <f t="shared" si="0"/>
        <v>182.4000072479248</v>
      </c>
      <c r="S11" s="175"/>
      <c r="U11" s="169"/>
      <c r="V11" s="169"/>
      <c r="W11" s="174"/>
      <c r="X11" s="8" t="str">
        <f>IF(Produits!A5&lt;&gt;"",Produits!A5,"")</f>
        <v>Tradition Sésame ou Pavot</v>
      </c>
      <c r="Y11" s="184" t="str">
        <f>IF(Produits!F5&lt;&gt;"",Produits!F5,"")</f>
        <v>Boulangerie</v>
      </c>
      <c r="Z11" s="184"/>
      <c r="AA11" s="9">
        <f>IF(Produits!B5&lt;&gt;"",Produits!B5,"")</f>
        <v>1.35</v>
      </c>
      <c r="AB11" s="9" t="str">
        <f t="shared" si="1"/>
        <v/>
      </c>
      <c r="AC11" s="175"/>
      <c r="AE11" s="189"/>
      <c r="AF11" s="301" t="str">
        <f>""&amp;FrmFactureBoulangerieAdresse2</f>
        <v/>
      </c>
      <c r="AG11" s="297"/>
      <c r="AH11" s="294"/>
      <c r="AI11" s="294"/>
      <c r="AJ11" s="294"/>
      <c r="AK11" s="294"/>
      <c r="AL11" s="299"/>
      <c r="AM11" s="301" t="str">
        <f>""&amp;FrmFactureClientAdresse2</f>
        <v/>
      </c>
      <c r="AN11" s="299"/>
      <c r="AO11" s="299"/>
      <c r="AP11" s="299"/>
      <c r="AQ11" s="298"/>
      <c r="AR11" s="296"/>
      <c r="AS11" s="297"/>
    </row>
    <row r="12" spans="2:48" ht="21">
      <c r="B12" s="174"/>
      <c r="C12" s="170" t="s">
        <v>331</v>
      </c>
      <c r="D12" s="426" t="s">
        <v>378</v>
      </c>
      <c r="E12" s="426"/>
      <c r="F12" s="426"/>
      <c r="G12" s="169"/>
      <c r="H12" s="190" t="s">
        <v>378</v>
      </c>
      <c r="I12" s="175"/>
      <c r="K12" s="174"/>
      <c r="L12" t="s">
        <v>387</v>
      </c>
      <c r="M12" t="s">
        <v>275</v>
      </c>
      <c r="N12">
        <v>95</v>
      </c>
      <c r="O12" s="63">
        <v>1.0499999523162842</v>
      </c>
      <c r="P12" s="63"/>
      <c r="Q12" s="368"/>
      <c r="R12" s="242">
        <f t="shared" si="0"/>
        <v>99.749995470046997</v>
      </c>
      <c r="S12" s="175"/>
      <c r="U12" s="169"/>
      <c r="V12" s="169"/>
      <c r="W12" s="174"/>
      <c r="X12" s="8" t="str">
        <f>IF(Produits!A6&lt;&gt;"",Produits!A6,"")</f>
        <v>Double Tradition</v>
      </c>
      <c r="Y12" s="184" t="str">
        <f>IF(Produits!F6&lt;&gt;"",Produits!F6,"")</f>
        <v>Boulangerie</v>
      </c>
      <c r="Z12" s="184"/>
      <c r="AA12" s="9">
        <f>IF(Produits!B6&lt;&gt;"",Produits!B6,"")</f>
        <v>2.2999999999999998</v>
      </c>
      <c r="AB12" s="9" t="str">
        <f t="shared" si="1"/>
        <v/>
      </c>
      <c r="AC12" s="175"/>
      <c r="AF12" s="294" t="str">
        <f>D18&amp;" "&amp;D19</f>
        <v>75017 PARIS</v>
      </c>
      <c r="AG12" s="297"/>
      <c r="AH12" s="294"/>
      <c r="AI12" s="294"/>
      <c r="AJ12" s="294"/>
      <c r="AK12" s="294"/>
      <c r="AL12" s="299"/>
      <c r="AM12" s="299" t="str">
        <f>FrmFactureClientCP&amp;" "&amp;FrmFactureClientVille</f>
        <v>75017 PARIS</v>
      </c>
      <c r="AN12" s="299"/>
      <c r="AO12" s="299"/>
      <c r="AP12" s="299"/>
      <c r="AQ12" s="298"/>
      <c r="AR12" s="296"/>
      <c r="AS12" s="297"/>
    </row>
    <row r="13" spans="2:48" ht="21">
      <c r="B13" s="174"/>
      <c r="C13" s="170" t="s">
        <v>793</v>
      </c>
      <c r="D13" s="426" t="s">
        <v>3431</v>
      </c>
      <c r="E13" s="426"/>
      <c r="F13" s="426"/>
      <c r="G13" s="169"/>
      <c r="H13" s="190" t="s">
        <v>373</v>
      </c>
      <c r="I13" s="175"/>
      <c r="K13" s="174"/>
      <c r="L13" t="s">
        <v>286</v>
      </c>
      <c r="M13" t="s">
        <v>275</v>
      </c>
      <c r="N13">
        <v>67</v>
      </c>
      <c r="O13" s="63">
        <v>1.1499999761581421</v>
      </c>
      <c r="P13" s="63"/>
      <c r="Q13" s="368"/>
      <c r="R13" s="242">
        <f t="shared" ref="R13:R20" si="2">IF(N13&lt;&gt;"",IF(O13&lt;&gt;"",N13*O13,IF(P13&lt;&gt;"",N13*P13*(1-IF(Q13&lt;&gt;"",Q13,0.055)),"")),"")</f>
        <v>77.04999840259552</v>
      </c>
      <c r="S13" s="175"/>
      <c r="V13" s="169"/>
      <c r="W13" s="174"/>
      <c r="X13" s="8" t="str">
        <f>IF(Produits!A7&lt;&gt;"",Produits!A7,"")</f>
        <v>Belle Arôme</v>
      </c>
      <c r="Y13" s="184" t="str">
        <f>IF(Produits!F7&lt;&gt;"",Produits!F7,"")</f>
        <v>Boulangerie</v>
      </c>
      <c r="Z13" s="184"/>
      <c r="AA13" s="9">
        <f>IF(Produits!B7&lt;&gt;"",Produits!B7,"")</f>
        <v>1.35</v>
      </c>
      <c r="AB13" s="9" t="str">
        <f t="shared" si="1"/>
        <v/>
      </c>
      <c r="AC13" s="175"/>
      <c r="AF13" s="294" t="s">
        <v>62</v>
      </c>
      <c r="AH13" s="294" t="str">
        <f>""&amp;FrmFactureBoulangerieTel1</f>
        <v>01.42.27.20.04</v>
      </c>
      <c r="AI13" s="294"/>
      <c r="AJ13" s="294"/>
      <c r="AK13" s="294"/>
      <c r="AL13" s="294"/>
      <c r="AM13" s="301"/>
      <c r="AN13" s="294"/>
      <c r="AO13" s="294"/>
      <c r="AP13" s="294"/>
      <c r="AQ13" s="295"/>
      <c r="AR13" s="296"/>
      <c r="AS13" s="297"/>
    </row>
    <row r="14" spans="2:48" ht="21">
      <c r="B14" s="174"/>
      <c r="C14" s="170" t="s">
        <v>321</v>
      </c>
      <c r="D14" s="426" t="s">
        <v>764</v>
      </c>
      <c r="E14" s="426"/>
      <c r="F14" s="426"/>
      <c r="G14" s="169"/>
      <c r="H14" s="169"/>
      <c r="I14" s="175"/>
      <c r="K14" s="174"/>
      <c r="L14"/>
      <c r="M14"/>
      <c r="N14"/>
      <c r="O14" s="63"/>
      <c r="P14" s="63"/>
      <c r="Q14" s="368"/>
      <c r="R14" s="242" t="str">
        <f t="shared" si="2"/>
        <v/>
      </c>
      <c r="S14" s="175"/>
      <c r="U14" s="169"/>
      <c r="V14" s="169"/>
      <c r="W14" s="174"/>
      <c r="X14" s="8" t="str">
        <f>IF(Produits!A8&lt;&gt;"",Produits!A8,"")</f>
        <v>Ficelle</v>
      </c>
      <c r="Y14" s="184" t="str">
        <f>IF(Produits!F8&lt;&gt;"",Produits!F8,"")</f>
        <v>Boulangerie</v>
      </c>
      <c r="Z14" s="184"/>
      <c r="AA14" s="9">
        <f>IF(Produits!B8&lt;&gt;"",Produits!B8,"")</f>
        <v>0.6</v>
      </c>
      <c r="AB14" s="9" t="str">
        <f t="shared" si="1"/>
        <v/>
      </c>
      <c r="AC14" s="175"/>
      <c r="AF14" s="294" t="s">
        <v>277</v>
      </c>
      <c r="AH14" s="294" t="str">
        <f>""&amp;FrmFactureBoulangerieEmail</f>
        <v>boulangeries.paris@gmail.com</v>
      </c>
      <c r="AI14" s="294"/>
      <c r="AJ14" s="294"/>
      <c r="AK14" s="294"/>
      <c r="AL14" s="294"/>
      <c r="AM14" s="294"/>
      <c r="AN14" s="294"/>
      <c r="AO14" s="294"/>
      <c r="AP14" s="294"/>
      <c r="AQ14" s="295"/>
      <c r="AR14" s="296"/>
      <c r="AS14" s="297"/>
    </row>
    <row r="15" spans="2:48" ht="18.5">
      <c r="B15" s="174"/>
      <c r="C15" s="170" t="s">
        <v>145</v>
      </c>
      <c r="D15" s="427" t="s">
        <v>765</v>
      </c>
      <c r="E15" s="427"/>
      <c r="F15" s="427"/>
      <c r="G15" s="169"/>
      <c r="H15" s="169"/>
      <c r="I15" s="175"/>
      <c r="K15" s="174"/>
      <c r="L15"/>
      <c r="M15"/>
      <c r="N15"/>
      <c r="O15" s="63"/>
      <c r="P15" s="63"/>
      <c r="Q15" s="368"/>
      <c r="R15" s="242" t="str">
        <f t="shared" si="2"/>
        <v/>
      </c>
      <c r="S15" s="175"/>
      <c r="V15" s="169"/>
      <c r="W15" s="174"/>
      <c r="X15" s="8" t="str">
        <f>IF(Produits!A9&lt;&gt;"",Produits!A9,"")</f>
        <v>Ficelle Aromatique</v>
      </c>
      <c r="Y15" s="184" t="str">
        <f>IF(Produits!F9&lt;&gt;"",Produits!F9,"")</f>
        <v>Boulangerie</v>
      </c>
      <c r="Z15" s="184"/>
      <c r="AA15" s="9">
        <f>IF(Produits!B9&lt;&gt;"",Produits!B9,"")</f>
        <v>1.5</v>
      </c>
      <c r="AB15" s="9" t="str">
        <f t="shared" si="1"/>
        <v/>
      </c>
      <c r="AC15" s="175"/>
      <c r="AF15" s="49"/>
      <c r="AG15" s="49"/>
      <c r="AH15" s="49"/>
      <c r="AI15" s="49"/>
      <c r="AJ15" s="49"/>
      <c r="AK15" s="49"/>
      <c r="AL15" s="49"/>
      <c r="AM15" s="49"/>
      <c r="AN15" s="49"/>
      <c r="AO15" s="49"/>
      <c r="AP15" s="49"/>
      <c r="AQ15" s="50"/>
      <c r="AR15" s="51"/>
    </row>
    <row r="16" spans="2:48" ht="18.5">
      <c r="B16" s="174"/>
      <c r="C16" s="170"/>
      <c r="D16" s="427"/>
      <c r="E16" s="427"/>
      <c r="F16" s="427"/>
      <c r="G16" s="169"/>
      <c r="H16" s="169"/>
      <c r="I16" s="175"/>
      <c r="K16" s="174"/>
      <c r="L16"/>
      <c r="M16"/>
      <c r="N16"/>
      <c r="O16" s="63"/>
      <c r="P16" s="63"/>
      <c r="Q16" s="368"/>
      <c r="R16" s="242" t="str">
        <f t="shared" si="2"/>
        <v/>
      </c>
      <c r="S16" s="175"/>
      <c r="V16" s="169"/>
      <c r="W16" s="174"/>
      <c r="X16" s="8" t="str">
        <f>IF(Produits!A10&lt;&gt;"",Produits!A10,"")</f>
        <v>Ficelle Lardons et Fromage</v>
      </c>
      <c r="Y16" s="184" t="str">
        <f>IF(Produits!F10&lt;&gt;"",Produits!F10,"")</f>
        <v>Boulangerie</v>
      </c>
      <c r="Z16" s="184"/>
      <c r="AA16" s="9">
        <f>IF(Produits!B10&lt;&gt;"",Produits!B10,"")</f>
        <v>1.5</v>
      </c>
      <c r="AB16" s="9" t="str">
        <f t="shared" si="1"/>
        <v/>
      </c>
      <c r="AC16" s="175"/>
      <c r="AF16" s="401" t="s">
        <v>158</v>
      </c>
      <c r="AG16" s="401"/>
      <c r="AH16" s="401"/>
      <c r="AI16" s="401" t="s">
        <v>332</v>
      </c>
      <c r="AJ16" s="401"/>
      <c r="AK16" s="401" t="s">
        <v>174</v>
      </c>
      <c r="AL16" s="401"/>
      <c r="AM16" s="401" t="s">
        <v>914</v>
      </c>
      <c r="AN16" s="401"/>
      <c r="AO16" s="49"/>
      <c r="AP16" s="49"/>
      <c r="AQ16" s="50"/>
      <c r="AR16" s="51"/>
    </row>
    <row r="17" spans="2:44" ht="18.5">
      <c r="B17" s="174"/>
      <c r="C17" s="170" t="s">
        <v>146</v>
      </c>
      <c r="D17" s="406"/>
      <c r="E17" s="406"/>
      <c r="F17" s="406"/>
      <c r="G17" s="169"/>
      <c r="H17" s="169"/>
      <c r="I17" s="175"/>
      <c r="K17" s="174"/>
      <c r="L17"/>
      <c r="M17"/>
      <c r="N17"/>
      <c r="O17" s="63"/>
      <c r="P17" s="63"/>
      <c r="Q17" s="368"/>
      <c r="R17" s="242" t="str">
        <f t="shared" si="2"/>
        <v/>
      </c>
      <c r="S17" s="175"/>
      <c r="V17" s="169"/>
      <c r="W17" s="174"/>
      <c r="X17" s="8" t="str">
        <f>IF(Produits!A11&lt;&gt;"",Produits!A11,"")</f>
        <v>Ficelle Tomate Basilic</v>
      </c>
      <c r="Y17" s="184" t="str">
        <f>IF(Produits!F11&lt;&gt;"",Produits!F11,"")</f>
        <v>Boulangerie</v>
      </c>
      <c r="Z17" s="184"/>
      <c r="AA17" s="9">
        <f>IF(Produits!B11&lt;&gt;"",Produits!B11,"")</f>
        <v>1.5</v>
      </c>
      <c r="AB17" s="9" t="str">
        <f t="shared" si="1"/>
        <v/>
      </c>
      <c r="AC17" s="175"/>
      <c r="AF17" s="411" t="str">
        <f>AM9</f>
        <v>La Table Monceau</v>
      </c>
      <c r="AG17" s="412"/>
      <c r="AH17" s="413"/>
      <c r="AI17" s="414">
        <f>FrmFactureDate</f>
        <v>42716</v>
      </c>
      <c r="AJ17" s="415"/>
      <c r="AK17" s="411" t="str">
        <f>FrmFactureNoFacture</f>
        <v>20161212-001</v>
      </c>
      <c r="AL17" s="413"/>
      <c r="AM17" s="414">
        <f>FrmFactureEcheance</f>
        <v>42721</v>
      </c>
      <c r="AN17" s="415"/>
      <c r="AO17" s="49"/>
      <c r="AP17" s="49"/>
      <c r="AQ17" s="50"/>
      <c r="AR17" s="51"/>
    </row>
    <row r="18" spans="2:44" ht="18.5">
      <c r="B18" s="174"/>
      <c r="C18" s="170" t="s">
        <v>323</v>
      </c>
      <c r="D18" s="406">
        <v>75017</v>
      </c>
      <c r="E18" s="406"/>
      <c r="F18" s="406"/>
      <c r="G18" s="169"/>
      <c r="H18" s="169"/>
      <c r="I18" s="175"/>
      <c r="K18" s="174"/>
      <c r="L18"/>
      <c r="M18"/>
      <c r="N18"/>
      <c r="O18" s="63"/>
      <c r="P18" s="63"/>
      <c r="Q18" s="368"/>
      <c r="R18" s="242" t="str">
        <f t="shared" si="2"/>
        <v/>
      </c>
      <c r="S18" s="175"/>
      <c r="V18" s="169"/>
      <c r="W18" s="174"/>
      <c r="X18" s="8" t="str">
        <f>IF(Produits!A12&lt;&gt;"",Produits!A12,"")</f>
        <v>Ficelle Chorizo Maïs</v>
      </c>
      <c r="Y18" s="184" t="str">
        <f>IF(Produits!F12&lt;&gt;"",Produits!F12,"")</f>
        <v>Boulangerie</v>
      </c>
      <c r="Z18" s="184"/>
      <c r="AA18" s="9">
        <f>IF(Produits!B12&lt;&gt;"",Produits!B12,"")</f>
        <v>1.5</v>
      </c>
      <c r="AB18" s="9" t="str">
        <f t="shared" si="1"/>
        <v/>
      </c>
      <c r="AC18" s="175"/>
      <c r="AF18" s="395"/>
      <c r="AG18" s="395"/>
      <c r="AH18" s="395"/>
      <c r="AI18" s="395"/>
      <c r="AJ18" s="395"/>
      <c r="AK18" s="395"/>
      <c r="AL18" s="395"/>
      <c r="AM18" s="49"/>
      <c r="AN18" s="49"/>
      <c r="AO18" s="49"/>
      <c r="AP18" s="49"/>
      <c r="AQ18" s="51"/>
      <c r="AR18" s="51"/>
    </row>
    <row r="19" spans="2:44" ht="15.75" customHeight="1">
      <c r="B19" s="174"/>
      <c r="C19" s="170" t="s">
        <v>324</v>
      </c>
      <c r="D19" s="406" t="s">
        <v>61</v>
      </c>
      <c r="E19" s="406"/>
      <c r="F19" s="406"/>
      <c r="G19" s="169"/>
      <c r="H19" s="169"/>
      <c r="I19" s="175"/>
      <c r="K19" s="174"/>
      <c r="L19"/>
      <c r="M19"/>
      <c r="N19"/>
      <c r="O19" s="63"/>
      <c r="P19" s="63"/>
      <c r="Q19" s="368"/>
      <c r="R19" s="242" t="str">
        <f t="shared" si="2"/>
        <v/>
      </c>
      <c r="S19" s="175"/>
      <c r="V19" s="169"/>
      <c r="W19" s="174"/>
      <c r="X19" s="8" t="str">
        <f>IF(Produits!A13&lt;&gt;"",Produits!A13,"")</f>
        <v>Baguette</v>
      </c>
      <c r="Y19" s="184" t="str">
        <f>IF(Produits!F13&lt;&gt;"",Produits!F13,"")</f>
        <v>Boulangerie</v>
      </c>
      <c r="Z19" s="184"/>
      <c r="AA19" s="9">
        <f>IF(Produits!B13&lt;&gt;"",Produits!B13,"")</f>
        <v>0.95</v>
      </c>
      <c r="AB19" s="9" t="str">
        <f t="shared" si="1"/>
        <v/>
      </c>
      <c r="AC19" s="175"/>
      <c r="AF19" s="418" t="s">
        <v>386</v>
      </c>
      <c r="AG19" s="419"/>
      <c r="AH19" s="419"/>
      <c r="AI19" s="419"/>
      <c r="AJ19" s="420"/>
      <c r="AK19" s="416" t="s">
        <v>344</v>
      </c>
      <c r="AL19" s="409" t="s">
        <v>760</v>
      </c>
      <c r="AM19" s="409" t="s">
        <v>759</v>
      </c>
      <c r="AN19" s="409" t="s">
        <v>371</v>
      </c>
      <c r="AO19" s="409"/>
      <c r="AP19" s="409" t="s">
        <v>369</v>
      </c>
      <c r="AQ19" s="409"/>
      <c r="AR19" s="409" t="s">
        <v>370</v>
      </c>
    </row>
    <row r="20" spans="2:44" ht="18" customHeight="1">
      <c r="B20" s="174"/>
      <c r="C20" s="170" t="s">
        <v>62</v>
      </c>
      <c r="D20" s="406" t="s">
        <v>766</v>
      </c>
      <c r="E20" s="406"/>
      <c r="F20" s="406"/>
      <c r="G20" s="169"/>
      <c r="H20" s="169"/>
      <c r="I20" s="175"/>
      <c r="K20" s="174"/>
      <c r="L20"/>
      <c r="M20"/>
      <c r="N20"/>
      <c r="O20" s="63"/>
      <c r="P20" s="63"/>
      <c r="Q20" s="368"/>
      <c r="R20" s="242" t="str">
        <f t="shared" si="2"/>
        <v/>
      </c>
      <c r="S20" s="175"/>
      <c r="V20" s="169"/>
      <c r="W20" s="174"/>
      <c r="X20" s="8" t="str">
        <f>IF(Produits!A14&lt;&gt;"",Produits!A14,"")</f>
        <v>Demi-Graines, Sésames ou Pavot</v>
      </c>
      <c r="Y20" s="184" t="str">
        <f>IF(Produits!F14&lt;&gt;"",Produits!F14,"")</f>
        <v>Boulangerie</v>
      </c>
      <c r="Z20" s="184"/>
      <c r="AA20" s="9">
        <f>IF(Produits!B14&lt;&gt;"",Produits!B14,"")</f>
        <v>0.7</v>
      </c>
      <c r="AB20" s="9" t="str">
        <f t="shared" si="1"/>
        <v/>
      </c>
      <c r="AC20" s="175"/>
      <c r="AF20" s="421"/>
      <c r="AG20" s="422"/>
      <c r="AH20" s="422"/>
      <c r="AI20" s="422"/>
      <c r="AJ20" s="423"/>
      <c r="AK20" s="417"/>
      <c r="AL20" s="409"/>
      <c r="AM20" s="409"/>
      <c r="AN20" s="409"/>
      <c r="AO20" s="409"/>
      <c r="AP20" s="409"/>
      <c r="AQ20" s="409"/>
      <c r="AR20" s="409"/>
    </row>
    <row r="21" spans="2:44" ht="18.5">
      <c r="B21" s="174"/>
      <c r="C21" s="170" t="s">
        <v>277</v>
      </c>
      <c r="D21" s="406" t="s">
        <v>142</v>
      </c>
      <c r="E21" s="406"/>
      <c r="F21" s="406"/>
      <c r="G21" s="169"/>
      <c r="H21" s="169"/>
      <c r="I21" s="175"/>
      <c r="K21" s="174"/>
      <c r="L21"/>
      <c r="M21"/>
      <c r="N21"/>
      <c r="O21" s="63"/>
      <c r="P21" s="63"/>
      <c r="Q21" s="368"/>
      <c r="R21" s="242" t="str">
        <f t="shared" si="0"/>
        <v/>
      </c>
      <c r="S21" s="175"/>
      <c r="V21" s="169"/>
      <c r="W21" s="174"/>
      <c r="X21" s="8" t="str">
        <f>IF(Produits!A15&lt;&gt;"",Produits!A15,"")</f>
        <v>Pain Bûcheron</v>
      </c>
      <c r="Y21" s="184" t="str">
        <f>IF(Produits!F15&lt;&gt;"",Produits!F15,"")</f>
        <v>Boulangerie</v>
      </c>
      <c r="Z21" s="184"/>
      <c r="AA21" s="9">
        <f>IF(Produits!B15&lt;&gt;"",Produits!B15,"")</f>
        <v>2.75</v>
      </c>
      <c r="AB21" s="9" t="str">
        <f t="shared" si="1"/>
        <v/>
      </c>
      <c r="AC21" s="175"/>
      <c r="AF21" s="455" t="str">
        <f t="shared" ref="AF21:AF29" si="3">IF(L8&lt;&gt;"",L8,"")</f>
        <v>Tradition</v>
      </c>
      <c r="AG21" s="456"/>
      <c r="AH21" s="456"/>
      <c r="AI21" s="456"/>
      <c r="AJ21" s="457"/>
      <c r="AK21" s="269">
        <f t="shared" ref="AK21:AK29" si="4">IF(N8&lt;&gt;"",N8,"")</f>
        <v>275</v>
      </c>
      <c r="AL21" s="270">
        <f t="shared" ref="AL21:AL34" si="5">IF(P8&lt;&gt;"",P8,IF(AM21&lt;&gt;"",AM21/(1+AR21),""))</f>
        <v>0.7109004739336493</v>
      </c>
      <c r="AM21" s="369">
        <v>0.75</v>
      </c>
      <c r="AN21" s="402">
        <f t="shared" ref="AN21:AN26" si="6">IF(AK21&lt;&gt;"",AL21*AK21,"")</f>
        <v>195.49763033175356</v>
      </c>
      <c r="AO21" s="403"/>
      <c r="AP21" s="402">
        <f>IF(AK21&lt;&gt;"",AK21*AM21,"")</f>
        <v>206.25</v>
      </c>
      <c r="AQ21" s="403"/>
      <c r="AR21" s="370">
        <f t="shared" ref="AR21:AR37" si="7">IF(AK21&lt;&gt;"",IF(Q8&lt;&gt;"",Q8,5.5%),"")</f>
        <v>5.5E-2</v>
      </c>
    </row>
    <row r="22" spans="2:44" ht="18.649999999999999" customHeight="1">
      <c r="B22" s="176"/>
      <c r="C22" s="177"/>
      <c r="D22" s="178"/>
      <c r="E22" s="178"/>
      <c r="F22" s="178"/>
      <c r="G22" s="179"/>
      <c r="H22" s="179"/>
      <c r="I22" s="180"/>
      <c r="K22" s="174"/>
      <c r="L22"/>
      <c r="M22"/>
      <c r="N22"/>
      <c r="O22" s="63"/>
      <c r="P22" s="63"/>
      <c r="Q22" s="368"/>
      <c r="R22" s="242" t="str">
        <f t="shared" si="0"/>
        <v/>
      </c>
      <c r="S22" s="175"/>
      <c r="V22" s="169"/>
      <c r="W22" s="174"/>
      <c r="X22" s="8" t="str">
        <f>IF(Produits!A16&lt;&gt;"",Produits!A16,"")</f>
        <v>Pain de Campagne</v>
      </c>
      <c r="Y22" s="184" t="str">
        <f>IF(Produits!F16&lt;&gt;"",Produits!F16,"")</f>
        <v>Boulangerie</v>
      </c>
      <c r="Z22" s="184"/>
      <c r="AA22" s="9">
        <f>IF(Produits!B16&lt;&gt;"",Produits!B16,"")</f>
        <v>5</v>
      </c>
      <c r="AB22" s="9" t="str">
        <f t="shared" si="1"/>
        <v/>
      </c>
      <c r="AC22" s="175"/>
      <c r="AF22" s="432" t="str">
        <f t="shared" si="3"/>
        <v>Demi-Tradition</v>
      </c>
      <c r="AG22" s="433"/>
      <c r="AH22" s="433"/>
      <c r="AI22" s="433"/>
      <c r="AJ22" s="434"/>
      <c r="AK22" s="269">
        <f t="shared" si="4"/>
        <v>108</v>
      </c>
      <c r="AL22" s="270">
        <f t="shared" si="5"/>
        <v>0.56872040174583693</v>
      </c>
      <c r="AM22" s="369">
        <f t="shared" ref="AM21:AM42" si="8">IF(P9&lt;&gt;"",P9*(1-AR22),IF(O9&lt;&gt;"",O9,""))</f>
        <v>0.60000002384185791</v>
      </c>
      <c r="AN22" s="404">
        <f t="shared" si="6"/>
        <v>61.421803388550387</v>
      </c>
      <c r="AO22" s="405"/>
      <c r="AP22" s="404">
        <f>IF(AK22&lt;&gt;"",AK22*AM22,"")</f>
        <v>64.800002574920654</v>
      </c>
      <c r="AQ22" s="405"/>
      <c r="AR22" s="370">
        <f t="shared" si="7"/>
        <v>5.5E-2</v>
      </c>
    </row>
    <row r="23" spans="2:44" ht="18.5">
      <c r="B23" s="171"/>
      <c r="C23" s="182" t="s">
        <v>140</v>
      </c>
      <c r="D23" s="172"/>
      <c r="E23" s="172"/>
      <c r="F23" s="172"/>
      <c r="G23" s="172"/>
      <c r="H23" s="172"/>
      <c r="I23" s="173"/>
      <c r="K23" s="174"/>
      <c r="L23"/>
      <c r="M23"/>
      <c r="N23"/>
      <c r="O23" s="63"/>
      <c r="P23" s="63"/>
      <c r="Q23" s="368"/>
      <c r="R23" s="242" t="str">
        <f>IF(N23&lt;&gt;"",IF(O23&lt;&gt;"",N23*O23,IF(P23&lt;&gt;"",N23*P23*(1-IF(Q23&lt;&gt;"",Q23,0.055)),"")),"")</f>
        <v/>
      </c>
      <c r="S23" s="175"/>
      <c r="W23" s="174"/>
      <c r="X23" s="8" t="str">
        <f>IF(Produits!A17&lt;&gt;"",Produits!A17,"")</f>
        <v>Pain de Mie</v>
      </c>
      <c r="Y23" s="184" t="str">
        <f>IF(Produits!F17&lt;&gt;"",Produits!F17,"")</f>
        <v>Boulangerie</v>
      </c>
      <c r="Z23" s="184"/>
      <c r="AA23" s="9">
        <f>IF(Produits!B17&lt;&gt;"",Produits!B17,"")</f>
        <v>2.2999999999999998</v>
      </c>
      <c r="AB23" s="9" t="str">
        <f t="shared" ref="AB23:AB86" si="9">IF(Z23&lt;&gt;"",Z23*AA23,"")</f>
        <v/>
      </c>
      <c r="AC23" s="175"/>
      <c r="AF23" s="432" t="str">
        <f t="shared" si="3"/>
        <v>Pain de Mie</v>
      </c>
      <c r="AG23" s="433"/>
      <c r="AH23" s="433"/>
      <c r="AI23" s="433"/>
      <c r="AJ23" s="434"/>
      <c r="AK23" s="269">
        <f t="shared" si="4"/>
        <v>3</v>
      </c>
      <c r="AL23" s="270">
        <f t="shared" si="5"/>
        <v>2.1800947415320229</v>
      </c>
      <c r="AM23" s="369">
        <f t="shared" si="8"/>
        <v>2.2999999523162842</v>
      </c>
      <c r="AN23" s="404">
        <f t="shared" si="6"/>
        <v>6.5402842245960686</v>
      </c>
      <c r="AO23" s="405"/>
      <c r="AP23" s="404">
        <f>IF(AK23&lt;&gt;"",AK23*AM23,"")</f>
        <v>6.8999998569488525</v>
      </c>
      <c r="AQ23" s="405"/>
      <c r="AR23" s="370">
        <f t="shared" si="7"/>
        <v>5.5E-2</v>
      </c>
    </row>
    <row r="24" spans="2:44" ht="18.5">
      <c r="B24" s="174"/>
      <c r="C24" s="170" t="s">
        <v>321</v>
      </c>
      <c r="D24" s="426" t="s">
        <v>917</v>
      </c>
      <c r="E24" s="426"/>
      <c r="F24" s="426"/>
      <c r="G24" s="169"/>
      <c r="I24" s="175"/>
      <c r="K24" s="174"/>
      <c r="L24"/>
      <c r="M24"/>
      <c r="N24"/>
      <c r="O24" s="63"/>
      <c r="P24" s="63"/>
      <c r="Q24" s="368"/>
      <c r="R24" s="242" t="str">
        <f t="shared" si="0"/>
        <v/>
      </c>
      <c r="S24" s="175"/>
      <c r="V24" s="169"/>
      <c r="W24" s="174"/>
      <c r="X24" s="8" t="str">
        <f>IF(Produits!A18&lt;&gt;"",Produits!A18,"")</f>
        <v>Pain de Seigle</v>
      </c>
      <c r="Y24" s="184" t="str">
        <f>IF(Produits!F18&lt;&gt;"",Produits!F18,"")</f>
        <v>Boulangerie</v>
      </c>
      <c r="Z24" s="184"/>
      <c r="AA24" s="9">
        <f>IF(Produits!B18&lt;&gt;"",Produits!B18,"")</f>
        <v>2.6</v>
      </c>
      <c r="AB24" s="9" t="str">
        <f t="shared" si="9"/>
        <v/>
      </c>
      <c r="AC24" s="175"/>
      <c r="AF24" s="432" t="str">
        <f t="shared" si="3"/>
        <v>Pain Burger</v>
      </c>
      <c r="AG24" s="433"/>
      <c r="AH24" s="433"/>
      <c r="AI24" s="433"/>
      <c r="AJ24" s="434"/>
      <c r="AK24" s="269">
        <f t="shared" si="4"/>
        <v>152</v>
      </c>
      <c r="AL24" s="270">
        <f t="shared" si="5"/>
        <v>1.1374408034916739</v>
      </c>
      <c r="AM24" s="369">
        <f t="shared" si="8"/>
        <v>1.2000000476837158</v>
      </c>
      <c r="AN24" s="404">
        <f t="shared" si="6"/>
        <v>172.89100213073442</v>
      </c>
      <c r="AO24" s="405"/>
      <c r="AP24" s="404">
        <f>IF(AK24&lt;&gt;"",AK24*AM24,"")</f>
        <v>182.4000072479248</v>
      </c>
      <c r="AQ24" s="405"/>
      <c r="AR24" s="370">
        <f t="shared" si="7"/>
        <v>5.5E-2</v>
      </c>
    </row>
    <row r="25" spans="2:44" ht="18.5">
      <c r="B25" s="174"/>
      <c r="C25" s="170" t="s">
        <v>145</v>
      </c>
      <c r="D25" s="427" t="s">
        <v>918</v>
      </c>
      <c r="E25" s="427"/>
      <c r="F25" s="427"/>
      <c r="G25" s="169"/>
      <c r="I25" s="175"/>
      <c r="K25" s="174"/>
      <c r="L25"/>
      <c r="M25"/>
      <c r="N25"/>
      <c r="O25" s="63"/>
      <c r="P25" s="63"/>
      <c r="Q25" s="368"/>
      <c r="R25" s="242" t="str">
        <f t="shared" si="0"/>
        <v/>
      </c>
      <c r="S25" s="175"/>
      <c r="V25" s="169"/>
      <c r="W25" s="174"/>
      <c r="X25" s="8" t="str">
        <f>IF(Produits!A19&lt;&gt;"",Produits!A19,"")</f>
        <v>Pain Fruitier</v>
      </c>
      <c r="Y25" s="184" t="str">
        <f>IF(Produits!F19&lt;&gt;"",Produits!F19,"")</f>
        <v>Boulangerie</v>
      </c>
      <c r="Z25" s="184"/>
      <c r="AA25" s="9">
        <f>IF(Produits!B19&lt;&gt;"",Produits!B19,"")</f>
        <v>2.85</v>
      </c>
      <c r="AB25" s="9" t="str">
        <f t="shared" si="9"/>
        <v/>
      </c>
      <c r="AC25" s="175"/>
      <c r="AF25" s="432" t="str">
        <f t="shared" si="3"/>
        <v>Croissant</v>
      </c>
      <c r="AG25" s="433"/>
      <c r="AH25" s="433"/>
      <c r="AI25" s="433"/>
      <c r="AJ25" s="434"/>
      <c r="AK25" s="269">
        <f t="shared" si="4"/>
        <v>95</v>
      </c>
      <c r="AL25" s="270">
        <f t="shared" si="5"/>
        <v>0.99526061830927415</v>
      </c>
      <c r="AM25" s="369">
        <f t="shared" si="8"/>
        <v>1.0499999523162842</v>
      </c>
      <c r="AN25" s="404">
        <f t="shared" si="6"/>
        <v>94.549758739381048</v>
      </c>
      <c r="AO25" s="405"/>
      <c r="AP25" s="404">
        <f>IF(AK25&lt;&gt;"",AK25*AM25,"")</f>
        <v>99.749995470046997</v>
      </c>
      <c r="AQ25" s="405"/>
      <c r="AR25" s="370">
        <f t="shared" si="7"/>
        <v>5.5E-2</v>
      </c>
    </row>
    <row r="26" spans="2:44" ht="18.5">
      <c r="B26" s="174"/>
      <c r="C26" s="170"/>
      <c r="D26" s="427"/>
      <c r="E26" s="427"/>
      <c r="F26" s="427"/>
      <c r="G26" s="169"/>
      <c r="I26" s="175"/>
      <c r="K26" s="174"/>
      <c r="L26"/>
      <c r="M26"/>
      <c r="N26"/>
      <c r="O26" s="63"/>
      <c r="P26" s="63"/>
      <c r="Q26" s="368"/>
      <c r="R26" s="242" t="str">
        <f t="shared" si="0"/>
        <v/>
      </c>
      <c r="S26" s="175"/>
      <c r="V26" s="169"/>
      <c r="W26" s="174"/>
      <c r="X26" s="8" t="str">
        <f>IF(Produits!A20&lt;&gt;"",Produits!A20,"")</f>
        <v>Pain Gâche</v>
      </c>
      <c r="Y26" s="184" t="str">
        <f>IF(Produits!F20&lt;&gt;"",Produits!F20,"")</f>
        <v>Boulangerie</v>
      </c>
      <c r="Z26" s="184"/>
      <c r="AA26" s="9">
        <f>IF(Produits!B20&lt;&gt;"",Produits!B20,"")</f>
        <v>1.6</v>
      </c>
      <c r="AB26" s="9" t="str">
        <f t="shared" si="9"/>
        <v/>
      </c>
      <c r="AC26" s="175"/>
      <c r="AF26" s="432" t="str">
        <f t="shared" si="3"/>
        <v>Pain au Chocolat</v>
      </c>
      <c r="AG26" s="433"/>
      <c r="AH26" s="433"/>
      <c r="AI26" s="433"/>
      <c r="AJ26" s="434"/>
      <c r="AK26" s="269">
        <f t="shared" si="4"/>
        <v>67</v>
      </c>
      <c r="AL26" s="270">
        <f t="shared" si="5"/>
        <v>1.0900473707660114</v>
      </c>
      <c r="AM26" s="369">
        <f t="shared" si="8"/>
        <v>1.1499999761581421</v>
      </c>
      <c r="AN26" s="404">
        <f t="shared" si="6"/>
        <v>73.033173841322764</v>
      </c>
      <c r="AO26" s="405"/>
      <c r="AP26" s="404">
        <f t="shared" ref="AP26:AP34" si="10">IF(AK26&lt;&gt;"",AK26*AM26,"")</f>
        <v>77.04999840259552</v>
      </c>
      <c r="AQ26" s="405"/>
      <c r="AR26" s="370">
        <f t="shared" si="7"/>
        <v>5.5E-2</v>
      </c>
    </row>
    <row r="27" spans="2:44" ht="18.5">
      <c r="B27" s="174"/>
      <c r="C27" s="170" t="s">
        <v>146</v>
      </c>
      <c r="D27" s="406"/>
      <c r="E27" s="406"/>
      <c r="F27" s="406"/>
      <c r="G27" s="169"/>
      <c r="I27" s="175"/>
      <c r="K27" s="174"/>
      <c r="L27"/>
      <c r="M27"/>
      <c r="N27"/>
      <c r="O27" s="63"/>
      <c r="P27" s="63"/>
      <c r="Q27" s="368"/>
      <c r="R27" s="242" t="str">
        <f t="shared" si="0"/>
        <v/>
      </c>
      <c r="S27" s="175"/>
      <c r="V27" s="169"/>
      <c r="W27" s="174"/>
      <c r="X27" s="8" t="str">
        <f>IF(Produits!A21&lt;&gt;"",Produits!A21,"")</f>
        <v>Pain Maïs</v>
      </c>
      <c r="Y27" s="184" t="str">
        <f>IF(Produits!F21&lt;&gt;"",Produits!F21,"")</f>
        <v>Boulangerie</v>
      </c>
      <c r="Z27" s="184"/>
      <c r="AA27" s="9">
        <f>IF(Produits!B21&lt;&gt;"",Produits!B21,"")</f>
        <v>2.2999999999999998</v>
      </c>
      <c r="AB27" s="9" t="str">
        <f t="shared" si="9"/>
        <v/>
      </c>
      <c r="AC27" s="175"/>
      <c r="AF27" s="432" t="str">
        <f t="shared" si="3"/>
        <v/>
      </c>
      <c r="AG27" s="433"/>
      <c r="AH27" s="433"/>
      <c r="AI27" s="433"/>
      <c r="AJ27" s="434"/>
      <c r="AK27" s="269" t="str">
        <f t="shared" si="4"/>
        <v/>
      </c>
      <c r="AL27" s="270" t="str">
        <f t="shared" si="5"/>
        <v/>
      </c>
      <c r="AM27" s="369" t="str">
        <f t="shared" si="8"/>
        <v/>
      </c>
      <c r="AN27" s="404" t="str">
        <f t="shared" ref="AN27:AN37" si="11">IF(AK27&lt;&gt;"",AL27*AK27,"")</f>
        <v/>
      </c>
      <c r="AO27" s="405"/>
      <c r="AP27" s="404" t="str">
        <f t="shared" si="10"/>
        <v/>
      </c>
      <c r="AQ27" s="405"/>
      <c r="AR27" s="370" t="str">
        <f t="shared" si="7"/>
        <v/>
      </c>
    </row>
    <row r="28" spans="2:44" ht="18.5">
      <c r="B28" s="174"/>
      <c r="C28" s="170" t="s">
        <v>323</v>
      </c>
      <c r="D28" s="406">
        <v>75017</v>
      </c>
      <c r="E28" s="406"/>
      <c r="F28" s="406"/>
      <c r="G28" s="169"/>
      <c r="H28" s="169"/>
      <c r="I28" s="175"/>
      <c r="K28" s="174"/>
      <c r="L28"/>
      <c r="M28"/>
      <c r="N28"/>
      <c r="O28" s="63"/>
      <c r="P28" s="63"/>
      <c r="Q28" s="368"/>
      <c r="R28" s="242" t="str">
        <f t="shared" si="0"/>
        <v/>
      </c>
      <c r="S28" s="175"/>
      <c r="V28" s="169"/>
      <c r="W28" s="174"/>
      <c r="X28" s="8" t="str">
        <f>IF(Produits!A22&lt;&gt;"",Produits!A22,"")</f>
        <v>Pain Tartine</v>
      </c>
      <c r="Y28" s="184" t="str">
        <f>IF(Produits!F22&lt;&gt;"",Produits!F22,"")</f>
        <v>Boulangerie</v>
      </c>
      <c r="Z28" s="184"/>
      <c r="AA28" s="9">
        <f>IF(Produits!B22&lt;&gt;"",Produits!B22,"")</f>
        <v>2.6</v>
      </c>
      <c r="AB28" s="9" t="str">
        <f t="shared" si="9"/>
        <v/>
      </c>
      <c r="AC28" s="175"/>
      <c r="AF28" s="432" t="str">
        <f t="shared" si="3"/>
        <v/>
      </c>
      <c r="AG28" s="433"/>
      <c r="AH28" s="433"/>
      <c r="AI28" s="433"/>
      <c r="AJ28" s="434"/>
      <c r="AK28" s="269" t="str">
        <f t="shared" si="4"/>
        <v/>
      </c>
      <c r="AL28" s="270" t="str">
        <f t="shared" si="5"/>
        <v/>
      </c>
      <c r="AM28" s="369" t="str">
        <f t="shared" si="8"/>
        <v/>
      </c>
      <c r="AN28" s="404" t="str">
        <f t="shared" si="11"/>
        <v/>
      </c>
      <c r="AO28" s="405"/>
      <c r="AP28" s="404" t="str">
        <f t="shared" si="10"/>
        <v/>
      </c>
      <c r="AQ28" s="405"/>
      <c r="AR28" s="370" t="str">
        <f t="shared" si="7"/>
        <v/>
      </c>
    </row>
    <row r="29" spans="2:44" ht="18.5">
      <c r="B29" s="174"/>
      <c r="C29" s="170" t="s">
        <v>324</v>
      </c>
      <c r="D29" s="406" t="s">
        <v>61</v>
      </c>
      <c r="E29" s="406"/>
      <c r="F29" s="406"/>
      <c r="G29" s="169"/>
      <c r="H29" s="169"/>
      <c r="I29" s="175"/>
      <c r="K29" s="174"/>
      <c r="L29"/>
      <c r="M29"/>
      <c r="N29"/>
      <c r="O29" s="63"/>
      <c r="P29" s="63"/>
      <c r="Q29" s="368"/>
      <c r="R29" s="242" t="str">
        <f t="shared" si="0"/>
        <v/>
      </c>
      <c r="S29" s="175"/>
      <c r="V29" s="169"/>
      <c r="W29" s="174"/>
      <c r="X29" s="8" t="str">
        <f>IF(Produits!A23&lt;&gt;"",Produits!A23,"")</f>
        <v>Pain Burger</v>
      </c>
      <c r="Y29" s="184" t="str">
        <f>IF(Produits!F23&lt;&gt;"",Produits!F23,"")</f>
        <v>Boulangerie</v>
      </c>
      <c r="Z29" s="184">
        <v>138</v>
      </c>
      <c r="AA29" s="9">
        <f>IF(Produits!B23&lt;&gt;"",Produits!B23,"")</f>
        <v>1.2</v>
      </c>
      <c r="AB29" s="9">
        <f t="shared" si="9"/>
        <v>165.6</v>
      </c>
      <c r="AC29" s="175"/>
      <c r="AF29" s="432" t="str">
        <f t="shared" si="3"/>
        <v/>
      </c>
      <c r="AG29" s="433"/>
      <c r="AH29" s="433"/>
      <c r="AI29" s="433"/>
      <c r="AJ29" s="434"/>
      <c r="AK29" s="269" t="str">
        <f t="shared" si="4"/>
        <v/>
      </c>
      <c r="AL29" s="270" t="str">
        <f t="shared" si="5"/>
        <v/>
      </c>
      <c r="AM29" s="369" t="str">
        <f t="shared" si="8"/>
        <v/>
      </c>
      <c r="AN29" s="404" t="str">
        <f t="shared" si="11"/>
        <v/>
      </c>
      <c r="AO29" s="405"/>
      <c r="AP29" s="404" t="str">
        <f t="shared" si="10"/>
        <v/>
      </c>
      <c r="AQ29" s="405"/>
      <c r="AR29" s="370" t="str">
        <f t="shared" si="7"/>
        <v/>
      </c>
    </row>
    <row r="30" spans="2:44" ht="18.5">
      <c r="B30" s="174"/>
      <c r="C30" s="170" t="s">
        <v>62</v>
      </c>
      <c r="D30" s="406" t="s">
        <v>919</v>
      </c>
      <c r="E30" s="406"/>
      <c r="F30" s="406"/>
      <c r="G30" s="169"/>
      <c r="H30" s="169"/>
      <c r="I30" s="175"/>
      <c r="K30" s="174"/>
      <c r="L30"/>
      <c r="M30"/>
      <c r="N30"/>
      <c r="O30" s="63"/>
      <c r="P30" s="63"/>
      <c r="Q30" s="368"/>
      <c r="R30" s="242" t="str">
        <f t="shared" si="0"/>
        <v/>
      </c>
      <c r="S30" s="175"/>
      <c r="V30" s="169"/>
      <c r="W30" s="174"/>
      <c r="X30" s="8" t="str">
        <f>IF(Produits!A24&lt;&gt;"",Produits!A24,"")</f>
        <v>Moelleux aux Noix</v>
      </c>
      <c r="Y30" s="184" t="str">
        <f>IF(Produits!F24&lt;&gt;"",Produits!F24,"")</f>
        <v>Boulangerie</v>
      </c>
      <c r="Z30" s="184"/>
      <c r="AA30" s="9">
        <f>IF(Produits!B24&lt;&gt;"",Produits!B24,"")</f>
        <v>2.8</v>
      </c>
      <c r="AB30" s="9" t="str">
        <f t="shared" si="9"/>
        <v/>
      </c>
      <c r="AC30" s="175"/>
      <c r="AF30" s="432" t="str">
        <f>IF(L18&lt;&gt;"",L18,"")</f>
        <v/>
      </c>
      <c r="AG30" s="433"/>
      <c r="AH30" s="433"/>
      <c r="AI30" s="433"/>
      <c r="AJ30" s="434"/>
      <c r="AK30" s="269" t="str">
        <f>IF(N18&lt;&gt;"",N18,"")</f>
        <v/>
      </c>
      <c r="AL30" s="270" t="str">
        <f t="shared" si="5"/>
        <v/>
      </c>
      <c r="AM30" s="369" t="str">
        <f t="shared" si="8"/>
        <v/>
      </c>
      <c r="AN30" s="404" t="str">
        <f t="shared" si="11"/>
        <v/>
      </c>
      <c r="AO30" s="405"/>
      <c r="AP30" s="404" t="str">
        <f t="shared" si="10"/>
        <v/>
      </c>
      <c r="AQ30" s="405"/>
      <c r="AR30" s="370" t="str">
        <f t="shared" si="7"/>
        <v/>
      </c>
    </row>
    <row r="31" spans="2:44" ht="18.5">
      <c r="B31" s="174"/>
      <c r="C31" s="170" t="s">
        <v>277</v>
      </c>
      <c r="D31" s="406"/>
      <c r="E31" s="406"/>
      <c r="F31" s="406"/>
      <c r="G31" s="169"/>
      <c r="H31" s="169"/>
      <c r="I31" s="175"/>
      <c r="K31" s="174"/>
      <c r="L31"/>
      <c r="M31"/>
      <c r="N31"/>
      <c r="O31" s="63"/>
      <c r="P31" s="63"/>
      <c r="Q31" s="368"/>
      <c r="R31" s="242" t="str">
        <f t="shared" si="0"/>
        <v/>
      </c>
      <c r="S31" s="175"/>
      <c r="V31" s="169"/>
      <c r="W31" s="174"/>
      <c r="X31" s="8" t="str">
        <f>IF(Produits!A25&lt;&gt;"",Produits!A25,"")</f>
        <v>Moelleux aux Graines</v>
      </c>
      <c r="Y31" s="184" t="str">
        <f>IF(Produits!F25&lt;&gt;"",Produits!F25,"")</f>
        <v>Boulangerie</v>
      </c>
      <c r="Z31" s="184"/>
      <c r="AA31" s="9">
        <f>IF(Produits!B25&lt;&gt;"",Produits!B25,"")</f>
        <v>2.8</v>
      </c>
      <c r="AB31" s="9" t="str">
        <f t="shared" si="9"/>
        <v/>
      </c>
      <c r="AC31" s="175"/>
      <c r="AF31" s="432" t="str">
        <f>IF(L20&lt;&gt;"",L20,"")</f>
        <v/>
      </c>
      <c r="AG31" s="433"/>
      <c r="AH31" s="433"/>
      <c r="AI31" s="433"/>
      <c r="AJ31" s="434"/>
      <c r="AK31" s="269" t="str">
        <f>IF(N20&lt;&gt;"",N20,"")</f>
        <v/>
      </c>
      <c r="AL31" s="270" t="str">
        <f t="shared" si="5"/>
        <v/>
      </c>
      <c r="AM31" s="369" t="str">
        <f t="shared" si="8"/>
        <v/>
      </c>
      <c r="AN31" s="404" t="str">
        <f t="shared" si="11"/>
        <v/>
      </c>
      <c r="AO31" s="405"/>
      <c r="AP31" s="404" t="str">
        <f t="shared" si="10"/>
        <v/>
      </c>
      <c r="AQ31" s="405"/>
      <c r="AR31" s="370" t="str">
        <f t="shared" si="7"/>
        <v/>
      </c>
    </row>
    <row r="32" spans="2:44" ht="18.5">
      <c r="B32" s="176"/>
      <c r="C32" s="177"/>
      <c r="D32" s="178"/>
      <c r="E32" s="178"/>
      <c r="F32" s="178"/>
      <c r="G32" s="179"/>
      <c r="H32" s="179"/>
      <c r="I32" s="180"/>
      <c r="K32" s="174"/>
      <c r="L32"/>
      <c r="M32"/>
      <c r="N32"/>
      <c r="O32" s="63"/>
      <c r="P32" s="63"/>
      <c r="Q32" s="368"/>
      <c r="R32" s="242" t="str">
        <f t="shared" si="0"/>
        <v/>
      </c>
      <c r="S32" s="175"/>
      <c r="V32" s="169"/>
      <c r="W32" s="174"/>
      <c r="X32" s="8" t="str">
        <f>IF(Produits!A26&lt;&gt;"",Produits!A26,"")</f>
        <v>Pain Nordique</v>
      </c>
      <c r="Y32" s="184" t="str">
        <f>IF(Produits!F26&lt;&gt;"",Produits!F26,"")</f>
        <v>Boulangerie</v>
      </c>
      <c r="Z32" s="184"/>
      <c r="AA32" s="9">
        <f>IF(Produits!B26&lt;&gt;"",Produits!B26,"")</f>
        <v>3</v>
      </c>
      <c r="AB32" s="9" t="str">
        <f t="shared" si="9"/>
        <v/>
      </c>
      <c r="AC32" s="175"/>
      <c r="AF32" s="432" t="str">
        <f>IF(L21&lt;&gt;"",L21,"")</f>
        <v/>
      </c>
      <c r="AG32" s="433"/>
      <c r="AH32" s="433"/>
      <c r="AI32" s="433"/>
      <c r="AJ32" s="434"/>
      <c r="AK32" s="269" t="str">
        <f>IF(N21&lt;&gt;"",N21,"")</f>
        <v/>
      </c>
      <c r="AL32" s="270" t="str">
        <f t="shared" si="5"/>
        <v/>
      </c>
      <c r="AM32" s="369" t="str">
        <f t="shared" si="8"/>
        <v/>
      </c>
      <c r="AN32" s="404" t="str">
        <f t="shared" si="11"/>
        <v/>
      </c>
      <c r="AO32" s="405"/>
      <c r="AP32" s="404" t="str">
        <f t="shared" si="10"/>
        <v/>
      </c>
      <c r="AQ32" s="405"/>
      <c r="AR32" s="370" t="str">
        <f t="shared" si="7"/>
        <v/>
      </c>
    </row>
    <row r="33" spans="2:44" ht="18.5">
      <c r="K33" s="174"/>
      <c r="L33"/>
      <c r="M33"/>
      <c r="N33"/>
      <c r="O33" s="63"/>
      <c r="P33" s="63"/>
      <c r="Q33" s="368"/>
      <c r="R33" s="242" t="str">
        <f t="shared" si="0"/>
        <v/>
      </c>
      <c r="S33" s="175"/>
      <c r="V33" s="169"/>
      <c r="W33" s="174"/>
      <c r="X33" s="8" t="str">
        <f>IF(Produits!A27&lt;&gt;"",Produits!A27,"")</f>
        <v>Les Petits Pains Nature</v>
      </c>
      <c r="Y33" s="184" t="str">
        <f>IF(Produits!F27&lt;&gt;"",Produits!F27,"")</f>
        <v>Boulangerie</v>
      </c>
      <c r="Z33" s="184"/>
      <c r="AA33" s="9">
        <f>IF(Produits!B27&lt;&gt;"",Produits!B27,"")</f>
        <v>0.65</v>
      </c>
      <c r="AB33" s="9" t="str">
        <f t="shared" si="9"/>
        <v/>
      </c>
      <c r="AC33" s="175"/>
      <c r="AF33" s="432" t="str">
        <f t="shared" ref="AF33:AF40" si="12">IF(L21&lt;&gt;"",L21,"")</f>
        <v/>
      </c>
      <c r="AG33" s="433"/>
      <c r="AH33" s="433"/>
      <c r="AI33" s="433"/>
      <c r="AJ33" s="434"/>
      <c r="AK33" s="269" t="str">
        <f t="shared" ref="AK33:AK40" si="13">IF(N21&lt;&gt;"",N21,"")</f>
        <v/>
      </c>
      <c r="AL33" s="270" t="str">
        <f t="shared" si="5"/>
        <v/>
      </c>
      <c r="AM33" s="369" t="str">
        <f t="shared" si="8"/>
        <v/>
      </c>
      <c r="AN33" s="404" t="str">
        <f t="shared" si="11"/>
        <v/>
      </c>
      <c r="AO33" s="405"/>
      <c r="AP33" s="404" t="str">
        <f t="shared" si="10"/>
        <v/>
      </c>
      <c r="AQ33" s="405"/>
      <c r="AR33" s="370" t="str">
        <f t="shared" si="7"/>
        <v/>
      </c>
    </row>
    <row r="34" spans="2:44" ht="18.5">
      <c r="B34" s="171"/>
      <c r="C34" s="182" t="s">
        <v>550</v>
      </c>
      <c r="D34" s="172"/>
      <c r="E34" s="172"/>
      <c r="F34" s="172"/>
      <c r="G34" s="172"/>
      <c r="H34" s="172"/>
      <c r="I34" s="173"/>
      <c r="K34" s="174"/>
      <c r="L34"/>
      <c r="M34"/>
      <c r="N34"/>
      <c r="O34" s="63"/>
      <c r="P34" s="63"/>
      <c r="Q34" s="368"/>
      <c r="R34" s="242" t="str">
        <f>IF(N34&lt;&gt;"",IF(O34&lt;&gt;"",N34*O34,IF(P34&lt;&gt;"",N34*P34*(1-IF(Q34&lt;&gt;"",Q34,0.055)),"")),"")</f>
        <v/>
      </c>
      <c r="S34" s="175"/>
      <c r="W34" s="174"/>
      <c r="X34" s="8" t="str">
        <f>IF(Produits!A28&lt;&gt;"",Produits!A28,"")</f>
        <v>Petits Pains Maïs-Chocolat</v>
      </c>
      <c r="Y34" s="184" t="str">
        <f>IF(Produits!F28&lt;&gt;"",Produits!F28,"")</f>
        <v>Boulangerie</v>
      </c>
      <c r="Z34" s="184"/>
      <c r="AA34" s="9">
        <f>IF(Produits!B28&lt;&gt;"",Produits!B28,"")</f>
        <v>0.65</v>
      </c>
      <c r="AB34" s="9" t="str">
        <f t="shared" si="9"/>
        <v/>
      </c>
      <c r="AC34" s="175"/>
      <c r="AF34" s="432" t="str">
        <f t="shared" si="12"/>
        <v/>
      </c>
      <c r="AG34" s="433"/>
      <c r="AH34" s="433"/>
      <c r="AI34" s="433"/>
      <c r="AJ34" s="434"/>
      <c r="AK34" s="269" t="str">
        <f t="shared" si="13"/>
        <v/>
      </c>
      <c r="AL34" s="270" t="str">
        <f t="shared" si="5"/>
        <v/>
      </c>
      <c r="AM34" s="369" t="str">
        <f t="shared" si="8"/>
        <v/>
      </c>
      <c r="AN34" s="404" t="str">
        <f t="shared" si="11"/>
        <v/>
      </c>
      <c r="AO34" s="405"/>
      <c r="AP34" s="404" t="str">
        <f t="shared" si="10"/>
        <v/>
      </c>
      <c r="AQ34" s="405"/>
      <c r="AR34" s="370" t="str">
        <f t="shared" si="7"/>
        <v/>
      </c>
    </row>
    <row r="35" spans="2:44" ht="18.5">
      <c r="B35" s="174"/>
      <c r="C35" s="407" t="s">
        <v>790</v>
      </c>
      <c r="D35" s="408"/>
      <c r="E35" s="407" t="s">
        <v>624</v>
      </c>
      <c r="F35" s="408"/>
      <c r="G35" s="169"/>
      <c r="H35" s="169"/>
      <c r="I35" s="175"/>
      <c r="K35" s="174"/>
      <c r="L35"/>
      <c r="M35"/>
      <c r="N35"/>
      <c r="O35" s="63"/>
      <c r="P35" s="63"/>
      <c r="Q35" s="368"/>
      <c r="R35" s="242" t="str">
        <f t="shared" si="0"/>
        <v/>
      </c>
      <c r="S35" s="175"/>
      <c r="V35" s="169"/>
      <c r="W35" s="174"/>
      <c r="X35" s="8" t="str">
        <f>IF(Produits!A29&lt;&gt;"",Produits!A29,"")</f>
        <v>Petits Pains Aromatisés</v>
      </c>
      <c r="Y35" s="184" t="str">
        <f>IF(Produits!F29&lt;&gt;"",Produits!F29,"")</f>
        <v>Boulangerie</v>
      </c>
      <c r="Z35" s="184"/>
      <c r="AA35" s="9">
        <f>IF(Produits!B29&lt;&gt;"",Produits!B29,"")</f>
        <v>1.5</v>
      </c>
      <c r="AB35" s="9" t="str">
        <f t="shared" si="9"/>
        <v/>
      </c>
      <c r="AC35" s="175"/>
      <c r="AF35" s="432" t="str">
        <f t="shared" si="12"/>
        <v/>
      </c>
      <c r="AG35" s="433"/>
      <c r="AH35" s="433"/>
      <c r="AI35" s="433"/>
      <c r="AJ35" s="434"/>
      <c r="AK35" s="269" t="str">
        <f t="shared" si="13"/>
        <v/>
      </c>
      <c r="AL35" s="270" t="str">
        <f t="shared" ref="AL35:AL40" si="14">IF(P23&lt;&gt;"",P23,IF(AM35&lt;&gt;"",AM35/(1+AR35),""))</f>
        <v/>
      </c>
      <c r="AM35" s="369" t="str">
        <f>IF(P22&lt;&gt;"",P22*(1-AR35),IF(O22&lt;&gt;"",O22,""))</f>
        <v/>
      </c>
      <c r="AN35" s="404" t="str">
        <f t="shared" si="11"/>
        <v/>
      </c>
      <c r="AO35" s="405"/>
      <c r="AP35" s="404" t="str">
        <f t="shared" ref="AP35:AP40" si="15">IF(AK35&lt;&gt;"",AK35*AM35,"")</f>
        <v/>
      </c>
      <c r="AQ35" s="405"/>
      <c r="AR35" s="370" t="str">
        <f t="shared" si="7"/>
        <v/>
      </c>
    </row>
    <row r="36" spans="2:44" ht="18.5">
      <c r="B36" s="174"/>
      <c r="C36" s="407" t="s">
        <v>769</v>
      </c>
      <c r="D36" s="408"/>
      <c r="E36" s="407" t="s">
        <v>498</v>
      </c>
      <c r="F36" s="408"/>
      <c r="G36" s="169"/>
      <c r="H36" s="169"/>
      <c r="I36" s="175"/>
      <c r="K36" s="174"/>
      <c r="L36"/>
      <c r="M36"/>
      <c r="N36"/>
      <c r="O36" s="63"/>
      <c r="P36" s="63"/>
      <c r="Q36" s="368"/>
      <c r="R36" s="242" t="str">
        <f t="shared" si="0"/>
        <v/>
      </c>
      <c r="S36" s="175"/>
      <c r="V36" s="169"/>
      <c r="W36" s="174"/>
      <c r="X36" s="8" t="str">
        <f>IF(Produits!A30&lt;&gt;"",Produits!A30,"")</f>
        <v>Divers Boulangerie</v>
      </c>
      <c r="Y36" s="184" t="str">
        <f>IF(Produits!F30&lt;&gt;"",Produits!F30,"")</f>
        <v>Boulangerie</v>
      </c>
      <c r="Z36" s="184"/>
      <c r="AA36" s="9">
        <v>4.7</v>
      </c>
      <c r="AB36" s="9" t="str">
        <f t="shared" si="9"/>
        <v/>
      </c>
      <c r="AC36" s="175"/>
      <c r="AF36" s="432" t="str">
        <f t="shared" si="12"/>
        <v/>
      </c>
      <c r="AG36" s="433"/>
      <c r="AH36" s="433"/>
      <c r="AI36" s="433"/>
      <c r="AJ36" s="434"/>
      <c r="AK36" s="269" t="str">
        <f t="shared" si="13"/>
        <v/>
      </c>
      <c r="AL36" s="270" t="str">
        <f t="shared" si="14"/>
        <v/>
      </c>
      <c r="AM36" s="369" t="str">
        <f t="shared" si="8"/>
        <v/>
      </c>
      <c r="AN36" s="404" t="str">
        <f t="shared" si="11"/>
        <v/>
      </c>
      <c r="AO36" s="405"/>
      <c r="AP36" s="404" t="str">
        <f t="shared" si="15"/>
        <v/>
      </c>
      <c r="AQ36" s="405"/>
      <c r="AR36" s="370" t="str">
        <f t="shared" si="7"/>
        <v/>
      </c>
    </row>
    <row r="37" spans="2:44" ht="18.5">
      <c r="B37" s="174"/>
      <c r="C37" s="407" t="s">
        <v>495</v>
      </c>
      <c r="D37" s="408"/>
      <c r="E37" s="407" t="s">
        <v>499</v>
      </c>
      <c r="F37" s="408"/>
      <c r="G37" s="169"/>
      <c r="H37" s="169"/>
      <c r="I37" s="175"/>
      <c r="K37" s="174"/>
      <c r="L37"/>
      <c r="M37"/>
      <c r="N37"/>
      <c r="O37" s="63"/>
      <c r="P37" s="63"/>
      <c r="Q37" s="368"/>
      <c r="R37" s="242" t="str">
        <f t="shared" si="0"/>
        <v/>
      </c>
      <c r="S37" s="175"/>
      <c r="V37" s="169"/>
      <c r="W37" s="174"/>
      <c r="X37" s="8" t="str">
        <f>IF(Produits!A31&lt;&gt;"",Produits!A31,"")</f>
        <v>Croissant</v>
      </c>
      <c r="Y37" s="184" t="str">
        <f>IF(Produits!F31&lt;&gt;"",Produits!F31,"")</f>
        <v>Viennoiserie</v>
      </c>
      <c r="Z37" s="184">
        <v>176</v>
      </c>
      <c r="AA37" s="9">
        <f>IF(Produits!B31&lt;&gt;"",Produits!B31,"")</f>
        <v>1.05</v>
      </c>
      <c r="AB37" s="9">
        <f t="shared" si="9"/>
        <v>184.8</v>
      </c>
      <c r="AC37" s="175"/>
      <c r="AF37" s="432" t="str">
        <f t="shared" si="12"/>
        <v/>
      </c>
      <c r="AG37" s="433"/>
      <c r="AH37" s="433"/>
      <c r="AI37" s="433"/>
      <c r="AJ37" s="434"/>
      <c r="AK37" s="269" t="str">
        <f t="shared" si="13"/>
        <v/>
      </c>
      <c r="AL37" s="270" t="str">
        <f t="shared" si="14"/>
        <v/>
      </c>
      <c r="AM37" s="369" t="str">
        <f t="shared" si="8"/>
        <v/>
      </c>
      <c r="AN37" s="404" t="str">
        <f t="shared" si="11"/>
        <v/>
      </c>
      <c r="AO37" s="405"/>
      <c r="AP37" s="404" t="str">
        <f t="shared" si="15"/>
        <v/>
      </c>
      <c r="AQ37" s="405"/>
      <c r="AR37" s="370" t="str">
        <f t="shared" si="7"/>
        <v/>
      </c>
    </row>
    <row r="38" spans="2:44" ht="18.5">
      <c r="B38" s="174"/>
      <c r="C38" s="407" t="s">
        <v>496</v>
      </c>
      <c r="D38" s="408"/>
      <c r="E38" s="407" t="s">
        <v>784</v>
      </c>
      <c r="F38" s="408"/>
      <c r="G38" s="169"/>
      <c r="H38" s="169"/>
      <c r="I38" s="175"/>
      <c r="K38" s="174"/>
      <c r="L38"/>
      <c r="M38"/>
      <c r="N38"/>
      <c r="O38" s="63"/>
      <c r="P38" s="63"/>
      <c r="Q38" s="368"/>
      <c r="R38" s="242" t="str">
        <f t="shared" si="0"/>
        <v/>
      </c>
      <c r="S38" s="175"/>
      <c r="V38" s="169"/>
      <c r="W38" s="174"/>
      <c r="X38" s="8" t="str">
        <f>IF(Produits!A32&lt;&gt;"",Produits!A32,"")</f>
        <v>Croissant Ordinaire</v>
      </c>
      <c r="Y38" s="184" t="str">
        <f>IF(Produits!F32&lt;&gt;"",Produits!F32,"")</f>
        <v>Viennoiserie</v>
      </c>
      <c r="Z38" s="184"/>
      <c r="AA38" s="9">
        <f>IF(Produits!B32&lt;&gt;"",Produits!B32,"")</f>
        <v>1</v>
      </c>
      <c r="AB38" s="9" t="str">
        <f t="shared" si="9"/>
        <v/>
      </c>
      <c r="AC38" s="175"/>
      <c r="AF38" s="432" t="str">
        <f t="shared" si="12"/>
        <v/>
      </c>
      <c r="AG38" s="433"/>
      <c r="AH38" s="433"/>
      <c r="AI38" s="433"/>
      <c r="AJ38" s="434"/>
      <c r="AK38" s="269" t="str">
        <f t="shared" si="13"/>
        <v/>
      </c>
      <c r="AL38" s="270" t="str">
        <f t="shared" si="14"/>
        <v/>
      </c>
      <c r="AM38" s="369" t="str">
        <f t="shared" si="8"/>
        <v/>
      </c>
      <c r="AN38" s="404" t="str">
        <f>IF(AK38&lt;&gt;"",AL38*AK38,"")</f>
        <v/>
      </c>
      <c r="AO38" s="405"/>
      <c r="AP38" s="404" t="str">
        <f t="shared" si="15"/>
        <v/>
      </c>
      <c r="AQ38" s="405"/>
      <c r="AR38" s="370" t="str">
        <f>IF(AK38&lt;&gt;"",IF(Q26&lt;&gt;"",Q26,5.5%),"")</f>
        <v/>
      </c>
    </row>
    <row r="39" spans="2:44" ht="18.5">
      <c r="B39" s="174"/>
      <c r="C39" s="407" t="s">
        <v>497</v>
      </c>
      <c r="D39" s="408"/>
      <c r="E39" s="407" t="s">
        <v>627</v>
      </c>
      <c r="F39" s="408"/>
      <c r="G39" s="169"/>
      <c r="H39" s="169"/>
      <c r="I39" s="175"/>
      <c r="K39" s="174"/>
      <c r="L39"/>
      <c r="M39"/>
      <c r="N39"/>
      <c r="O39" s="63"/>
      <c r="P39" s="63"/>
      <c r="Q39" s="368"/>
      <c r="R39" s="242" t="str">
        <f t="shared" si="0"/>
        <v/>
      </c>
      <c r="S39" s="175"/>
      <c r="V39" s="169"/>
      <c r="W39" s="174"/>
      <c r="X39" s="8" t="str">
        <f>IF(Produits!A33&lt;&gt;"",Produits!A33,"")</f>
        <v>Croissant aux Amandes</v>
      </c>
      <c r="Y39" s="184" t="str">
        <f>IF(Produits!F33&lt;&gt;"",Produits!F33,"")</f>
        <v>Viennoiserie</v>
      </c>
      <c r="Z39" s="184"/>
      <c r="AA39" s="9">
        <f>IF(Produits!B33&lt;&gt;"",Produits!B33,"")</f>
        <v>1.5</v>
      </c>
      <c r="AB39" s="9" t="str">
        <f t="shared" si="9"/>
        <v/>
      </c>
      <c r="AC39" s="175"/>
      <c r="AF39" s="432" t="str">
        <f t="shared" si="12"/>
        <v/>
      </c>
      <c r="AG39" s="433"/>
      <c r="AH39" s="433"/>
      <c r="AI39" s="433"/>
      <c r="AJ39" s="434"/>
      <c r="AK39" s="269" t="str">
        <f t="shared" si="13"/>
        <v/>
      </c>
      <c r="AL39" s="270" t="str">
        <f t="shared" si="14"/>
        <v/>
      </c>
      <c r="AM39" s="369" t="str">
        <f t="shared" si="8"/>
        <v/>
      </c>
      <c r="AN39" s="404" t="str">
        <f>IF(AK39&lt;&gt;"",AL39*AK39,"")</f>
        <v/>
      </c>
      <c r="AO39" s="405"/>
      <c r="AP39" s="404" t="str">
        <f t="shared" si="15"/>
        <v/>
      </c>
      <c r="AQ39" s="405"/>
      <c r="AR39" s="370" t="str">
        <f>IF(AK39&lt;&gt;"",IF(Q27&lt;&gt;"",Q27,5.5%),"")</f>
        <v/>
      </c>
    </row>
    <row r="40" spans="2:44" ht="18.5">
      <c r="B40" s="176"/>
      <c r="C40" s="179"/>
      <c r="D40" s="179"/>
      <c r="E40" s="179"/>
      <c r="F40" s="179"/>
      <c r="G40" s="179"/>
      <c r="H40" s="179"/>
      <c r="I40" s="180"/>
      <c r="K40" s="174"/>
      <c r="L40"/>
      <c r="M40"/>
      <c r="N40"/>
      <c r="O40" s="63"/>
      <c r="P40" s="63"/>
      <c r="Q40" s="368"/>
      <c r="R40" s="242" t="str">
        <f t="shared" si="0"/>
        <v/>
      </c>
      <c r="S40" s="175"/>
      <c r="V40" s="169"/>
      <c r="W40" s="174"/>
      <c r="X40" s="8" t="str">
        <f>IF(Produits!A34&lt;&gt;"",Produits!A34,"")</f>
        <v>Pain au Chocolat</v>
      </c>
      <c r="Y40" s="184" t="str">
        <f>IF(Produits!F34&lt;&gt;"",Produits!F34,"")</f>
        <v>Viennoiserie</v>
      </c>
      <c r="Z40" s="184">
        <v>64</v>
      </c>
      <c r="AA40" s="9">
        <f>IF(Produits!B34&lt;&gt;"",Produits!B34,"")</f>
        <v>1.1499999999999999</v>
      </c>
      <c r="AB40" s="9">
        <f t="shared" si="9"/>
        <v>73.599999999999994</v>
      </c>
      <c r="AC40" s="175"/>
      <c r="AF40" s="432" t="str">
        <f t="shared" si="12"/>
        <v/>
      </c>
      <c r="AG40" s="433"/>
      <c r="AH40" s="433"/>
      <c r="AI40" s="433"/>
      <c r="AJ40" s="434"/>
      <c r="AK40" s="269" t="str">
        <f t="shared" si="13"/>
        <v/>
      </c>
      <c r="AL40" s="270" t="str">
        <f t="shared" si="14"/>
        <v/>
      </c>
      <c r="AM40" s="369" t="str">
        <f t="shared" si="8"/>
        <v/>
      </c>
      <c r="AN40" s="404" t="str">
        <f>IF(AK40&lt;&gt;"",AL40*AK40,"")</f>
        <v/>
      </c>
      <c r="AO40" s="405"/>
      <c r="AP40" s="404" t="str">
        <f t="shared" si="15"/>
        <v/>
      </c>
      <c r="AQ40" s="405"/>
      <c r="AR40" s="370" t="str">
        <f>IF(AK40&lt;&gt;"",IF(Q28&lt;&gt;"",Q28,5.5%),"")</f>
        <v/>
      </c>
    </row>
    <row r="41" spans="2:44" ht="18.5">
      <c r="K41" s="174"/>
      <c r="L41"/>
      <c r="M41"/>
      <c r="N41"/>
      <c r="O41" s="63"/>
      <c r="P41" s="63"/>
      <c r="Q41" s="368"/>
      <c r="R41" s="242" t="str">
        <f t="shared" si="0"/>
        <v/>
      </c>
      <c r="S41" s="175"/>
      <c r="V41" s="169"/>
      <c r="W41" s="174"/>
      <c r="X41" s="8" t="str">
        <f>IF(Produits!A35&lt;&gt;"",Produits!A35,"")</f>
        <v>Pain au Chocolat aux Amandes</v>
      </c>
      <c r="Y41" s="184" t="str">
        <f>IF(Produits!F35&lt;&gt;"",Produits!F35,"")</f>
        <v>Viennoiserie</v>
      </c>
      <c r="Z41" s="184"/>
      <c r="AA41" s="9">
        <f>IF(Produits!B35&lt;&gt;"",Produits!B35,"")</f>
        <v>1.5</v>
      </c>
      <c r="AB41" s="9" t="str">
        <f t="shared" si="9"/>
        <v/>
      </c>
      <c r="AC41" s="175"/>
      <c r="AF41" s="432" t="str">
        <f t="shared" ref="AF41:AF46" si="16">IF(L29&lt;&gt;"",L29,"")</f>
        <v/>
      </c>
      <c r="AG41" s="433"/>
      <c r="AH41" s="433"/>
      <c r="AI41" s="433"/>
      <c r="AJ41" s="434"/>
      <c r="AK41" s="269" t="str">
        <f t="shared" ref="AK41:AK46" si="17">IF(N29&lt;&gt;"",N29,"")</f>
        <v/>
      </c>
      <c r="AL41" s="270" t="str">
        <f t="shared" ref="AL41:AL46" si="18">IF(P29&lt;&gt;"",P29,IF(AM41&lt;&gt;"",AM41/(1+AR41),""))</f>
        <v/>
      </c>
      <c r="AM41" s="369" t="str">
        <f t="shared" si="8"/>
        <v/>
      </c>
      <c r="AN41" s="404" t="str">
        <f t="shared" ref="AN41:AN46" si="19">IF(AK41&lt;&gt;"",AL41*AK41,"")</f>
        <v/>
      </c>
      <c r="AO41" s="405"/>
      <c r="AP41" s="404" t="str">
        <f t="shared" ref="AP41:AP46" si="20">IF(AK41&lt;&gt;"",AK41*AM41,"")</f>
        <v/>
      </c>
      <c r="AQ41" s="405"/>
      <c r="AR41" s="370" t="str">
        <f t="shared" ref="AR41:AR46" si="21">IF(AK41&lt;&gt;"",IF(Q29&lt;&gt;"",Q29,5.5%),"")</f>
        <v/>
      </c>
    </row>
    <row r="42" spans="2:44" ht="18.5">
      <c r="B42" s="171"/>
      <c r="C42" s="182" t="s">
        <v>548</v>
      </c>
      <c r="D42" s="172"/>
      <c r="E42" s="172"/>
      <c r="F42" s="172"/>
      <c r="G42" s="172"/>
      <c r="H42" s="172"/>
      <c r="I42" s="173"/>
      <c r="K42" s="174"/>
      <c r="L42"/>
      <c r="M42"/>
      <c r="N42"/>
      <c r="O42" s="63"/>
      <c r="P42" s="63"/>
      <c r="Q42" s="368"/>
      <c r="R42" s="242" t="str">
        <f t="shared" si="0"/>
        <v/>
      </c>
      <c r="S42" s="175"/>
      <c r="V42" s="169"/>
      <c r="W42" s="174"/>
      <c r="X42" s="8" t="str">
        <f>IF(Produits!A36&lt;&gt;"",Produits!A36,"")</f>
        <v>Pain aux Raisins</v>
      </c>
      <c r="Y42" s="184" t="str">
        <f>IF(Produits!F36&lt;&gt;"",Produits!F36,"")</f>
        <v>Viennoiserie</v>
      </c>
      <c r="Z42" s="184"/>
      <c r="AA42" s="9">
        <f>IF(Produits!B36&lt;&gt;"",Produits!B36,"")</f>
        <v>1.45</v>
      </c>
      <c r="AB42" s="9" t="str">
        <f t="shared" si="9"/>
        <v/>
      </c>
      <c r="AC42" s="175"/>
      <c r="AF42" s="432" t="str">
        <f t="shared" si="16"/>
        <v/>
      </c>
      <c r="AG42" s="433"/>
      <c r="AH42" s="433"/>
      <c r="AI42" s="433"/>
      <c r="AJ42" s="434"/>
      <c r="AK42" s="269" t="str">
        <f t="shared" si="17"/>
        <v/>
      </c>
      <c r="AL42" s="270" t="str">
        <f t="shared" si="18"/>
        <v/>
      </c>
      <c r="AM42" s="369" t="str">
        <f t="shared" si="8"/>
        <v/>
      </c>
      <c r="AN42" s="404" t="str">
        <f t="shared" si="19"/>
        <v/>
      </c>
      <c r="AO42" s="405"/>
      <c r="AP42" s="404" t="str">
        <f t="shared" si="20"/>
        <v/>
      </c>
      <c r="AQ42" s="405"/>
      <c r="AR42" s="370" t="str">
        <f t="shared" si="21"/>
        <v/>
      </c>
    </row>
    <row r="43" spans="2:44" ht="18.5">
      <c r="B43" s="174"/>
      <c r="C43" s="170" t="s">
        <v>600</v>
      </c>
      <c r="D43" s="428" t="s">
        <v>3389</v>
      </c>
      <c r="E43" s="428"/>
      <c r="F43" s="428"/>
      <c r="G43" s="169"/>
      <c r="H43" s="190" t="s">
        <v>555</v>
      </c>
      <c r="I43" s="175"/>
      <c r="K43" s="174"/>
      <c r="L43"/>
      <c r="M43"/>
      <c r="N43"/>
      <c r="O43" s="63"/>
      <c r="P43" s="63"/>
      <c r="Q43" s="368"/>
      <c r="R43" s="242" t="str">
        <f t="shared" si="0"/>
        <v/>
      </c>
      <c r="S43" s="175"/>
      <c r="W43" s="174"/>
      <c r="X43" s="8" t="str">
        <f>IF(Produits!A37&lt;&gt;"",Produits!A37,"")</f>
        <v>Chausson aux Pommes</v>
      </c>
      <c r="Y43" s="184" t="str">
        <f>IF(Produits!F37&lt;&gt;"",Produits!F37,"")</f>
        <v>Viennoiserie</v>
      </c>
      <c r="Z43" s="184"/>
      <c r="AA43" s="9">
        <f>IF(Produits!B37&lt;&gt;"",Produits!B37,"")</f>
        <v>1.45</v>
      </c>
      <c r="AB43" s="9" t="str">
        <f t="shared" si="9"/>
        <v/>
      </c>
      <c r="AC43" s="175"/>
      <c r="AF43" s="432" t="str">
        <f t="shared" si="16"/>
        <v/>
      </c>
      <c r="AG43" s="433"/>
      <c r="AH43" s="433"/>
      <c r="AI43" s="433"/>
      <c r="AJ43" s="434"/>
      <c r="AK43" s="269" t="str">
        <f t="shared" si="17"/>
        <v/>
      </c>
      <c r="AL43" s="270" t="str">
        <f t="shared" si="18"/>
        <v/>
      </c>
      <c r="AM43" s="369" t="str">
        <f>IF(P31&lt;&gt;"",P31*(1-AR43),IF(O31&lt;&gt;"",O31,""))</f>
        <v/>
      </c>
      <c r="AN43" s="404" t="str">
        <f t="shared" si="19"/>
        <v/>
      </c>
      <c r="AO43" s="405"/>
      <c r="AP43" s="404" t="str">
        <f t="shared" si="20"/>
        <v/>
      </c>
      <c r="AQ43" s="405"/>
      <c r="AR43" s="370" t="str">
        <f t="shared" si="21"/>
        <v/>
      </c>
    </row>
    <row r="44" spans="2:44" ht="18.5">
      <c r="B44" s="174"/>
      <c r="D44" s="428"/>
      <c r="E44" s="428"/>
      <c r="F44" s="428"/>
      <c r="I44" s="175"/>
      <c r="K44" s="174"/>
      <c r="L44"/>
      <c r="M44"/>
      <c r="N44"/>
      <c r="O44" s="63"/>
      <c r="P44" s="63"/>
      <c r="Q44" s="368"/>
      <c r="R44" s="242" t="str">
        <f t="shared" si="0"/>
        <v/>
      </c>
      <c r="S44" s="175"/>
      <c r="W44" s="174"/>
      <c r="X44" s="8" t="str">
        <f>IF(Produits!A38&lt;&gt;"",Produits!A38,"")</f>
        <v>Viennoise Nature</v>
      </c>
      <c r="Y44" s="184" t="str">
        <f>IF(Produits!F38&lt;&gt;"",Produits!F38,"")</f>
        <v>Viennoiserie</v>
      </c>
      <c r="Z44" s="184"/>
      <c r="AA44" s="9">
        <f>IF(Produits!B38&lt;&gt;"",Produits!B38,"")</f>
        <v>1.2</v>
      </c>
      <c r="AB44" s="9" t="str">
        <f t="shared" si="9"/>
        <v/>
      </c>
      <c r="AC44" s="175"/>
      <c r="AF44" s="432" t="str">
        <f t="shared" si="16"/>
        <v/>
      </c>
      <c r="AG44" s="433"/>
      <c r="AH44" s="433"/>
      <c r="AI44" s="433"/>
      <c r="AJ44" s="434"/>
      <c r="AK44" s="269" t="str">
        <f t="shared" si="17"/>
        <v/>
      </c>
      <c r="AL44" s="270" t="str">
        <f t="shared" si="18"/>
        <v/>
      </c>
      <c r="AM44" s="369" t="str">
        <f>IF(P32&lt;&gt;"",P32*(1-AR44),IF(O32&lt;&gt;"",O32,""))</f>
        <v/>
      </c>
      <c r="AN44" s="404" t="str">
        <f t="shared" si="19"/>
        <v/>
      </c>
      <c r="AO44" s="405"/>
      <c r="AP44" s="404" t="str">
        <f t="shared" si="20"/>
        <v/>
      </c>
      <c r="AQ44" s="405"/>
      <c r="AR44" s="370" t="str">
        <f t="shared" si="21"/>
        <v/>
      </c>
    </row>
    <row r="45" spans="2:44" ht="16.5" customHeight="1">
      <c r="B45" s="174"/>
      <c r="D45" s="428"/>
      <c r="E45" s="428"/>
      <c r="F45" s="428"/>
      <c r="G45" s="169"/>
      <c r="I45" s="175"/>
      <c r="K45" s="174"/>
      <c r="L45"/>
      <c r="M45"/>
      <c r="N45"/>
      <c r="O45" s="63"/>
      <c r="P45" s="63"/>
      <c r="Q45" s="368"/>
      <c r="R45" s="242" t="str">
        <f t="shared" si="0"/>
        <v/>
      </c>
      <c r="S45" s="175"/>
      <c r="W45" s="174"/>
      <c r="X45" s="8" t="str">
        <f>IF(Produits!A39&lt;&gt;"",Produits!A39,"")</f>
        <v>Viennoise au Chocolat</v>
      </c>
      <c r="Y45" s="184" t="str">
        <f>IF(Produits!F39&lt;&gt;"",Produits!F39,"")</f>
        <v>Viennoiserie</v>
      </c>
      <c r="Z45" s="184"/>
      <c r="AA45" s="9">
        <f>IF(Produits!B39&lt;&gt;"",Produits!B39,"")</f>
        <v>1.4</v>
      </c>
      <c r="AB45" s="9" t="str">
        <f t="shared" si="9"/>
        <v/>
      </c>
      <c r="AC45" s="175"/>
      <c r="AF45" s="432" t="str">
        <f t="shared" si="16"/>
        <v/>
      </c>
      <c r="AG45" s="433"/>
      <c r="AH45" s="433"/>
      <c r="AI45" s="433"/>
      <c r="AJ45" s="434"/>
      <c r="AK45" s="269" t="str">
        <f t="shared" si="17"/>
        <v/>
      </c>
      <c r="AL45" s="270" t="str">
        <f t="shared" si="18"/>
        <v/>
      </c>
      <c r="AM45" s="369" t="str">
        <f>IF(P33&lt;&gt;"",P33*(1-AR45),IF(O33&lt;&gt;"",O33,""))</f>
        <v/>
      </c>
      <c r="AN45" s="404" t="str">
        <f t="shared" si="19"/>
        <v/>
      </c>
      <c r="AO45" s="405"/>
      <c r="AP45" s="404" t="str">
        <f t="shared" si="20"/>
        <v/>
      </c>
      <c r="AQ45" s="405"/>
      <c r="AR45" s="370" t="str">
        <f t="shared" si="21"/>
        <v/>
      </c>
    </row>
    <row r="46" spans="2:44" ht="16.5" customHeight="1">
      <c r="B46" s="174"/>
      <c r="C46" s="170"/>
      <c r="D46" s="428"/>
      <c r="E46" s="428"/>
      <c r="F46" s="428"/>
      <c r="G46" s="169"/>
      <c r="I46" s="175"/>
      <c r="K46" s="174"/>
      <c r="L46"/>
      <c r="M46"/>
      <c r="N46"/>
      <c r="O46" s="63"/>
      <c r="P46" s="63"/>
      <c r="Q46" s="368"/>
      <c r="R46" s="242" t="str">
        <f t="shared" si="0"/>
        <v/>
      </c>
      <c r="S46" s="175"/>
      <c r="W46" s="174"/>
      <c r="X46" s="8" t="str">
        <f>IF(Produits!A40&lt;&gt;"",Produits!A40,"")</f>
        <v>Chouquettes</v>
      </c>
      <c r="Y46" s="184" t="str">
        <f>IF(Produits!F40&lt;&gt;"",Produits!F40,"")</f>
        <v>Viennoiserie</v>
      </c>
      <c r="Z46" s="184"/>
      <c r="AA46" s="9">
        <f>IF(Produits!B40&lt;&gt;"",Produits!B40,"")</f>
        <v>0.25</v>
      </c>
      <c r="AB46" s="9" t="str">
        <f t="shared" si="9"/>
        <v/>
      </c>
      <c r="AC46" s="175"/>
      <c r="AE46" s="266"/>
      <c r="AF46" s="432" t="str">
        <f t="shared" si="16"/>
        <v/>
      </c>
      <c r="AG46" s="433"/>
      <c r="AH46" s="433"/>
      <c r="AI46" s="433"/>
      <c r="AJ46" s="434"/>
      <c r="AK46" s="269" t="str">
        <f t="shared" si="17"/>
        <v/>
      </c>
      <c r="AL46" s="270" t="str">
        <f t="shared" si="18"/>
        <v/>
      </c>
      <c r="AM46" s="369" t="str">
        <f>IF(P34&lt;&gt;"",P34*(1-AR46),IF(O34&lt;&gt;"",O34,""))</f>
        <v/>
      </c>
      <c r="AN46" s="404" t="str">
        <f t="shared" si="19"/>
        <v/>
      </c>
      <c r="AO46" s="405"/>
      <c r="AP46" s="404" t="str">
        <f t="shared" si="20"/>
        <v/>
      </c>
      <c r="AQ46" s="405"/>
      <c r="AR46" s="370" t="str">
        <f t="shared" si="21"/>
        <v/>
      </c>
    </row>
    <row r="47" spans="2:44" ht="16.5" customHeight="1">
      <c r="B47" s="174"/>
      <c r="C47" s="170"/>
      <c r="D47" s="428"/>
      <c r="E47" s="428"/>
      <c r="F47" s="428"/>
      <c r="G47" s="169"/>
      <c r="I47" s="175"/>
      <c r="K47" s="174"/>
      <c r="L47"/>
      <c r="M47"/>
      <c r="N47"/>
      <c r="O47" s="63"/>
      <c r="P47" s="63"/>
      <c r="Q47" s="368"/>
      <c r="R47" s="242" t="str">
        <f t="shared" si="0"/>
        <v/>
      </c>
      <c r="S47" s="175"/>
      <c r="W47" s="174"/>
      <c r="X47" s="8" t="str">
        <f>IF(Produits!A41&lt;&gt;"",Produits!A41,"")</f>
        <v>Mini Viennoiserie</v>
      </c>
      <c r="Y47" s="184" t="str">
        <f>IF(Produits!F41&lt;&gt;"",Produits!F41,"")</f>
        <v>Viennoiserie</v>
      </c>
      <c r="Z47" s="184"/>
      <c r="AA47" s="9">
        <f>IF(Produits!B41&lt;&gt;"",Produits!B41,"")</f>
        <v>0.55000000000000004</v>
      </c>
      <c r="AB47" s="9" t="str">
        <f t="shared" si="9"/>
        <v/>
      </c>
      <c r="AC47" s="175"/>
      <c r="AE47" s="266"/>
      <c r="AF47" s="271" t="s">
        <v>835</v>
      </c>
      <c r="AG47" s="272"/>
      <c r="AH47" s="272"/>
      <c r="AI47" s="272"/>
      <c r="AJ47" s="273"/>
      <c r="AK47" s="274" t="str">
        <f>IF(N32&lt;&gt;"",N32,"")</f>
        <v/>
      </c>
      <c r="AL47" s="270" t="str">
        <f>IF(AM47&lt;&gt;"",AM47*(1-AR47),"")</f>
        <v/>
      </c>
      <c r="AM47" s="369" t="str">
        <f>IF(O32&lt;&gt;"",O32,"")</f>
        <v/>
      </c>
      <c r="AN47" s="404">
        <f>SUM(AN21:AO46)</f>
        <v>603.93365265633827</v>
      </c>
      <c r="AO47" s="405"/>
      <c r="AP47" s="404">
        <f>SUM(AP21:AQ46)</f>
        <v>637.15000355243683</v>
      </c>
      <c r="AQ47" s="405"/>
      <c r="AR47" s="275" t="str">
        <f>IF(AM47&lt;&gt;"",1,"")</f>
        <v/>
      </c>
    </row>
    <row r="48" spans="2:44" ht="16.5" customHeight="1">
      <c r="B48" s="174"/>
      <c r="C48" s="170"/>
      <c r="D48" s="428"/>
      <c r="E48" s="428"/>
      <c r="F48" s="428"/>
      <c r="G48" s="169"/>
      <c r="I48" s="175"/>
      <c r="K48" s="174"/>
      <c r="L48"/>
      <c r="M48"/>
      <c r="N48"/>
      <c r="O48" s="63"/>
      <c r="P48" s="63"/>
      <c r="Q48" s="368"/>
      <c r="R48" s="242" t="str">
        <f t="shared" si="0"/>
        <v/>
      </c>
      <c r="S48" s="175"/>
      <c r="W48" s="174"/>
      <c r="X48" s="8" t="str">
        <f>IF(Produits!A42&lt;&gt;"",Produits!A42,"")</f>
        <v>Barre Energétique</v>
      </c>
      <c r="Y48" s="184" t="str">
        <f>IF(Produits!F42&lt;&gt;"",Produits!F42,"")</f>
        <v>Viennoiserie</v>
      </c>
      <c r="Z48" s="184"/>
      <c r="AA48" s="9">
        <f>IF(Produits!B42&lt;&gt;"",Produits!B42,"")</f>
        <v>1.5</v>
      </c>
      <c r="AB48" s="9" t="str">
        <f t="shared" si="9"/>
        <v/>
      </c>
      <c r="AC48" s="175"/>
      <c r="AF48" s="271" t="s">
        <v>762</v>
      </c>
      <c r="AG48" s="272"/>
      <c r="AH48" s="272"/>
      <c r="AI48" s="272"/>
      <c r="AJ48" s="273"/>
      <c r="AK48" s="276">
        <v>0</v>
      </c>
      <c r="AL48" s="270"/>
      <c r="AM48" s="369"/>
      <c r="AN48" s="404">
        <f>AN47*AK48</f>
        <v>0</v>
      </c>
      <c r="AO48" s="405"/>
      <c r="AP48" s="404">
        <f>AP47*AK48</f>
        <v>0</v>
      </c>
      <c r="AQ48" s="405"/>
      <c r="AR48" s="275"/>
    </row>
    <row r="49" spans="2:44" ht="18.5">
      <c r="B49" s="174"/>
      <c r="C49" s="170"/>
      <c r="D49" s="428"/>
      <c r="E49" s="428"/>
      <c r="F49" s="428"/>
      <c r="G49" s="169"/>
      <c r="H49" s="169"/>
      <c r="I49" s="175"/>
      <c r="K49" s="174"/>
      <c r="L49"/>
      <c r="M49"/>
      <c r="N49"/>
      <c r="O49" s="63"/>
      <c r="P49" s="63"/>
      <c r="Q49" s="368"/>
      <c r="R49" s="242" t="str">
        <f>IF(N49&lt;&gt;"",IF(O49&lt;&gt;"",N49*O49,IF(P49&lt;&gt;"",N49*P49*(1-IF(Q49&lt;&gt;"",Q49,0.055)),"")),"")</f>
        <v/>
      </c>
      <c r="S49" s="175"/>
      <c r="W49" s="174"/>
      <c r="X49" s="8" t="str">
        <f>IF(Produits!A43&lt;&gt;"",Produits!A43,"")</f>
        <v>Brioche Aromatisée</v>
      </c>
      <c r="Y49" s="184" t="str">
        <f>IF(Produits!F43&lt;&gt;"",Produits!F43,"")</f>
        <v>Viennoiserie</v>
      </c>
      <c r="Z49" s="184"/>
      <c r="AA49" s="9">
        <f>IF(Produits!B43&lt;&gt;"",Produits!B43,"")</f>
        <v>1.35</v>
      </c>
      <c r="AB49" s="9" t="str">
        <f t="shared" si="9"/>
        <v/>
      </c>
      <c r="AC49" s="175"/>
      <c r="AF49" s="271" t="s">
        <v>761</v>
      </c>
      <c r="AG49" s="272"/>
      <c r="AH49" s="272"/>
      <c r="AI49" s="272"/>
      <c r="AJ49" s="273"/>
      <c r="AK49" s="269" t="str">
        <f>IF(N34&lt;&gt;"",N34,"")</f>
        <v/>
      </c>
      <c r="AL49" s="270"/>
      <c r="AM49" s="371"/>
      <c r="AN49" s="430">
        <f>AN47-AN48</f>
        <v>603.93365265633827</v>
      </c>
      <c r="AO49" s="431"/>
      <c r="AP49" s="430">
        <f>AP47-AP48</f>
        <v>637.15000355243683</v>
      </c>
      <c r="AQ49" s="431"/>
      <c r="AR49" s="275"/>
    </row>
    <row r="50" spans="2:44" ht="18.5">
      <c r="B50" s="174"/>
      <c r="C50" s="170"/>
      <c r="D50" s="428"/>
      <c r="E50" s="428"/>
      <c r="F50" s="428"/>
      <c r="G50" s="169"/>
      <c r="H50" s="169"/>
      <c r="I50" s="175"/>
      <c r="K50" s="174"/>
      <c r="L50"/>
      <c r="M50"/>
      <c r="N50"/>
      <c r="O50" s="63"/>
      <c r="P50" s="63"/>
      <c r="Q50" s="368"/>
      <c r="R50" s="242" t="str">
        <f t="shared" si="0"/>
        <v/>
      </c>
      <c r="S50" s="175"/>
      <c r="W50" s="174"/>
      <c r="X50" s="8" t="str">
        <f>IF(Produits!A44&lt;&gt;"",Produits!A44,"")</f>
        <v>Brioche Nature</v>
      </c>
      <c r="Y50" s="184" t="str">
        <f>IF(Produits!F44&lt;&gt;"",Produits!F44,"")</f>
        <v>Viennoiserie</v>
      </c>
      <c r="Z50" s="184"/>
      <c r="AA50" s="9">
        <f>IF(Produits!B44&lt;&gt;"",Produits!B44,"")</f>
        <v>1.35</v>
      </c>
      <c r="AB50" s="9" t="str">
        <f t="shared" si="9"/>
        <v/>
      </c>
      <c r="AC50" s="175"/>
      <c r="AF50" s="277" t="s">
        <v>60</v>
      </c>
      <c r="AG50" s="278"/>
      <c r="AH50" s="278"/>
      <c r="AI50" s="278"/>
      <c r="AJ50" s="278"/>
      <c r="AK50" s="447" t="s">
        <v>57</v>
      </c>
      <c r="AL50" s="448"/>
      <c r="AM50" s="279" t="s">
        <v>370</v>
      </c>
      <c r="AN50" s="449" t="s">
        <v>58</v>
      </c>
      <c r="AO50" s="448"/>
      <c r="AP50" s="450" t="s">
        <v>763</v>
      </c>
      <c r="AQ50" s="451"/>
      <c r="AR50" s="452"/>
    </row>
    <row r="51" spans="2:44" ht="18.5">
      <c r="B51" s="174"/>
      <c r="C51" s="170"/>
      <c r="D51" s="428"/>
      <c r="E51" s="428"/>
      <c r="F51" s="428"/>
      <c r="G51" s="169"/>
      <c r="H51" s="169"/>
      <c r="I51" s="175"/>
      <c r="K51" s="174"/>
      <c r="L51"/>
      <c r="M51"/>
      <c r="N51"/>
      <c r="O51" s="63"/>
      <c r="P51" s="63"/>
      <c r="Q51" s="368"/>
      <c r="R51" s="242" t="str">
        <f t="shared" si="0"/>
        <v/>
      </c>
      <c r="S51" s="175"/>
      <c r="W51" s="174"/>
      <c r="X51" s="8" t="str">
        <f>IF(Produits!A45&lt;&gt;"",Produits!A45,"")</f>
        <v>Brioche au Sucre</v>
      </c>
      <c r="Y51" s="184" t="str">
        <f>IF(Produits!F45&lt;&gt;"",Produits!F45,"")</f>
        <v>Viennoiserie</v>
      </c>
      <c r="Z51" s="184"/>
      <c r="AA51" s="9">
        <f>IF(Produits!B45&lt;&gt;"",Produits!B45,"")</f>
        <v>1.35</v>
      </c>
      <c r="AB51" s="9" t="str">
        <f t="shared" si="9"/>
        <v/>
      </c>
      <c r="AC51" s="175"/>
      <c r="AF51" s="444" t="str">
        <f>AF8</f>
        <v>SARL LOLA</v>
      </c>
      <c r="AG51" s="445"/>
      <c r="AH51" s="445"/>
      <c r="AI51" s="445"/>
      <c r="AJ51" s="446"/>
      <c r="AK51" s="442">
        <f>AN49</f>
        <v>603.93365265633827</v>
      </c>
      <c r="AL51" s="443"/>
      <c r="AM51" s="281">
        <v>5.5E-2</v>
      </c>
      <c r="AN51" s="442">
        <f>AK51*AM51</f>
        <v>33.216350896098604</v>
      </c>
      <c r="AO51" s="443"/>
      <c r="AP51" s="439">
        <f>AK51+AN51</f>
        <v>637.15000355243683</v>
      </c>
      <c r="AQ51" s="440"/>
      <c r="AR51" s="441"/>
    </row>
    <row r="52" spans="2:44" ht="18.5">
      <c r="B52" s="174"/>
      <c r="C52" s="170"/>
      <c r="D52" s="428"/>
      <c r="E52" s="428"/>
      <c r="F52" s="428"/>
      <c r="G52" s="169"/>
      <c r="H52" s="169"/>
      <c r="I52" s="175"/>
      <c r="K52" s="174"/>
      <c r="L52"/>
      <c r="M52"/>
      <c r="N52"/>
      <c r="O52" s="63"/>
      <c r="P52" s="63"/>
      <c r="Q52" s="368"/>
      <c r="R52" s="242" t="str">
        <f t="shared" ref="R52:R71" si="22">IF(N52&lt;&gt;"",IF(O52&lt;&gt;"",N52*O52,IF(P52&lt;&gt;"",N52*P52*(1-IF(Q52&lt;&gt;"",Q52,0.055)),"")),"")</f>
        <v/>
      </c>
      <c r="S52" s="175"/>
      <c r="W52" s="174"/>
      <c r="X52" s="8" t="str">
        <f>IF(Produits!A46&lt;&gt;"",Produits!A46,"")</f>
        <v>Brioche Suisse</v>
      </c>
      <c r="Y52" s="184" t="str">
        <f>IF(Produits!F46&lt;&gt;"",Produits!F46,"")</f>
        <v>Viennoiserie</v>
      </c>
      <c r="Z52" s="184"/>
      <c r="AA52" s="9">
        <f>IF(Produits!B46&lt;&gt;"",Produits!B46,"")</f>
        <v>1.45</v>
      </c>
      <c r="AB52" s="9" t="str">
        <f t="shared" si="9"/>
        <v/>
      </c>
      <c r="AC52" s="175"/>
      <c r="AF52" s="282" t="s">
        <v>139</v>
      </c>
      <c r="AG52" s="268"/>
      <c r="AH52" s="453" t="str">
        <f>AK17</f>
        <v>20161212-001</v>
      </c>
      <c r="AI52" s="453"/>
      <c r="AJ52" s="454"/>
      <c r="AK52" s="283"/>
      <c r="AL52" s="284"/>
      <c r="AM52" s="284"/>
      <c r="AN52" s="284"/>
      <c r="AO52" s="284"/>
      <c r="AP52" s="284"/>
      <c r="AQ52" s="284"/>
      <c r="AR52" s="285"/>
    </row>
    <row r="53" spans="2:44" ht="18.5">
      <c r="B53" s="174"/>
      <c r="D53" s="428"/>
      <c r="E53" s="428"/>
      <c r="F53" s="428"/>
      <c r="I53" s="175"/>
      <c r="K53" s="174"/>
      <c r="L53"/>
      <c r="M53"/>
      <c r="N53"/>
      <c r="O53" s="63"/>
      <c r="P53" s="63"/>
      <c r="Q53" s="368"/>
      <c r="R53" s="242" t="str">
        <f t="shared" si="22"/>
        <v/>
      </c>
      <c r="S53" s="175"/>
      <c r="W53" s="174"/>
      <c r="X53" s="8" t="str">
        <f>IF(Produits!A47&lt;&gt;"",Produits!A47,"")</f>
        <v>Brioche Parisienne</v>
      </c>
      <c r="Y53" s="184" t="str">
        <f>IF(Produits!F47&lt;&gt;"",Produits!F47,"")</f>
        <v>Viennoiserie</v>
      </c>
      <c r="Z53" s="184">
        <v>5</v>
      </c>
      <c r="AA53" s="9">
        <f>IF(Produits!B47&lt;&gt;"",Produits!B47,"")</f>
        <v>4</v>
      </c>
      <c r="AB53" s="9">
        <f t="shared" si="9"/>
        <v>20</v>
      </c>
      <c r="AC53" s="175"/>
      <c r="AF53" s="282" t="s">
        <v>140</v>
      </c>
      <c r="AG53" s="268"/>
      <c r="AH53" s="453" t="str">
        <f>AF17</f>
        <v>La Table Monceau</v>
      </c>
      <c r="AI53" s="453"/>
      <c r="AJ53" s="454"/>
      <c r="AK53" s="283"/>
      <c r="AL53" s="284"/>
      <c r="AM53" s="284"/>
      <c r="AN53" s="284"/>
      <c r="AO53" s="284"/>
      <c r="AP53" s="284"/>
      <c r="AQ53" s="284"/>
      <c r="AR53" s="285"/>
    </row>
    <row r="54" spans="2:44" ht="18.5">
      <c r="B54" s="174"/>
      <c r="D54" s="428"/>
      <c r="E54" s="428"/>
      <c r="F54" s="428"/>
      <c r="I54" s="175"/>
      <c r="K54" s="174"/>
      <c r="L54"/>
      <c r="M54"/>
      <c r="N54"/>
      <c r="O54" s="63"/>
      <c r="P54" s="63"/>
      <c r="Q54" s="368"/>
      <c r="R54" s="242" t="str">
        <f t="shared" si="22"/>
        <v/>
      </c>
      <c r="S54" s="175"/>
      <c r="W54" s="174"/>
      <c r="X54" s="8" t="str">
        <f>IF(Produits!A48&lt;&gt;"",Produits!A48,"")</f>
        <v>Mini Beignet</v>
      </c>
      <c r="Y54" s="184" t="str">
        <f>IF(Produits!F48&lt;&gt;"",Produits!F48,"")</f>
        <v>Viennoiserie</v>
      </c>
      <c r="Z54" s="184"/>
      <c r="AA54" s="9">
        <f>IF(Produits!B48&lt;&gt;"",Produits!B48,"")</f>
        <v>0.65</v>
      </c>
      <c r="AB54" s="9" t="str">
        <f t="shared" si="9"/>
        <v/>
      </c>
      <c r="AC54" s="175"/>
      <c r="AF54" s="282" t="s">
        <v>65</v>
      </c>
      <c r="AG54" s="268"/>
      <c r="AH54" s="435">
        <f>AI17</f>
        <v>42716</v>
      </c>
      <c r="AI54" s="435"/>
      <c r="AJ54" s="436"/>
      <c r="AK54" s="283"/>
      <c r="AL54" s="284"/>
      <c r="AM54" s="284"/>
      <c r="AN54" s="284"/>
      <c r="AO54" s="284"/>
      <c r="AP54" s="284"/>
      <c r="AQ54" s="284"/>
      <c r="AR54" s="285"/>
    </row>
    <row r="55" spans="2:44" ht="18.5">
      <c r="B55" s="174"/>
      <c r="D55" s="428"/>
      <c r="E55" s="428"/>
      <c r="F55" s="428"/>
      <c r="I55" s="175"/>
      <c r="K55" s="174"/>
      <c r="L55"/>
      <c r="M55"/>
      <c r="N55"/>
      <c r="O55" s="63"/>
      <c r="P55" s="63"/>
      <c r="Q55" s="368"/>
      <c r="R55" s="242" t="str">
        <f t="shared" si="22"/>
        <v/>
      </c>
      <c r="S55" s="175"/>
      <c r="W55" s="174"/>
      <c r="X55" s="8" t="str">
        <f>IF(Produits!A49&lt;&gt;"",Produits!A49,"")</f>
        <v>Cookie</v>
      </c>
      <c r="Y55" s="184" t="str">
        <f>IF(Produits!F49&lt;&gt;"",Produits!F49,"")</f>
        <v>Viennoiserie</v>
      </c>
      <c r="Z55" s="184"/>
      <c r="AA55" s="9">
        <f>IF(Produits!B49&lt;&gt;"",Produits!B49,"")</f>
        <v>1.2</v>
      </c>
      <c r="AB55" s="9" t="str">
        <f t="shared" si="9"/>
        <v/>
      </c>
      <c r="AC55" s="175"/>
      <c r="AF55" s="282" t="s">
        <v>59</v>
      </c>
      <c r="AG55" s="268"/>
      <c r="AH55" s="437">
        <f>AP51</f>
        <v>637.15000355243683</v>
      </c>
      <c r="AI55" s="437"/>
      <c r="AJ55" s="438"/>
      <c r="AK55" s="283"/>
      <c r="AL55" s="284"/>
      <c r="AM55" s="284"/>
      <c r="AN55" s="284"/>
      <c r="AO55" s="284"/>
      <c r="AP55" s="284"/>
      <c r="AQ55" s="284"/>
      <c r="AR55" s="285"/>
    </row>
    <row r="56" spans="2:44" ht="18.5">
      <c r="B56" s="174"/>
      <c r="D56" s="428"/>
      <c r="E56" s="428"/>
      <c r="F56" s="428"/>
      <c r="I56" s="175"/>
      <c r="K56" s="174"/>
      <c r="L56"/>
      <c r="M56"/>
      <c r="N56"/>
      <c r="O56" s="63"/>
      <c r="P56" s="63"/>
      <c r="Q56" s="368"/>
      <c r="R56" s="242" t="str">
        <f t="shared" si="22"/>
        <v/>
      </c>
      <c r="S56" s="175"/>
      <c r="W56" s="174"/>
      <c r="X56" s="8" t="str">
        <f>IF(Produits!A50&lt;&gt;"",Produits!A50,"")</f>
        <v>Brownie</v>
      </c>
      <c r="Y56" s="184" t="str">
        <f>IF(Produits!F50&lt;&gt;"",Produits!F50,"")</f>
        <v>Viennoiserie</v>
      </c>
      <c r="Z56" s="184"/>
      <c r="AA56" s="9">
        <f>IF(Produits!B50&lt;&gt;"",Produits!B50,"")</f>
        <v>2.2999999999999998</v>
      </c>
      <c r="AB56" s="9" t="str">
        <f t="shared" si="9"/>
        <v/>
      </c>
      <c r="AC56" s="175"/>
      <c r="AF56" s="282"/>
      <c r="AG56" s="268"/>
      <c r="AH56" s="268"/>
      <c r="AI56" s="268"/>
      <c r="AJ56" s="280"/>
      <c r="AK56" s="283"/>
      <c r="AL56" s="284"/>
      <c r="AM56" s="284"/>
      <c r="AN56" s="284"/>
      <c r="AO56" s="284"/>
      <c r="AP56" s="284"/>
      <c r="AQ56" s="284"/>
      <c r="AR56" s="285"/>
    </row>
    <row r="57" spans="2:44" ht="18.5">
      <c r="B57" s="174"/>
      <c r="I57" s="175"/>
      <c r="K57" s="174"/>
      <c r="L57"/>
      <c r="M57"/>
      <c r="N57"/>
      <c r="O57" s="63"/>
      <c r="P57" s="63"/>
      <c r="Q57" s="368"/>
      <c r="R57" s="242" t="str">
        <f t="shared" si="22"/>
        <v/>
      </c>
      <c r="S57" s="175"/>
      <c r="W57" s="174"/>
      <c r="X57" s="8" t="str">
        <f>IF(Produits!A51&lt;&gt;"",Produits!A51,"")</f>
        <v>Muffin Caramel</v>
      </c>
      <c r="Y57" s="184" t="str">
        <f>IF(Produits!F51&lt;&gt;"",Produits!F51,"")</f>
        <v>Viennoiserie</v>
      </c>
      <c r="Z57" s="184"/>
      <c r="AA57" s="9">
        <f>IF(Produits!B51&lt;&gt;"",Produits!B51,"")</f>
        <v>2.2999999999999998</v>
      </c>
      <c r="AB57" s="9" t="str">
        <f t="shared" si="9"/>
        <v/>
      </c>
      <c r="AC57" s="175"/>
      <c r="AF57" s="286"/>
      <c r="AG57" s="287"/>
      <c r="AH57" s="288"/>
      <c r="AI57" s="288"/>
      <c r="AJ57" s="289"/>
      <c r="AK57" s="290"/>
      <c r="AL57" s="291"/>
      <c r="AM57" s="291"/>
      <c r="AN57" s="291"/>
      <c r="AO57" s="291"/>
      <c r="AP57" s="291"/>
      <c r="AQ57" s="291"/>
      <c r="AR57" s="292"/>
    </row>
    <row r="58" spans="2:44" ht="15.75" customHeight="1">
      <c r="B58" s="174"/>
      <c r="C58" s="170" t="s">
        <v>95</v>
      </c>
      <c r="D58" s="428" t="str">
        <f>analyserListeProduits(FrmFactureListeProduitsBrut)</f>
        <v xml:space="preserve">303*Tradition (1,15€)_x000D_
110*Demi-Tradition (0,6€)_x000D_
4*Pain de Mie (2,3€)_x000D_
143*Pain Burger (1,2€)_x000D_
109*Croissant (1,05€)_x000D_
99*Pain au Chocolat (1,15€)_x000D_
</v>
      </c>
      <c r="E58" s="428"/>
      <c r="F58" s="428"/>
      <c r="I58" s="175"/>
      <c r="K58" s="174"/>
      <c r="L58"/>
      <c r="M58"/>
      <c r="N58"/>
      <c r="O58" s="63"/>
      <c r="P58" s="63"/>
      <c r="Q58" s="368"/>
      <c r="R58" s="242" t="str">
        <f t="shared" si="22"/>
        <v/>
      </c>
      <c r="S58" s="175"/>
      <c r="W58" s="174"/>
      <c r="X58" s="8" t="str">
        <f>IF(Produits!A52&lt;&gt;"",Produits!A52,"")</f>
        <v>Muffin Chocolat</v>
      </c>
      <c r="Y58" s="184" t="str">
        <f>IF(Produits!F52&lt;&gt;"",Produits!F52,"")</f>
        <v>Viennoiserie</v>
      </c>
      <c r="Z58" s="184"/>
      <c r="AA58" s="9">
        <f>IF(Produits!B52&lt;&gt;"",Produits!B52,"")</f>
        <v>2.2999999999999998</v>
      </c>
      <c r="AB58" s="9" t="str">
        <f t="shared" si="9"/>
        <v/>
      </c>
      <c r="AC58" s="175"/>
    </row>
    <row r="59" spans="2:44">
      <c r="B59" s="174"/>
      <c r="D59" s="428"/>
      <c r="E59" s="428"/>
      <c r="F59" s="428"/>
      <c r="I59" s="175"/>
      <c r="K59" s="174"/>
      <c r="L59"/>
      <c r="M59"/>
      <c r="N59"/>
      <c r="O59" s="63"/>
      <c r="P59" s="63"/>
      <c r="Q59" s="368"/>
      <c r="R59" s="242" t="str">
        <f t="shared" si="22"/>
        <v/>
      </c>
      <c r="S59" s="175"/>
      <c r="W59" s="174"/>
      <c r="X59" s="8" t="str">
        <f>IF(Produits!A53&lt;&gt;"",Produits!A53,"")</f>
        <v>Muffin Myrtille</v>
      </c>
      <c r="Y59" s="184" t="str">
        <f>IF(Produits!F53&lt;&gt;"",Produits!F53,"")</f>
        <v>Viennoiserie</v>
      </c>
      <c r="Z59" s="184"/>
      <c r="AA59" s="9">
        <f>IF(Produits!B53&lt;&gt;"",Produits!B53,"")</f>
        <v>2.2999999999999998</v>
      </c>
      <c r="AB59" s="9" t="str">
        <f t="shared" si="9"/>
        <v/>
      </c>
      <c r="AC59" s="175"/>
    </row>
    <row r="60" spans="2:44">
      <c r="B60" s="174"/>
      <c r="D60" s="428"/>
      <c r="E60" s="428"/>
      <c r="F60" s="428"/>
      <c r="I60" s="175"/>
      <c r="K60" s="174"/>
      <c r="L60"/>
      <c r="M60"/>
      <c r="N60"/>
      <c r="O60" s="63"/>
      <c r="P60" s="63"/>
      <c r="Q60" s="368"/>
      <c r="R60" s="242" t="str">
        <f t="shared" si="22"/>
        <v/>
      </c>
      <c r="S60" s="175"/>
      <c r="W60" s="174"/>
      <c r="X60" s="8" t="str">
        <f>IF(Produits!A54&lt;&gt;"",Produits!A54,"")</f>
        <v>Caramel ou Nougat</v>
      </c>
      <c r="Y60" s="184" t="str">
        <f>IF(Produits!F54&lt;&gt;"",Produits!F54,"")</f>
        <v>Viennoiserie</v>
      </c>
      <c r="Z60" s="184"/>
      <c r="AA60" s="9">
        <f>IF(Produits!B54&lt;&gt;"",Produits!B54,"")</f>
        <v>3.9</v>
      </c>
      <c r="AB60" s="9" t="str">
        <f t="shared" si="9"/>
        <v/>
      </c>
      <c r="AC60" s="175"/>
    </row>
    <row r="61" spans="2:44">
      <c r="B61" s="174"/>
      <c r="D61" s="428"/>
      <c r="E61" s="428"/>
      <c r="F61" s="428"/>
      <c r="I61" s="175"/>
      <c r="K61" s="174"/>
      <c r="L61"/>
      <c r="M61"/>
      <c r="N61"/>
      <c r="O61" s="63"/>
      <c r="P61" s="63"/>
      <c r="Q61" s="368"/>
      <c r="R61" s="242" t="str">
        <f t="shared" si="22"/>
        <v/>
      </c>
      <c r="S61" s="175"/>
      <c r="W61" s="174"/>
      <c r="X61" s="8" t="str">
        <f>IF(Produits!A55&lt;&gt;"",Produits!A55,"")</f>
        <v>Cannelé</v>
      </c>
      <c r="Y61" s="184" t="str">
        <f>IF(Produits!F55&lt;&gt;"",Produits!F55,"")</f>
        <v>Viennoiserie</v>
      </c>
      <c r="Z61" s="184"/>
      <c r="AA61" s="9">
        <f>IF(Produits!B55&lt;&gt;"",Produits!B55,"")</f>
        <v>2</v>
      </c>
      <c r="AB61" s="9" t="str">
        <f t="shared" si="9"/>
        <v/>
      </c>
      <c r="AC61" s="175"/>
    </row>
    <row r="62" spans="2:44">
      <c r="B62" s="174"/>
      <c r="D62" s="428"/>
      <c r="E62" s="428"/>
      <c r="F62" s="428"/>
      <c r="I62" s="175"/>
      <c r="K62" s="174"/>
      <c r="L62"/>
      <c r="M62"/>
      <c r="N62"/>
      <c r="O62" s="63"/>
      <c r="P62" s="63"/>
      <c r="Q62" s="368"/>
      <c r="R62" s="242" t="str">
        <f t="shared" si="22"/>
        <v/>
      </c>
      <c r="S62" s="175"/>
      <c r="W62" s="174"/>
      <c r="X62" s="8" t="str">
        <f>IF(Produits!A56&lt;&gt;"",Produits!A56,"")</f>
        <v>Fondant Chocolat</v>
      </c>
      <c r="Y62" s="184" t="str">
        <f>IF(Produits!F56&lt;&gt;"",Produits!F56,"")</f>
        <v>Viennoiserie</v>
      </c>
      <c r="Z62" s="184"/>
      <c r="AA62" s="9">
        <f>IF(Produits!B56&lt;&gt;"",Produits!B56,"")</f>
        <v>2.2999999999999998</v>
      </c>
      <c r="AB62" s="9" t="str">
        <f t="shared" si="9"/>
        <v/>
      </c>
      <c r="AC62" s="175"/>
    </row>
    <row r="63" spans="2:44">
      <c r="B63" s="174"/>
      <c r="D63" s="428"/>
      <c r="E63" s="428"/>
      <c r="F63" s="428"/>
      <c r="I63" s="175"/>
      <c r="K63" s="174"/>
      <c r="L63"/>
      <c r="M63"/>
      <c r="N63"/>
      <c r="O63" s="63"/>
      <c r="P63" s="63"/>
      <c r="Q63" s="368"/>
      <c r="R63" s="242" t="str">
        <f t="shared" si="22"/>
        <v/>
      </c>
      <c r="S63" s="175"/>
      <c r="W63" s="174"/>
      <c r="X63" s="8" t="str">
        <f>IF(Produits!A57&lt;&gt;"",Produits!A57,"")</f>
        <v>Financier Chocolat</v>
      </c>
      <c r="Y63" s="184" t="str">
        <f>IF(Produits!F57&lt;&gt;"",Produits!F57,"")</f>
        <v>Viennoiserie</v>
      </c>
      <c r="Z63" s="184"/>
      <c r="AA63" s="9">
        <f>IF(Produits!B57&lt;&gt;"",Produits!B57,"")</f>
        <v>2.5</v>
      </c>
      <c r="AB63" s="9" t="str">
        <f t="shared" si="9"/>
        <v/>
      </c>
      <c r="AC63" s="175"/>
    </row>
    <row r="64" spans="2:44">
      <c r="B64" s="174"/>
      <c r="D64" s="428"/>
      <c r="E64" s="428"/>
      <c r="F64" s="428"/>
      <c r="I64" s="175"/>
      <c r="K64" s="174"/>
      <c r="L64"/>
      <c r="M64"/>
      <c r="N64"/>
      <c r="O64" s="63"/>
      <c r="P64" s="63"/>
      <c r="Q64" s="368"/>
      <c r="R64" s="242" t="str">
        <f t="shared" si="22"/>
        <v/>
      </c>
      <c r="S64" s="175"/>
      <c r="W64" s="174"/>
      <c r="X64" s="8" t="str">
        <f>IF(Produits!A58&lt;&gt;"",Produits!A58,"")</f>
        <v>Financier Framboise</v>
      </c>
      <c r="Y64" s="184" t="str">
        <f>IF(Produits!F58&lt;&gt;"",Produits!F58,"")</f>
        <v>Viennoiserie</v>
      </c>
      <c r="Z64" s="184"/>
      <c r="AA64" s="9">
        <f>IF(Produits!B58&lt;&gt;"",Produits!B58,"")</f>
        <v>2.5</v>
      </c>
      <c r="AB64" s="9" t="str">
        <f t="shared" si="9"/>
        <v/>
      </c>
      <c r="AC64" s="175"/>
    </row>
    <row r="65" spans="2:29">
      <c r="B65" s="174"/>
      <c r="D65" s="428"/>
      <c r="E65" s="428"/>
      <c r="F65" s="428"/>
      <c r="I65" s="175"/>
      <c r="K65" s="174"/>
      <c r="L65"/>
      <c r="M65"/>
      <c r="N65"/>
      <c r="O65" s="63"/>
      <c r="P65" s="63"/>
      <c r="Q65" s="368"/>
      <c r="R65" s="242" t="str">
        <f t="shared" si="22"/>
        <v/>
      </c>
      <c r="S65" s="175"/>
      <c r="W65" s="174"/>
      <c r="X65" s="8" t="str">
        <f>IF(Produits!A59&lt;&gt;"",Produits!A59,"")</f>
        <v>Financier Pistache</v>
      </c>
      <c r="Y65" s="184" t="str">
        <f>IF(Produits!F59&lt;&gt;"",Produits!F59,"")</f>
        <v>Viennoiserie</v>
      </c>
      <c r="Z65" s="184"/>
      <c r="AA65" s="9">
        <f>IF(Produits!B59&lt;&gt;"",Produits!B59,"")</f>
        <v>2.5</v>
      </c>
      <c r="AB65" s="9" t="str">
        <f t="shared" si="9"/>
        <v/>
      </c>
      <c r="AC65" s="175"/>
    </row>
    <row r="66" spans="2:29">
      <c r="B66" s="174"/>
      <c r="D66" s="428"/>
      <c r="E66" s="428"/>
      <c r="F66" s="428"/>
      <c r="I66" s="175"/>
      <c r="K66" s="174"/>
      <c r="L66"/>
      <c r="M66"/>
      <c r="N66"/>
      <c r="O66" s="63"/>
      <c r="P66" s="63"/>
      <c r="Q66" s="368"/>
      <c r="R66" s="242" t="str">
        <f t="shared" si="22"/>
        <v/>
      </c>
      <c r="S66" s="175"/>
      <c r="W66" s="174"/>
      <c r="X66" s="8" t="str">
        <f>IF(Produits!A60&lt;&gt;"",Produits!A60,"")</f>
        <v>Mini Financier 150g</v>
      </c>
      <c r="Y66" s="184" t="str">
        <f>IF(Produits!F60&lt;&gt;"",Produits!F60,"")</f>
        <v>Viennoiserie</v>
      </c>
      <c r="Z66" s="184"/>
      <c r="AA66" s="9">
        <f>IF(Produits!B60&lt;&gt;"",Produits!B60,"")</f>
        <v>4.9000000000000004</v>
      </c>
      <c r="AB66" s="9" t="str">
        <f t="shared" si="9"/>
        <v/>
      </c>
      <c r="AC66" s="175"/>
    </row>
    <row r="67" spans="2:29">
      <c r="B67" s="174"/>
      <c r="D67" s="428"/>
      <c r="E67" s="428"/>
      <c r="F67" s="428"/>
      <c r="I67" s="175"/>
      <c r="K67" s="174"/>
      <c r="L67"/>
      <c r="M67"/>
      <c r="N67"/>
      <c r="O67" s="63"/>
      <c r="P67" s="63"/>
      <c r="Q67" s="368"/>
      <c r="R67" s="242" t="str">
        <f t="shared" si="22"/>
        <v/>
      </c>
      <c r="S67" s="175"/>
      <c r="W67" s="174"/>
      <c r="X67" s="8" t="str">
        <f>IF(Produits!A61&lt;&gt;"",Produits!A61,"")</f>
        <v>Mini Financier 300g</v>
      </c>
      <c r="Y67" s="184" t="str">
        <f>IF(Produits!F61&lt;&gt;"",Produits!F61,"")</f>
        <v>Viennoiserie</v>
      </c>
      <c r="Z67" s="184"/>
      <c r="AA67" s="9">
        <f>IF(Produits!B61&lt;&gt;"",Produits!B61,"")</f>
        <v>8.9</v>
      </c>
      <c r="AB67" s="9" t="str">
        <f t="shared" si="9"/>
        <v/>
      </c>
      <c r="AC67" s="175"/>
    </row>
    <row r="68" spans="2:29">
      <c r="B68" s="174"/>
      <c r="D68" s="428"/>
      <c r="E68" s="428"/>
      <c r="F68" s="428"/>
      <c r="I68" s="175"/>
      <c r="K68" s="174"/>
      <c r="L68"/>
      <c r="M68"/>
      <c r="N68"/>
      <c r="O68" s="63"/>
      <c r="P68" s="63"/>
      <c r="Q68" s="368"/>
      <c r="R68" s="242" t="str">
        <f t="shared" si="22"/>
        <v/>
      </c>
      <c r="S68" s="175"/>
      <c r="W68" s="174"/>
      <c r="X68" s="8" t="str">
        <f>IF(Produits!A62&lt;&gt;"",Produits!A62,"")</f>
        <v>Cake</v>
      </c>
      <c r="Y68" s="184" t="str">
        <f>IF(Produits!F62&lt;&gt;"",Produits!F62,"")</f>
        <v>Viennoiserie</v>
      </c>
      <c r="Z68" s="184"/>
      <c r="AA68" s="9">
        <f>IF(Produits!B62&lt;&gt;"",Produits!B62,"")</f>
        <v>8</v>
      </c>
      <c r="AB68" s="9" t="str">
        <f t="shared" si="9"/>
        <v/>
      </c>
      <c r="AC68" s="175"/>
    </row>
    <row r="69" spans="2:29">
      <c r="B69" s="174"/>
      <c r="D69" s="428"/>
      <c r="E69" s="428"/>
      <c r="F69" s="428"/>
      <c r="I69" s="175"/>
      <c r="K69" s="174"/>
      <c r="L69"/>
      <c r="M69"/>
      <c r="N69"/>
      <c r="O69" s="63"/>
      <c r="P69" s="63"/>
      <c r="Q69" s="368"/>
      <c r="R69" s="242" t="str">
        <f t="shared" si="22"/>
        <v/>
      </c>
      <c r="S69" s="175"/>
      <c r="W69" s="174"/>
      <c r="X69" s="8" t="str">
        <f>IF(Produits!A63&lt;&gt;"",Produits!A63,"")</f>
        <v>Palmier</v>
      </c>
      <c r="Y69" s="184" t="str">
        <f>IF(Produits!F63&lt;&gt;"",Produits!F63,"")</f>
        <v>Viennoiserie</v>
      </c>
      <c r="Z69" s="184"/>
      <c r="AA69" s="9">
        <f>IF(Produits!B63&lt;&gt;"",Produits!B63,"")</f>
        <v>2</v>
      </c>
      <c r="AB69" s="9" t="str">
        <f t="shared" si="9"/>
        <v/>
      </c>
      <c r="AC69" s="175"/>
    </row>
    <row r="70" spans="2:29">
      <c r="B70" s="174"/>
      <c r="D70" s="428"/>
      <c r="E70" s="428"/>
      <c r="F70" s="428"/>
      <c r="I70" s="175"/>
      <c r="K70" s="174"/>
      <c r="L70"/>
      <c r="M70"/>
      <c r="N70"/>
      <c r="O70" s="63"/>
      <c r="P70" s="63"/>
      <c r="Q70" s="368"/>
      <c r="R70" s="242" t="str">
        <f t="shared" si="22"/>
        <v/>
      </c>
      <c r="S70" s="175"/>
      <c r="W70" s="174"/>
      <c r="X70" s="8" t="str">
        <f>IF(Produits!A64&lt;&gt;"",Produits!A64,"")</f>
        <v>Macaron Crème Pistache</v>
      </c>
      <c r="Y70" s="184" t="str">
        <f>IF(Produits!F64&lt;&gt;"",Produits!F64,"")</f>
        <v>Viennoiserie</v>
      </c>
      <c r="Z70" s="184"/>
      <c r="AA70" s="9">
        <f>IF(Produits!B64&lt;&gt;"",Produits!B64,"")</f>
        <v>4.5</v>
      </c>
      <c r="AB70" s="9" t="str">
        <f t="shared" si="9"/>
        <v/>
      </c>
      <c r="AC70" s="175"/>
    </row>
    <row r="71" spans="2:29">
      <c r="B71" s="174"/>
      <c r="D71" s="428"/>
      <c r="E71" s="428"/>
      <c r="F71" s="428"/>
      <c r="I71" s="175"/>
      <c r="K71" s="174"/>
      <c r="L71"/>
      <c r="M71"/>
      <c r="N71"/>
      <c r="O71" s="63"/>
      <c r="P71" s="63"/>
      <c r="Q71" s="368"/>
      <c r="R71" s="242" t="str">
        <f t="shared" si="22"/>
        <v/>
      </c>
      <c r="S71" s="175"/>
      <c r="W71" s="174"/>
      <c r="X71" s="8" t="str">
        <f>IF(Produits!A65&lt;&gt;"",Produits!A65,"")</f>
        <v>Œufs Fourrés</v>
      </c>
      <c r="Y71" s="184" t="str">
        <f>IF(Produits!F65&lt;&gt;"",Produits!F65,"")</f>
        <v>Viennoiserie</v>
      </c>
      <c r="Z71" s="184"/>
      <c r="AA71" s="9">
        <f>IF(Produits!B65&lt;&gt;"",Produits!B65,"")</f>
        <v>0.5</v>
      </c>
      <c r="AB71" s="9" t="str">
        <f t="shared" si="9"/>
        <v/>
      </c>
      <c r="AC71" s="175"/>
    </row>
    <row r="72" spans="2:29">
      <c r="B72" s="174"/>
      <c r="D72" s="428"/>
      <c r="E72" s="428"/>
      <c r="F72" s="428"/>
      <c r="I72" s="175"/>
      <c r="K72" s="174"/>
      <c r="L72"/>
      <c r="M72"/>
      <c r="N72"/>
      <c r="O72" s="63"/>
      <c r="P72" s="63"/>
      <c r="Q72" s="368"/>
      <c r="R72" s="242" t="str">
        <f t="shared" ref="R72:R81" si="23">IF(N72&lt;&gt;"",IF(O72&lt;&gt;"",N72*O72,IF(P72&lt;&gt;"",N72*P72*(1-IF(Q72&lt;&gt;"",Q72,0.055)),"")),"")</f>
        <v/>
      </c>
      <c r="S72" s="175"/>
      <c r="W72" s="174"/>
      <c r="X72" s="8" t="str">
        <f>IF(Produits!A66&lt;&gt;"",Produits!A66,"")</f>
        <v>Œuf, Cloche et Poule</v>
      </c>
      <c r="Y72" s="184" t="str">
        <f>IF(Produits!F66&lt;&gt;"",Produits!F66,"")</f>
        <v>Viennoiserie</v>
      </c>
      <c r="Z72" s="184"/>
      <c r="AA72" s="9">
        <f>IF(Produits!B66&lt;&gt;"",Produits!B66,"")</f>
        <v>10.5</v>
      </c>
      <c r="AB72" s="9" t="str">
        <f t="shared" si="9"/>
        <v/>
      </c>
      <c r="AC72" s="175"/>
    </row>
    <row r="73" spans="2:29">
      <c r="B73" s="174"/>
      <c r="D73" s="428"/>
      <c r="E73" s="428"/>
      <c r="F73" s="428"/>
      <c r="I73" s="175"/>
      <c r="K73" s="174"/>
      <c r="L73"/>
      <c r="M73"/>
      <c r="N73"/>
      <c r="O73" s="63"/>
      <c r="P73" s="63"/>
      <c r="Q73" s="368"/>
      <c r="R73" s="242" t="str">
        <f t="shared" si="23"/>
        <v/>
      </c>
      <c r="S73" s="175"/>
      <c r="W73" s="174"/>
      <c r="X73" s="8" t="str">
        <f>IF(Produits!A67&lt;&gt;"",Produits!A67,"")</f>
        <v>Panpan</v>
      </c>
      <c r="Y73" s="184" t="str">
        <f>IF(Produits!F67&lt;&gt;"",Produits!F67,"")</f>
        <v>Viennoiserie</v>
      </c>
      <c r="Z73" s="184"/>
      <c r="AA73" s="9">
        <f>IF(Produits!B67&lt;&gt;"",Produits!B67,"")</f>
        <v>12</v>
      </c>
      <c r="AB73" s="9" t="str">
        <f t="shared" si="9"/>
        <v/>
      </c>
      <c r="AC73" s="175"/>
    </row>
    <row r="74" spans="2:29">
      <c r="B74" s="174"/>
      <c r="D74" s="428"/>
      <c r="E74" s="428"/>
      <c r="F74" s="428"/>
      <c r="I74" s="175"/>
      <c r="K74" s="174"/>
      <c r="L74"/>
      <c r="M74"/>
      <c r="N74"/>
      <c r="O74" s="63"/>
      <c r="P74" s="63"/>
      <c r="Q74" s="368"/>
      <c r="R74" s="242" t="str">
        <f t="shared" si="23"/>
        <v/>
      </c>
      <c r="S74" s="175"/>
      <c r="W74" s="174"/>
      <c r="X74" s="8" t="str">
        <f>IF(Produits!A68&lt;&gt;"",Produits!A68,"")</f>
        <v>Sucette Lollipop Lait</v>
      </c>
      <c r="Y74" s="184" t="str">
        <f>IF(Produits!F68&lt;&gt;"",Produits!F68,"")</f>
        <v>Viennoiserie</v>
      </c>
      <c r="Z74" s="184"/>
      <c r="AA74" s="9">
        <f>IF(Produits!B68&lt;&gt;"",Produits!B68,"")</f>
        <v>8.5</v>
      </c>
      <c r="AB74" s="9" t="str">
        <f t="shared" si="9"/>
        <v/>
      </c>
      <c r="AC74" s="175"/>
    </row>
    <row r="75" spans="2:29">
      <c r="B75" s="174"/>
      <c r="D75" s="428"/>
      <c r="E75" s="428"/>
      <c r="F75" s="428"/>
      <c r="I75" s="175"/>
      <c r="K75" s="174"/>
      <c r="L75"/>
      <c r="M75"/>
      <c r="N75"/>
      <c r="O75" s="63"/>
      <c r="P75" s="63"/>
      <c r="Q75" s="368"/>
      <c r="R75" s="242" t="str">
        <f t="shared" si="23"/>
        <v/>
      </c>
      <c r="S75" s="175"/>
      <c r="W75" s="174"/>
      <c r="X75" s="8" t="str">
        <f>IF(Produits!A69&lt;&gt;"",Produits!A69,"")</f>
        <v>Sucette Poussin</v>
      </c>
      <c r="Y75" s="184" t="str">
        <f>IF(Produits!F69&lt;&gt;"",Produits!F69,"")</f>
        <v>Viennoiserie</v>
      </c>
      <c r="Z75" s="184"/>
      <c r="AA75" s="9">
        <f>IF(Produits!B69&lt;&gt;"",Produits!B69,"")</f>
        <v>2</v>
      </c>
      <c r="AB75" s="9" t="str">
        <f t="shared" si="9"/>
        <v/>
      </c>
      <c r="AC75" s="175"/>
    </row>
    <row r="76" spans="2:29">
      <c r="B76" s="174"/>
      <c r="D76" s="428"/>
      <c r="E76" s="428"/>
      <c r="F76" s="428"/>
      <c r="I76" s="175"/>
      <c r="K76" s="174"/>
      <c r="L76"/>
      <c r="M76"/>
      <c r="N76"/>
      <c r="O76" s="63"/>
      <c r="P76" s="63"/>
      <c r="Q76" s="368"/>
      <c r="R76" s="242" t="str">
        <f t="shared" si="23"/>
        <v/>
      </c>
      <c r="S76" s="175"/>
      <c r="W76" s="174"/>
      <c r="X76" s="8" t="str">
        <f>IF(Produits!A70&lt;&gt;"",Produits!A70,"")</f>
        <v>Sachet Bonbons</v>
      </c>
      <c r="Y76" s="184" t="str">
        <f>IF(Produits!F70&lt;&gt;"",Produits!F70,"")</f>
        <v>Viennoiserie</v>
      </c>
      <c r="Z76" s="184"/>
      <c r="AA76" s="9">
        <f>IF(Produits!B70&lt;&gt;"",Produits!B70,"")</f>
        <v>1.5</v>
      </c>
      <c r="AB76" s="9" t="str">
        <f t="shared" si="9"/>
        <v/>
      </c>
      <c r="AC76" s="175"/>
    </row>
    <row r="77" spans="2:29">
      <c r="B77" s="174"/>
      <c r="D77" s="428"/>
      <c r="E77" s="428"/>
      <c r="F77" s="428"/>
      <c r="I77" s="175"/>
      <c r="K77" s="174"/>
      <c r="L77"/>
      <c r="M77"/>
      <c r="N77"/>
      <c r="O77" s="63"/>
      <c r="P77" s="63"/>
      <c r="Q77" s="368"/>
      <c r="R77" s="242" t="str">
        <f t="shared" si="23"/>
        <v/>
      </c>
      <c r="S77" s="175"/>
      <c r="W77" s="174"/>
      <c r="X77" s="8" t="str">
        <f>IF(Produits!A71&lt;&gt;"",Produits!A71,"")</f>
        <v>Divers Viennoiserie</v>
      </c>
      <c r="Y77" s="184" t="str">
        <f>IF(Produits!F71&lt;&gt;"",Produits!F71,"")</f>
        <v>Viennoiserie</v>
      </c>
      <c r="Z77" s="184"/>
      <c r="AA77" s="9">
        <f>IF(Produits!B71&lt;&gt;"",Produits!B71,"")</f>
        <v>0</v>
      </c>
      <c r="AB77" s="9" t="str">
        <f t="shared" si="9"/>
        <v/>
      </c>
      <c r="AC77" s="175"/>
    </row>
    <row r="78" spans="2:29">
      <c r="B78" s="174"/>
      <c r="D78" s="428"/>
      <c r="E78" s="428"/>
      <c r="F78" s="428"/>
      <c r="I78" s="175"/>
      <c r="K78" s="174"/>
      <c r="L78"/>
      <c r="M78"/>
      <c r="N78"/>
      <c r="O78" s="63"/>
      <c r="P78" s="63"/>
      <c r="Q78" s="368"/>
      <c r="R78" s="242" t="str">
        <f t="shared" si="23"/>
        <v/>
      </c>
      <c r="S78" s="175"/>
      <c r="W78" s="174"/>
      <c r="X78" s="8" t="str">
        <f>IF(Produits!A72&lt;&gt;"",Produits!A72,"")</f>
        <v>Amandine</v>
      </c>
      <c r="Y78" s="184" t="str">
        <f>IF(Produits!F72&lt;&gt;"",Produits!F72,"")</f>
        <v>Patisserie</v>
      </c>
      <c r="Z78" s="184"/>
      <c r="AA78" s="9">
        <f>IF(Produits!B72&lt;&gt;"",Produits!B72,"")</f>
        <v>2.4</v>
      </c>
      <c r="AB78" s="9" t="str">
        <f t="shared" si="9"/>
        <v/>
      </c>
      <c r="AC78" s="175"/>
    </row>
    <row r="79" spans="2:29">
      <c r="B79" s="174"/>
      <c r="D79" s="428"/>
      <c r="E79" s="428"/>
      <c r="F79" s="428"/>
      <c r="I79" s="175"/>
      <c r="K79" s="174"/>
      <c r="L79"/>
      <c r="M79"/>
      <c r="N79"/>
      <c r="O79" s="63"/>
      <c r="P79" s="63"/>
      <c r="Q79" s="368"/>
      <c r="R79" s="242" t="str">
        <f t="shared" si="23"/>
        <v/>
      </c>
      <c r="S79" s="175"/>
      <c r="W79" s="174"/>
      <c r="X79" s="8" t="str">
        <f>IF(Produits!A73&lt;&gt;"",Produits!A73,"")</f>
        <v>Amandine Poire</v>
      </c>
      <c r="Y79" s="184" t="str">
        <f>IF(Produits!F73&lt;&gt;"",Produits!F73,"")</f>
        <v>Patisserie</v>
      </c>
      <c r="Z79" s="184"/>
      <c r="AA79" s="9">
        <f>IF(Produits!B73&lt;&gt;"",Produits!B73,"")</f>
        <v>2.5</v>
      </c>
      <c r="AB79" s="9" t="str">
        <f t="shared" si="9"/>
        <v/>
      </c>
      <c r="AC79" s="175"/>
    </row>
    <row r="80" spans="2:29">
      <c r="B80" s="174"/>
      <c r="D80" s="428"/>
      <c r="E80" s="428"/>
      <c r="F80" s="428"/>
      <c r="I80" s="175"/>
      <c r="K80" s="174"/>
      <c r="L80"/>
      <c r="M80"/>
      <c r="N80"/>
      <c r="O80" s="63"/>
      <c r="P80" s="63"/>
      <c r="Q80" s="368"/>
      <c r="R80" s="242" t="str">
        <f t="shared" si="23"/>
        <v/>
      </c>
      <c r="S80" s="175"/>
      <c r="W80" s="174"/>
      <c r="X80" s="8" t="str">
        <f>IF(Produits!A74&lt;&gt;"",Produits!A74,"")</f>
        <v>Baba au Rhum Maison</v>
      </c>
      <c r="Y80" s="184" t="str">
        <f>IF(Produits!F74&lt;&gt;"",Produits!F74,"")</f>
        <v>Patisserie</v>
      </c>
      <c r="Z80" s="184"/>
      <c r="AA80" s="9">
        <f>IF(Produits!B74&lt;&gt;"",Produits!B74,"")</f>
        <v>3.9</v>
      </c>
      <c r="AB80" s="9" t="str">
        <f t="shared" si="9"/>
        <v/>
      </c>
      <c r="AC80" s="175"/>
    </row>
    <row r="81" spans="2:29">
      <c r="B81" s="174"/>
      <c r="D81" s="428"/>
      <c r="E81" s="428"/>
      <c r="F81" s="428"/>
      <c r="I81" s="175"/>
      <c r="K81" s="174"/>
      <c r="L81"/>
      <c r="M81"/>
      <c r="N81"/>
      <c r="O81" s="63"/>
      <c r="P81" s="63"/>
      <c r="Q81" s="368"/>
      <c r="R81" s="242" t="str">
        <f t="shared" si="23"/>
        <v/>
      </c>
      <c r="S81" s="175"/>
      <c r="W81" s="174"/>
      <c r="X81" s="8" t="str">
        <f>IF(Produits!A75&lt;&gt;"",Produits!A75,"")</f>
        <v>Duchesse</v>
      </c>
      <c r="Y81" s="184" t="str">
        <f>IF(Produits!F75&lt;&gt;"",Produits!F75,"")</f>
        <v>Patisserie</v>
      </c>
      <c r="Z81" s="184"/>
      <c r="AA81" s="9">
        <f>IF(Produits!B75&lt;&gt;"",Produits!B75,"")</f>
        <v>2.4</v>
      </c>
      <c r="AB81" s="9" t="str">
        <f t="shared" si="9"/>
        <v/>
      </c>
      <c r="AC81" s="175"/>
    </row>
    <row r="82" spans="2:29">
      <c r="B82" s="174"/>
      <c r="D82" s="428"/>
      <c r="E82" s="428"/>
      <c r="F82" s="428"/>
      <c r="I82" s="175"/>
      <c r="K82" s="176"/>
      <c r="L82" s="177"/>
      <c r="M82" s="178"/>
      <c r="N82" s="178"/>
      <c r="O82" s="179"/>
      <c r="P82" s="179"/>
      <c r="Q82" s="179"/>
      <c r="R82" s="179"/>
      <c r="S82" s="180"/>
      <c r="W82" s="174"/>
      <c r="X82" s="8" t="str">
        <f>IF(Produits!A76&lt;&gt;"",Produits!A76,"")</f>
        <v>Courchevel</v>
      </c>
      <c r="Y82" s="184" t="str">
        <f>IF(Produits!F76&lt;&gt;"",Produits!F76,"")</f>
        <v>Patisserie</v>
      </c>
      <c r="Z82" s="184"/>
      <c r="AA82" s="9">
        <f>IF(Produits!B76&lt;&gt;"",Produits!B76,"")</f>
        <v>4.5</v>
      </c>
      <c r="AB82" s="9" t="str">
        <f t="shared" si="9"/>
        <v/>
      </c>
      <c r="AC82" s="175"/>
    </row>
    <row r="83" spans="2:29">
      <c r="B83" s="174"/>
      <c r="D83" s="428"/>
      <c r="E83" s="428"/>
      <c r="F83" s="428"/>
      <c r="I83" s="175"/>
      <c r="W83" s="174"/>
      <c r="X83" s="8" t="str">
        <f>IF(Produits!A77&lt;&gt;"",Produits!A77,"")</f>
        <v>Eclair Chocolat</v>
      </c>
      <c r="Y83" s="184" t="str">
        <f>IF(Produits!F77&lt;&gt;"",Produits!F77,"")</f>
        <v>Patisserie</v>
      </c>
      <c r="Z83" s="184"/>
      <c r="AA83" s="9">
        <f>IF(Produits!B77&lt;&gt;"",Produits!B77,"")</f>
        <v>2.8</v>
      </c>
      <c r="AB83" s="9" t="str">
        <f t="shared" si="9"/>
        <v/>
      </c>
      <c r="AC83" s="175"/>
    </row>
    <row r="84" spans="2:29">
      <c r="B84" s="174"/>
      <c r="D84" s="428"/>
      <c r="E84" s="428"/>
      <c r="F84" s="428"/>
      <c r="I84" s="175"/>
      <c r="W84" s="174"/>
      <c r="X84" s="8" t="str">
        <f>IF(Produits!A78&lt;&gt;"",Produits!A78,"")</f>
        <v>Eclair Café</v>
      </c>
      <c r="Y84" s="184" t="str">
        <f>IF(Produits!F78&lt;&gt;"",Produits!F78,"")</f>
        <v>Patisserie</v>
      </c>
      <c r="Z84" s="184"/>
      <c r="AA84" s="9">
        <f>IF(Produits!B78&lt;&gt;"",Produits!B78,"")</f>
        <v>2.5</v>
      </c>
      <c r="AB84" s="9" t="str">
        <f t="shared" si="9"/>
        <v/>
      </c>
      <c r="AC84" s="175"/>
    </row>
    <row r="85" spans="2:29">
      <c r="B85" s="174"/>
      <c r="D85" s="428"/>
      <c r="E85" s="428"/>
      <c r="F85" s="428"/>
      <c r="I85" s="175"/>
      <c r="W85" s="174"/>
      <c r="X85" s="8" t="str">
        <f>IF(Produits!A79&lt;&gt;"",Produits!A79,"")</f>
        <v>Eclair Caramel Beurre Salé</v>
      </c>
      <c r="Y85" s="184" t="str">
        <f>IF(Produits!F79&lt;&gt;"",Produits!F79,"")</f>
        <v>Patisserie</v>
      </c>
      <c r="Z85" s="184"/>
      <c r="AA85" s="9">
        <f>IF(Produits!B79&lt;&gt;"",Produits!B79,"")</f>
        <v>2.7</v>
      </c>
      <c r="AB85" s="9" t="str">
        <f t="shared" si="9"/>
        <v/>
      </c>
      <c r="AC85" s="175"/>
    </row>
    <row r="86" spans="2:29">
      <c r="B86" s="174"/>
      <c r="D86" s="428"/>
      <c r="E86" s="428"/>
      <c r="F86" s="428"/>
      <c r="I86" s="175"/>
      <c r="W86" s="174"/>
      <c r="X86" s="8" t="str">
        <f>IF(Produits!A80&lt;&gt;"",Produits!A80,"")</f>
        <v>Eclair Spéculoos</v>
      </c>
      <c r="Y86" s="184" t="str">
        <f>IF(Produits!F80&lt;&gt;"",Produits!F80,"")</f>
        <v>Patisserie</v>
      </c>
      <c r="Z86" s="184"/>
      <c r="AA86" s="9">
        <f>IF(Produits!B80&lt;&gt;"",Produits!B80,"")</f>
        <v>2.7</v>
      </c>
      <c r="AB86" s="9" t="str">
        <f t="shared" si="9"/>
        <v/>
      </c>
      <c r="AC86" s="175"/>
    </row>
    <row r="87" spans="2:29">
      <c r="B87" s="174"/>
      <c r="D87" s="428"/>
      <c r="E87" s="428"/>
      <c r="F87" s="428"/>
      <c r="I87" s="175"/>
      <c r="W87" s="174"/>
      <c r="X87" s="8" t="str">
        <f>IF(Produits!A81&lt;&gt;"",Produits!A81,"")</f>
        <v>Eclair Framboise</v>
      </c>
      <c r="Y87" s="184" t="str">
        <f>IF(Produits!F81&lt;&gt;"",Produits!F81,"")</f>
        <v>Patisserie</v>
      </c>
      <c r="Z87" s="184"/>
      <c r="AA87" s="9">
        <f>IF(Produits!B81&lt;&gt;"",Produits!B81,"")</f>
        <v>3.2</v>
      </c>
      <c r="AB87" s="9" t="str">
        <f t="shared" ref="AB87:AB150" si="24">IF(Z87&lt;&gt;"",Z87*AA87,"")</f>
        <v/>
      </c>
      <c r="AC87" s="175"/>
    </row>
    <row r="88" spans="2:29">
      <c r="B88" s="174"/>
      <c r="D88" s="428"/>
      <c r="E88" s="428"/>
      <c r="F88" s="428"/>
      <c r="I88" s="175"/>
      <c r="W88" s="174"/>
      <c r="X88" s="8" t="str">
        <f>IF(Produits!A82&lt;&gt;"",Produits!A82,"")</f>
        <v>Emeraude</v>
      </c>
      <c r="Y88" s="184" t="str">
        <f>IF(Produits!F82&lt;&gt;"",Produits!F82,"")</f>
        <v>Patisserie</v>
      </c>
      <c r="Z88" s="184"/>
      <c r="AA88" s="9">
        <f>IF(Produits!B82&lt;&gt;"",Produits!B82,"")</f>
        <v>3.9</v>
      </c>
      <c r="AB88" s="9" t="str">
        <f t="shared" si="24"/>
        <v/>
      </c>
      <c r="AC88" s="175"/>
    </row>
    <row r="89" spans="2:29">
      <c r="B89" s="174"/>
      <c r="D89" s="428"/>
      <c r="E89" s="428"/>
      <c r="F89" s="428"/>
      <c r="I89" s="175"/>
      <c r="W89" s="174"/>
      <c r="X89" s="8" t="str">
        <f>IF(Produits!A83&lt;&gt;"",Produits!A83,"")</f>
        <v>Flan Maison</v>
      </c>
      <c r="Y89" s="184" t="str">
        <f>IF(Produits!F83&lt;&gt;"",Produits!F83,"")</f>
        <v>Patisserie</v>
      </c>
      <c r="Z89" s="184"/>
      <c r="AA89" s="9">
        <f>IF(Produits!B83&lt;&gt;"",Produits!B83,"")</f>
        <v>2.2999999999999998</v>
      </c>
      <c r="AB89" s="9" t="str">
        <f t="shared" si="24"/>
        <v/>
      </c>
      <c r="AC89" s="175"/>
    </row>
    <row r="90" spans="2:29">
      <c r="B90" s="174"/>
      <c r="D90" s="428"/>
      <c r="E90" s="428"/>
      <c r="F90" s="428"/>
      <c r="I90" s="175"/>
      <c r="W90" s="174"/>
      <c r="X90" s="8" t="str">
        <f>IF(Produits!A84&lt;&gt;"",Produits!A84,"")</f>
        <v>Flans Spéciaux</v>
      </c>
      <c r="Y90" s="184" t="str">
        <f>IF(Produits!F84&lt;&gt;"",Produits!F84,"")</f>
        <v>Patisserie</v>
      </c>
      <c r="Z90" s="184"/>
      <c r="AA90" s="9">
        <f>IF(Produits!B84&lt;&gt;"",Produits!B84,"")</f>
        <v>2.5</v>
      </c>
      <c r="AB90" s="9" t="str">
        <f t="shared" si="24"/>
        <v/>
      </c>
      <c r="AC90" s="175"/>
    </row>
    <row r="91" spans="2:29">
      <c r="B91" s="174"/>
      <c r="D91" s="428"/>
      <c r="E91" s="428"/>
      <c r="F91" s="428"/>
      <c r="I91" s="175"/>
      <c r="W91" s="174"/>
      <c r="X91" s="8" t="str">
        <f>IF(Produits!A85&lt;&gt;"",Produits!A85,"")</f>
        <v>Fraisier</v>
      </c>
      <c r="Y91" s="184" t="str">
        <f>IF(Produits!F85&lt;&gt;"",Produits!F85,"")</f>
        <v>Patisserie</v>
      </c>
      <c r="Z91" s="184"/>
      <c r="AA91" s="9">
        <f>IF(Produits!B85&lt;&gt;"",Produits!B85,"")</f>
        <v>4.5</v>
      </c>
      <c r="AB91" s="9" t="str">
        <f t="shared" si="24"/>
        <v/>
      </c>
      <c r="AC91" s="175"/>
    </row>
    <row r="92" spans="2:29">
      <c r="B92" s="174"/>
      <c r="D92" s="428"/>
      <c r="E92" s="428"/>
      <c r="F92" s="428"/>
      <c r="I92" s="175"/>
      <c r="W92" s="174"/>
      <c r="X92" s="8" t="str">
        <f>IF(Produits!A86&lt;&gt;"",Produits!A86,"")</f>
        <v>Gianduneige</v>
      </c>
      <c r="Y92" s="184" t="str">
        <f>IF(Produits!F86&lt;&gt;"",Produits!F86,"")</f>
        <v>Patisserie</v>
      </c>
      <c r="Z92" s="184"/>
      <c r="AA92" s="9">
        <f>IF(Produits!B86&lt;&gt;"",Produits!B86,"")</f>
        <v>3.9</v>
      </c>
      <c r="AB92" s="9" t="str">
        <f t="shared" si="24"/>
        <v/>
      </c>
      <c r="AC92" s="175"/>
    </row>
    <row r="93" spans="2:29">
      <c r="B93" s="174"/>
      <c r="D93" s="428"/>
      <c r="E93" s="428"/>
      <c r="F93" s="428"/>
      <c r="I93" s="175"/>
      <c r="W93" s="174"/>
      <c r="X93" s="8" t="str">
        <f>IF(Produits!A87&lt;&gt;"",Produits!A87,"")</f>
        <v>Millefeuille</v>
      </c>
      <c r="Y93" s="184" t="str">
        <f>IF(Produits!F87&lt;&gt;"",Produits!F87,"")</f>
        <v>Patisserie</v>
      </c>
      <c r="Z93" s="184"/>
      <c r="AA93" s="9">
        <f>IF(Produits!B87&lt;&gt;"",Produits!B87,"")</f>
        <v>3.9</v>
      </c>
      <c r="AB93" s="9" t="str">
        <f t="shared" si="24"/>
        <v/>
      </c>
      <c r="AC93" s="175"/>
    </row>
    <row r="94" spans="2:29">
      <c r="B94" s="174"/>
      <c r="D94" s="428"/>
      <c r="E94" s="428"/>
      <c r="F94" s="428"/>
      <c r="I94" s="175"/>
      <c r="W94" s="174"/>
      <c r="X94" s="8" t="str">
        <f>IF(Produits!A88&lt;&gt;"",Produits!A88,"")</f>
        <v>Noisetier</v>
      </c>
      <c r="Y94" s="184" t="str">
        <f>IF(Produits!F88&lt;&gt;"",Produits!F88,"")</f>
        <v>Patisserie</v>
      </c>
      <c r="Z94" s="184"/>
      <c r="AA94" s="9">
        <f>IF(Produits!B88&lt;&gt;"",Produits!B88,"")</f>
        <v>3.9</v>
      </c>
      <c r="AB94" s="9" t="str">
        <f t="shared" si="24"/>
        <v/>
      </c>
      <c r="AC94" s="175"/>
    </row>
    <row r="95" spans="2:29">
      <c r="B95" s="174"/>
      <c r="D95" s="428"/>
      <c r="E95" s="428"/>
      <c r="F95" s="428"/>
      <c r="I95" s="175"/>
      <c r="W95" s="174"/>
      <c r="X95" s="8" t="str">
        <f>IF(Produits!A89&lt;&gt;"",Produits!A89,"")</f>
        <v>Paris-Brest</v>
      </c>
      <c r="Y95" s="184" t="str">
        <f>IF(Produits!F89&lt;&gt;"",Produits!F89,"")</f>
        <v>Patisserie</v>
      </c>
      <c r="Z95" s="184"/>
      <c r="AA95" s="9">
        <f>IF(Produits!B89&lt;&gt;"",Produits!B89,"")</f>
        <v>3.5</v>
      </c>
      <c r="AB95" s="9" t="str">
        <f t="shared" si="24"/>
        <v/>
      </c>
      <c r="AC95" s="175"/>
    </row>
    <row r="96" spans="2:29">
      <c r="B96" s="174"/>
      <c r="D96" s="428"/>
      <c r="E96" s="428"/>
      <c r="F96" s="428"/>
      <c r="I96" s="175"/>
      <c r="W96" s="174"/>
      <c r="X96" s="8" t="str">
        <f>IF(Produits!A90&lt;&gt;"",Produits!A90,"")</f>
        <v>Religieuse Café</v>
      </c>
      <c r="Y96" s="184" t="str">
        <f>IF(Produits!F90&lt;&gt;"",Produits!F90,"")</f>
        <v>Patisserie</v>
      </c>
      <c r="Z96" s="184"/>
      <c r="AA96" s="9">
        <f>IF(Produits!B90&lt;&gt;"",Produits!B90,"")</f>
        <v>3.2</v>
      </c>
      <c r="AB96" s="9" t="str">
        <f t="shared" si="24"/>
        <v/>
      </c>
      <c r="AC96" s="175"/>
    </row>
    <row r="97" spans="2:29">
      <c r="B97" s="174"/>
      <c r="D97" s="428"/>
      <c r="E97" s="428"/>
      <c r="F97" s="428"/>
      <c r="I97" s="175"/>
      <c r="W97" s="174"/>
      <c r="X97" s="8" t="str">
        <f>IF(Produits!A91&lt;&gt;"",Produits!A91,"")</f>
        <v>Religieuse Chocolat</v>
      </c>
      <c r="Y97" s="184" t="str">
        <f>IF(Produits!F91&lt;&gt;"",Produits!F91,"")</f>
        <v>Patisserie</v>
      </c>
      <c r="Z97" s="184"/>
      <c r="AA97" s="9">
        <f>IF(Produits!B91&lt;&gt;"",Produits!B91,"")</f>
        <v>3.2</v>
      </c>
      <c r="AB97" s="9" t="str">
        <f t="shared" si="24"/>
        <v/>
      </c>
      <c r="AC97" s="175"/>
    </row>
    <row r="98" spans="2:29">
      <c r="B98" s="174"/>
      <c r="D98" s="428"/>
      <c r="E98" s="428"/>
      <c r="F98" s="428"/>
      <c r="I98" s="175"/>
      <c r="W98" s="174"/>
      <c r="X98" s="8" t="str">
        <f>IF(Produits!A92&lt;&gt;"",Produits!A92,"")</f>
        <v>Richelieu</v>
      </c>
      <c r="Y98" s="184" t="str">
        <f>IF(Produits!F92&lt;&gt;"",Produits!F92,"")</f>
        <v>Patisserie</v>
      </c>
      <c r="Z98" s="184"/>
      <c r="AA98" s="9">
        <f>IF(Produits!B92&lt;&gt;"",Produits!B92,"")</f>
        <v>3.9</v>
      </c>
      <c r="AB98" s="9" t="str">
        <f t="shared" si="24"/>
        <v/>
      </c>
      <c r="AC98" s="175"/>
    </row>
    <row r="99" spans="2:29">
      <c r="B99" s="174"/>
      <c r="D99" s="428"/>
      <c r="E99" s="428"/>
      <c r="F99" s="428"/>
      <c r="I99" s="175"/>
      <c r="W99" s="174"/>
      <c r="X99" s="8" t="str">
        <f>IF(Produits!A93&lt;&gt;"",Produits!A93,"")</f>
        <v>Saint Honoré</v>
      </c>
      <c r="Y99" s="184" t="str">
        <f>IF(Produits!F93&lt;&gt;"",Produits!F93,"")</f>
        <v>Patisserie</v>
      </c>
      <c r="Z99" s="184"/>
      <c r="AA99" s="9">
        <f>IF(Produits!B93&lt;&gt;"",Produits!B93,"")</f>
        <v>4.5</v>
      </c>
      <c r="AB99" s="9" t="str">
        <f t="shared" si="24"/>
        <v/>
      </c>
      <c r="AC99" s="175"/>
    </row>
    <row r="100" spans="2:29">
      <c r="B100" s="174"/>
      <c r="D100" s="428"/>
      <c r="E100" s="428"/>
      <c r="F100" s="428"/>
      <c r="I100" s="175"/>
      <c r="W100" s="174"/>
      <c r="X100" s="8" t="str">
        <f>IF(Produits!A94&lt;&gt;"",Produits!A94,"")</f>
        <v>Clafoutis</v>
      </c>
      <c r="Y100" s="184" t="str">
        <f>IF(Produits!F94&lt;&gt;"",Produits!F94,"")</f>
        <v>Patisserie</v>
      </c>
      <c r="Z100" s="184"/>
      <c r="AA100" s="9">
        <f>IF(Produits!B94&lt;&gt;"",Produits!B94,"")</f>
        <v>2.5</v>
      </c>
      <c r="AB100" s="9" t="str">
        <f t="shared" si="24"/>
        <v/>
      </c>
      <c r="AC100" s="175"/>
    </row>
    <row r="101" spans="2:29">
      <c r="B101" s="174"/>
      <c r="D101" s="428"/>
      <c r="E101" s="428"/>
      <c r="F101" s="428"/>
      <c r="I101" s="175"/>
      <c r="W101" s="174"/>
      <c r="X101" s="8" t="str">
        <f>IF(Produits!A95&lt;&gt;"",Produits!A95,"")</f>
        <v>Bûchette Café</v>
      </c>
      <c r="Y101" s="184" t="str">
        <f>IF(Produits!F95&lt;&gt;"",Produits!F95,"")</f>
        <v>Patisserie</v>
      </c>
      <c r="Z101" s="184"/>
      <c r="AA101" s="9">
        <f>IF(Produits!B95&lt;&gt;"",Produits!B95,"")</f>
        <v>3.7</v>
      </c>
      <c r="AB101" s="9" t="str">
        <f t="shared" si="24"/>
        <v/>
      </c>
      <c r="AC101" s="175"/>
    </row>
    <row r="102" spans="2:29">
      <c r="B102" s="176"/>
      <c r="C102" s="177"/>
      <c r="D102" s="178"/>
      <c r="E102" s="178"/>
      <c r="F102" s="178"/>
      <c r="G102" s="179"/>
      <c r="H102" s="179"/>
      <c r="I102" s="180"/>
      <c r="W102" s="174"/>
      <c r="X102" s="8" t="str">
        <f>IF(Produits!A96&lt;&gt;"",Produits!A96,"")</f>
        <v>Bûchette Chocolat</v>
      </c>
      <c r="Y102" s="184" t="str">
        <f>IF(Produits!F96&lt;&gt;"",Produits!F96,"")</f>
        <v>Patisserie</v>
      </c>
      <c r="Z102" s="184"/>
      <c r="AA102" s="9">
        <f>IF(Produits!B96&lt;&gt;"",Produits!B96,"")</f>
        <v>3.7</v>
      </c>
      <c r="AB102" s="9" t="str">
        <f t="shared" si="24"/>
        <v/>
      </c>
      <c r="AC102" s="175"/>
    </row>
    <row r="103" spans="2:29">
      <c r="W103" s="174"/>
      <c r="X103" s="8" t="str">
        <f>IF(Produits!A97&lt;&gt;"",Produits!A97,"")</f>
        <v>Bûchette Spéculos</v>
      </c>
      <c r="Y103" s="184" t="str">
        <f>IF(Produits!F97&lt;&gt;"",Produits!F97,"")</f>
        <v>Patisserie</v>
      </c>
      <c r="Z103" s="184"/>
      <c r="AA103" s="9">
        <f>IF(Produits!B97&lt;&gt;"",Produits!B97,"")</f>
        <v>3.7</v>
      </c>
      <c r="AB103" s="9" t="str">
        <f t="shared" si="24"/>
        <v/>
      </c>
      <c r="AC103" s="175"/>
    </row>
    <row r="104" spans="2:29">
      <c r="W104" s="174"/>
      <c r="X104" s="8" t="str">
        <f>IF(Produits!A98&lt;&gt;"",Produits!A98,"")</f>
        <v>Bûchette Praline</v>
      </c>
      <c r="Y104" s="184" t="str">
        <f>IF(Produits!F98&lt;&gt;"",Produits!F98,"")</f>
        <v>Patisserie</v>
      </c>
      <c r="Z104" s="184"/>
      <c r="AA104" s="9">
        <f>IF(Produits!B98&lt;&gt;"",Produits!B98,"")</f>
        <v>3.7</v>
      </c>
      <c r="AB104" s="9" t="str">
        <f t="shared" si="24"/>
        <v/>
      </c>
      <c r="AC104" s="175"/>
    </row>
    <row r="105" spans="2:29">
      <c r="W105" s="174"/>
      <c r="X105" s="8" t="str">
        <f>IF(Produits!A99&lt;&gt;"",Produits!A99,"")</f>
        <v>Bûchette Baiser de Margot</v>
      </c>
      <c r="Y105" s="184" t="str">
        <f>IF(Produits!F99&lt;&gt;"",Produits!F99,"")</f>
        <v>Patisserie</v>
      </c>
      <c r="Z105" s="184"/>
      <c r="AA105" s="9">
        <f>IF(Produits!B99&lt;&gt;"",Produits!B99,"")</f>
        <v>4.0999999999999996</v>
      </c>
      <c r="AB105" s="9" t="str">
        <f t="shared" si="24"/>
        <v/>
      </c>
      <c r="AC105" s="175"/>
    </row>
    <row r="106" spans="2:29">
      <c r="M106" s="429" t="s">
        <v>494</v>
      </c>
      <c r="N106" s="429"/>
      <c r="W106" s="174"/>
      <c r="X106" s="8" t="str">
        <f>IF(Produits!A100&lt;&gt;"",Produits!A100,"")</f>
        <v>Bûchette Gianduneige</v>
      </c>
      <c r="Y106" s="184" t="str">
        <f>IF(Produits!F100&lt;&gt;"",Produits!F100,"")</f>
        <v>Patisserie</v>
      </c>
      <c r="Z106" s="184"/>
      <c r="AA106" s="9">
        <f>IF(Produits!B100&lt;&gt;"",Produits!B100,"")</f>
        <v>4.0999999999999996</v>
      </c>
      <c r="AB106" s="9" t="str">
        <f t="shared" si="24"/>
        <v/>
      </c>
      <c r="AC106" s="175"/>
    </row>
    <row r="107" spans="2:29">
      <c r="M107" s="429" t="s">
        <v>769</v>
      </c>
      <c r="N107" s="429"/>
      <c r="W107" s="174"/>
      <c r="X107" s="8" t="str">
        <f>IF(Produits!A101&lt;&gt;"",Produits!A101,"")</f>
        <v>Bûchette Richeulieu</v>
      </c>
      <c r="Y107" s="184" t="str">
        <f>IF(Produits!F101&lt;&gt;"",Produits!F101,"")</f>
        <v>Patisserie</v>
      </c>
      <c r="Z107" s="184"/>
      <c r="AA107" s="9">
        <f>IF(Produits!B101&lt;&gt;"",Produits!B101,"")</f>
        <v>4.0999999999999996</v>
      </c>
      <c r="AB107" s="9" t="str">
        <f t="shared" si="24"/>
        <v/>
      </c>
      <c r="AC107" s="175"/>
    </row>
    <row r="108" spans="2:29">
      <c r="M108" s="429" t="s">
        <v>495</v>
      </c>
      <c r="N108" s="429"/>
      <c r="W108" s="174"/>
      <c r="X108" s="8" t="str">
        <f>IF(Produits!A102&lt;&gt;"",Produits!A102,"")</f>
        <v>Bûchette Ecureuil</v>
      </c>
      <c r="Y108" s="184" t="str">
        <f>IF(Produits!F102&lt;&gt;"",Produits!F102,"")</f>
        <v>Patisserie</v>
      </c>
      <c r="Z108" s="184"/>
      <c r="AA108" s="9">
        <f>IF(Produits!B102&lt;&gt;"",Produits!B102,"")</f>
        <v>4.0999999999999996</v>
      </c>
      <c r="AB108" s="9" t="str">
        <f t="shared" si="24"/>
        <v/>
      </c>
      <c r="AC108" s="175"/>
    </row>
    <row r="109" spans="2:29">
      <c r="H109" t="s">
        <v>494</v>
      </c>
      <c r="M109" s="429" t="s">
        <v>496</v>
      </c>
      <c r="N109" s="429"/>
      <c r="W109" s="174"/>
      <c r="X109" s="8" t="str">
        <f>IF(Produits!A103&lt;&gt;"",Produits!A103,"")</f>
        <v>Bûchette Passion-Framboise</v>
      </c>
      <c r="Y109" s="184" t="str">
        <f>IF(Produits!F103&lt;&gt;"",Produits!F103,"")</f>
        <v>Patisserie</v>
      </c>
      <c r="Z109" s="184"/>
      <c r="AA109" s="9">
        <f>IF(Produits!B103&lt;&gt;"",Produits!B103,"")</f>
        <v>4.0999999999999996</v>
      </c>
      <c r="AB109" s="9" t="str">
        <f t="shared" si="24"/>
        <v/>
      </c>
      <c r="AC109" s="175"/>
    </row>
    <row r="110" spans="2:29">
      <c r="H110" t="s">
        <v>769</v>
      </c>
      <c r="M110" s="429" t="s">
        <v>497</v>
      </c>
      <c r="N110" s="429"/>
      <c r="W110" s="174"/>
      <c r="X110" s="8" t="str">
        <f>IF(Produits!A104&lt;&gt;"",Produits!A104,"")</f>
        <v>Tarte fine</v>
      </c>
      <c r="Y110" s="184" t="str">
        <f>IF(Produits!F104&lt;&gt;"",Produits!F104,"")</f>
        <v>Patisserie</v>
      </c>
      <c r="Z110" s="184"/>
      <c r="AA110" s="9">
        <f>IF(Produits!B104&lt;&gt;"",Produits!B104,"")</f>
        <v>2.8</v>
      </c>
      <c r="AB110" s="9" t="str">
        <f t="shared" si="24"/>
        <v/>
      </c>
      <c r="AC110" s="175"/>
    </row>
    <row r="111" spans="2:29">
      <c r="H111" t="s">
        <v>495</v>
      </c>
      <c r="M111" s="429" t="s">
        <v>624</v>
      </c>
      <c r="N111" s="429"/>
      <c r="W111" s="174"/>
      <c r="X111" s="8" t="str">
        <f>IF(Produits!A105&lt;&gt;"",Produits!A105,"")</f>
        <v>Tarte fine Abricots</v>
      </c>
      <c r="Y111" s="184" t="str">
        <f>IF(Produits!F105&lt;&gt;"",Produits!F105,"")</f>
        <v>Patisserie</v>
      </c>
      <c r="Z111" s="184"/>
      <c r="AA111" s="9">
        <f>IF(Produits!B105&lt;&gt;"",Produits!B105,"")</f>
        <v>2.8</v>
      </c>
      <c r="AB111" s="9" t="str">
        <f t="shared" si="24"/>
        <v/>
      </c>
      <c r="AC111" s="175"/>
    </row>
    <row r="112" spans="2:29">
      <c r="H112" t="s">
        <v>496</v>
      </c>
      <c r="M112" s="429" t="s">
        <v>498</v>
      </c>
      <c r="N112" s="429"/>
      <c r="W112" s="174"/>
      <c r="X112" s="8" t="str">
        <f>IF(Produits!A106&lt;&gt;"",Produits!A106,"")</f>
        <v>Tarte fine Mirabelles</v>
      </c>
      <c r="Y112" s="184" t="str">
        <f>IF(Produits!F106&lt;&gt;"",Produits!F106,"")</f>
        <v>Patisserie</v>
      </c>
      <c r="Z112" s="184"/>
      <c r="AA112" s="9">
        <f>IF(Produits!B106&lt;&gt;"",Produits!B106,"")</f>
        <v>2.8</v>
      </c>
      <c r="AB112" s="9" t="str">
        <f t="shared" si="24"/>
        <v/>
      </c>
      <c r="AC112" s="175"/>
    </row>
    <row r="113" spans="8:29">
      <c r="H113" t="s">
        <v>497</v>
      </c>
      <c r="M113" s="429" t="s">
        <v>499</v>
      </c>
      <c r="N113" s="429"/>
      <c r="W113" s="174"/>
      <c r="X113" s="8" t="str">
        <f>IF(Produits!A107&lt;&gt;"",Produits!A107,"")</f>
        <v>Tarte fine Poires</v>
      </c>
      <c r="Y113" s="184" t="str">
        <f>IF(Produits!F107&lt;&gt;"",Produits!F107,"")</f>
        <v>Patisserie</v>
      </c>
      <c r="Z113" s="184"/>
      <c r="AA113" s="9">
        <f>IF(Produits!B107&lt;&gt;"",Produits!B107,"")</f>
        <v>2.8</v>
      </c>
      <c r="AB113" s="9" t="str">
        <f t="shared" si="24"/>
        <v/>
      </c>
      <c r="AC113" s="175"/>
    </row>
    <row r="114" spans="8:29">
      <c r="H114" t="s">
        <v>624</v>
      </c>
      <c r="M114" s="429" t="s">
        <v>784</v>
      </c>
      <c r="N114" s="429"/>
      <c r="W114" s="174"/>
      <c r="X114" s="8" t="str">
        <f>IF(Produits!A108&lt;&gt;"",Produits!A108,"")</f>
        <v>Tarte fine Pommes</v>
      </c>
      <c r="Y114" s="184" t="str">
        <f>IF(Produits!F108&lt;&gt;"",Produits!F108,"")</f>
        <v>Patisserie</v>
      </c>
      <c r="Z114" s="184"/>
      <c r="AA114" s="9">
        <f>IF(Produits!B108&lt;&gt;"",Produits!B108,"")</f>
        <v>2.8</v>
      </c>
      <c r="AB114" s="9" t="str">
        <f t="shared" si="24"/>
        <v/>
      </c>
      <c r="AC114" s="175"/>
    </row>
    <row r="115" spans="8:29">
      <c r="H115" t="s">
        <v>498</v>
      </c>
      <c r="M115" s="429" t="s">
        <v>627</v>
      </c>
      <c r="N115" s="429"/>
      <c r="W115" s="174"/>
      <c r="X115" s="8" t="str">
        <f>IF(Produits!A109&lt;&gt;"",Produits!A109,"")</f>
        <v>Tarte Fruits Rouges et Crumble</v>
      </c>
      <c r="Y115" s="184" t="str">
        <f>IF(Produits!F109&lt;&gt;"",Produits!F109,"")</f>
        <v>Patisserie</v>
      </c>
      <c r="Z115" s="184"/>
      <c r="AA115" s="9">
        <f>IF(Produits!B109&lt;&gt;"",Produits!B109,"")</f>
        <v>2.8</v>
      </c>
      <c r="AB115" s="9" t="str">
        <f t="shared" si="24"/>
        <v/>
      </c>
      <c r="AC115" s="175"/>
    </row>
    <row r="116" spans="8:29">
      <c r="H116" t="s">
        <v>499</v>
      </c>
      <c r="W116" s="174"/>
      <c r="X116" s="8" t="str">
        <f>IF(Produits!A110&lt;&gt;"",Produits!A110,"")</f>
        <v>Tartelette Chocolat</v>
      </c>
      <c r="Y116" s="184" t="str">
        <f>IF(Produits!F110&lt;&gt;"",Produits!F110,"")</f>
        <v>Patisserie</v>
      </c>
      <c r="Z116" s="184"/>
      <c r="AA116" s="9">
        <f>IF(Produits!B110&lt;&gt;"",Produits!B110,"")</f>
        <v>2.5</v>
      </c>
      <c r="AB116" s="9" t="str">
        <f t="shared" si="24"/>
        <v/>
      </c>
      <c r="AC116" s="175"/>
    </row>
    <row r="117" spans="8:29">
      <c r="H117" t="s">
        <v>784</v>
      </c>
      <c r="W117" s="174"/>
      <c r="X117" s="8" t="str">
        <f>IF(Produits!A111&lt;&gt;"",Produits!A111,"")</f>
        <v>Tartelette Citron Meringuée</v>
      </c>
      <c r="Y117" s="184" t="str">
        <f>IF(Produits!F111&lt;&gt;"",Produits!F111,"")</f>
        <v>Patisserie</v>
      </c>
      <c r="Z117" s="184"/>
      <c r="AA117" s="9">
        <f>IF(Produits!B111&lt;&gt;"",Produits!B111,"")</f>
        <v>3.6</v>
      </c>
      <c r="AB117" s="9" t="str">
        <f t="shared" si="24"/>
        <v/>
      </c>
      <c r="AC117" s="175"/>
    </row>
    <row r="118" spans="8:29">
      <c r="H118" t="s">
        <v>627</v>
      </c>
      <c r="W118" s="174"/>
      <c r="X118" s="8" t="str">
        <f>IF(Produits!A112&lt;&gt;"",Produits!A112,"")</f>
        <v>Tartelette Tatin</v>
      </c>
      <c r="Y118" s="184" t="str">
        <f>IF(Produits!F112&lt;&gt;"",Produits!F112,"")</f>
        <v>Patisserie</v>
      </c>
      <c r="Z118" s="184"/>
      <c r="AA118" s="9">
        <f>IF(Produits!B112&lt;&gt;"",Produits!B112,"")</f>
        <v>3.9</v>
      </c>
      <c r="AB118" s="9" t="str">
        <f t="shared" si="24"/>
        <v/>
      </c>
      <c r="AC118" s="175"/>
    </row>
    <row r="119" spans="8:29">
      <c r="W119" s="174"/>
      <c r="X119" s="8" t="str">
        <f>IF(Produits!A113&lt;&gt;"",Produits!A113,"")</f>
        <v>Tartelette Fraise</v>
      </c>
      <c r="Y119" s="184" t="str">
        <f>IF(Produits!F113&lt;&gt;"",Produits!F113,"")</f>
        <v>Patisserie</v>
      </c>
      <c r="Z119" s="184"/>
      <c r="AA119" s="9">
        <f>IF(Produits!B113&lt;&gt;"",Produits!B113,"")</f>
        <v>3</v>
      </c>
      <c r="AB119" s="9" t="str">
        <f t="shared" si="24"/>
        <v/>
      </c>
      <c r="AC119" s="175"/>
    </row>
    <row r="120" spans="8:29">
      <c r="W120" s="174"/>
      <c r="X120" s="8" t="str">
        <f>IF(Produits!A114&lt;&gt;"",Produits!A114,"")</f>
        <v>Tartelette Framboise</v>
      </c>
      <c r="Y120" s="184" t="str">
        <f>IF(Produits!F114&lt;&gt;"",Produits!F114,"")</f>
        <v>Patisserie</v>
      </c>
      <c r="Z120" s="184"/>
      <c r="AA120" s="9">
        <f>IF(Produits!B114&lt;&gt;"",Produits!B114,"")</f>
        <v>3.5</v>
      </c>
      <c r="AB120" s="9" t="str">
        <f t="shared" si="24"/>
        <v/>
      </c>
      <c r="AC120" s="175"/>
    </row>
    <row r="121" spans="8:29">
      <c r="W121" s="174"/>
      <c r="X121" s="8" t="str">
        <f>IF(Produits!A115&lt;&gt;"",Produits!A115,"")</f>
        <v>Tarte Automne</v>
      </c>
      <c r="Y121" s="184" t="str">
        <f>IF(Produits!F115&lt;&gt;"",Produits!F115,"")</f>
        <v>Patisserie</v>
      </c>
      <c r="Z121" s="184"/>
      <c r="AA121" s="9">
        <f>IF(Produits!B115&lt;&gt;"",Produits!B115,"")</f>
        <v>3.2</v>
      </c>
      <c r="AB121" s="9" t="str">
        <f t="shared" si="24"/>
        <v/>
      </c>
      <c r="AC121" s="175"/>
    </row>
    <row r="122" spans="8:29">
      <c r="W122" s="174"/>
      <c r="X122" s="8" t="str">
        <f>IF(Produits!A116&lt;&gt;"",Produits!A116,"")</f>
        <v>Tarte Fraises 4pers</v>
      </c>
      <c r="Y122" s="184" t="str">
        <f>IF(Produits!F116&lt;&gt;"",Produits!F116,"")</f>
        <v>Patisserie</v>
      </c>
      <c r="Z122" s="184"/>
      <c r="AA122" s="9">
        <f>IF(Produits!B116&lt;&gt;"",Produits!B116,"")</f>
        <v>16</v>
      </c>
      <c r="AB122" s="9" t="str">
        <f t="shared" si="24"/>
        <v/>
      </c>
      <c r="AC122" s="175"/>
    </row>
    <row r="123" spans="8:29">
      <c r="W123" s="174"/>
      <c r="X123" s="8" t="str">
        <f>IF(Produits!A117&lt;&gt;"",Produits!A117,"")</f>
        <v>Tarte Fraises 6pers</v>
      </c>
      <c r="Y123" s="184" t="str">
        <f>IF(Produits!F117&lt;&gt;"",Produits!F117,"")</f>
        <v>Patisserie</v>
      </c>
      <c r="Z123" s="184"/>
      <c r="AA123" s="9">
        <f>IF(Produits!B117&lt;&gt;"",Produits!B117,"")</f>
        <v>24</v>
      </c>
      <c r="AB123" s="9" t="str">
        <f t="shared" si="24"/>
        <v/>
      </c>
      <c r="AC123" s="175"/>
    </row>
    <row r="124" spans="8:29">
      <c r="W124" s="174"/>
      <c r="X124" s="8" t="str">
        <f>IF(Produits!A118&lt;&gt;"",Produits!A118,"")</f>
        <v>Tarte Framboises 4pers</v>
      </c>
      <c r="Y124" s="184" t="str">
        <f>IF(Produits!F118&lt;&gt;"",Produits!F118,"")</f>
        <v>Patisserie</v>
      </c>
      <c r="Z124" s="184"/>
      <c r="AA124" s="9">
        <f>IF(Produits!B118&lt;&gt;"",Produits!B118,"")</f>
        <v>16</v>
      </c>
      <c r="AB124" s="9" t="str">
        <f t="shared" si="24"/>
        <v/>
      </c>
      <c r="AC124" s="175"/>
    </row>
    <row r="125" spans="8:29">
      <c r="W125" s="174"/>
      <c r="X125" s="8" t="str">
        <f>IF(Produits!A119&lt;&gt;"",Produits!A119,"")</f>
        <v>Tarte Framboises 6pers</v>
      </c>
      <c r="Y125" s="184" t="str">
        <f>IF(Produits!F119&lt;&gt;"",Produits!F119,"")</f>
        <v>Patisserie</v>
      </c>
      <c r="Z125" s="184"/>
      <c r="AA125" s="9">
        <f>IF(Produits!B119&lt;&gt;"",Produits!B119,"")</f>
        <v>24</v>
      </c>
      <c r="AB125" s="9" t="str">
        <f t="shared" si="24"/>
        <v/>
      </c>
      <c r="AC125" s="175"/>
    </row>
    <row r="126" spans="8:29">
      <c r="W126" s="174"/>
      <c r="X126" s="8" t="str">
        <f>IF(Produits!A120&lt;&gt;"",Produits!A120,"")</f>
        <v>Tarte Fraises Framboises 4pers</v>
      </c>
      <c r="Y126" s="184" t="str">
        <f>IF(Produits!F120&lt;&gt;"",Produits!F120,"")</f>
        <v>Patisserie</v>
      </c>
      <c r="Z126" s="184"/>
      <c r="AA126" s="9">
        <f>IF(Produits!B120&lt;&gt;"",Produits!B120,"")</f>
        <v>16</v>
      </c>
      <c r="AB126" s="9" t="str">
        <f t="shared" si="24"/>
        <v/>
      </c>
      <c r="AC126" s="175"/>
    </row>
    <row r="127" spans="8:29">
      <c r="W127" s="174"/>
      <c r="X127" s="8" t="str">
        <f>IF(Produits!A121&lt;&gt;"",Produits!A121,"")</f>
        <v>Tarte Fraises Framboises 6pers</v>
      </c>
      <c r="Y127" s="184" t="str">
        <f>IF(Produits!F121&lt;&gt;"",Produits!F121,"")</f>
        <v>Patisserie</v>
      </c>
      <c r="Z127" s="184"/>
      <c r="AA127" s="9">
        <f>IF(Produits!B121&lt;&gt;"",Produits!B121,"")</f>
        <v>24</v>
      </c>
      <c r="AB127" s="9" t="str">
        <f t="shared" si="24"/>
        <v/>
      </c>
      <c r="AC127" s="175"/>
    </row>
    <row r="128" spans="8:29">
      <c r="W128" s="174"/>
      <c r="X128" s="8" t="str">
        <f>IF(Produits!A122&lt;&gt;"",Produits!A122,"")</f>
        <v>Fraisier 4 pers</v>
      </c>
      <c r="Y128" s="184" t="str">
        <f>IF(Produits!F122&lt;&gt;"",Produits!F122,"")</f>
        <v>Patisserie</v>
      </c>
      <c r="Z128" s="184"/>
      <c r="AA128" s="9">
        <f>IF(Produits!B122&lt;&gt;"",Produits!B122,"")</f>
        <v>19</v>
      </c>
      <c r="AB128" s="9" t="str">
        <f t="shared" si="24"/>
        <v/>
      </c>
      <c r="AC128" s="175"/>
    </row>
    <row r="129" spans="23:29">
      <c r="W129" s="174"/>
      <c r="X129" s="8" t="str">
        <f>IF(Produits!A123&lt;&gt;"",Produits!A123,"")</f>
        <v>Fraisier 6 pers</v>
      </c>
      <c r="Y129" s="184" t="str">
        <f>IF(Produits!F123&lt;&gt;"",Produits!F123,"")</f>
        <v>Patisserie</v>
      </c>
      <c r="Z129" s="184"/>
      <c r="AA129" s="9">
        <f>IF(Produits!B123&lt;&gt;"",Produits!B123,"")</f>
        <v>28.5</v>
      </c>
      <c r="AB129" s="9" t="str">
        <f t="shared" si="24"/>
        <v/>
      </c>
      <c r="AC129" s="175"/>
    </row>
    <row r="130" spans="23:29">
      <c r="W130" s="174"/>
      <c r="X130" s="8" t="str">
        <f>IF(Produits!A124&lt;&gt;"",Produits!A124,"")</f>
        <v>Richelieu 4 pers</v>
      </c>
      <c r="Y130" s="184" t="str">
        <f>IF(Produits!F124&lt;&gt;"",Produits!F124,"")</f>
        <v>Patisserie</v>
      </c>
      <c r="Z130" s="184"/>
      <c r="AA130" s="9">
        <f>IF(Produits!B124&lt;&gt;"",Produits!B124,"")</f>
        <v>19</v>
      </c>
      <c r="AB130" s="9" t="str">
        <f t="shared" si="24"/>
        <v/>
      </c>
      <c r="AC130" s="175"/>
    </row>
    <row r="131" spans="23:29">
      <c r="W131" s="174"/>
      <c r="X131" s="8" t="str">
        <f>IF(Produits!A125&lt;&gt;"",Produits!A125,"")</f>
        <v>Richelieu 6 pers</v>
      </c>
      <c r="Y131" s="184" t="str">
        <f>IF(Produits!F125&lt;&gt;"",Produits!F125,"")</f>
        <v>Patisserie</v>
      </c>
      <c r="Z131" s="184"/>
      <c r="AA131" s="9">
        <f>IF(Produits!B125&lt;&gt;"",Produits!B125,"")</f>
        <v>28.5</v>
      </c>
      <c r="AB131" s="9" t="str">
        <f t="shared" si="24"/>
        <v/>
      </c>
      <c r="AC131" s="175"/>
    </row>
    <row r="132" spans="23:29">
      <c r="W132" s="174"/>
      <c r="X132" s="8" t="str">
        <f>IF(Produits!A126&lt;&gt;"",Produits!A126,"")</f>
        <v>Courchevel 4 pers</v>
      </c>
      <c r="Y132" s="184" t="str">
        <f>IF(Produits!F126&lt;&gt;"",Produits!F126,"")</f>
        <v>Patisserie</v>
      </c>
      <c r="Z132" s="184"/>
      <c r="AA132" s="9">
        <f>IF(Produits!B126&lt;&gt;"",Produits!B126,"")</f>
        <v>20</v>
      </c>
      <c r="AB132" s="9" t="str">
        <f t="shared" si="24"/>
        <v/>
      </c>
      <c r="AC132" s="175"/>
    </row>
    <row r="133" spans="23:29">
      <c r="W133" s="174"/>
      <c r="X133" s="8" t="str">
        <f>IF(Produits!A127&lt;&gt;"",Produits!A127,"")</f>
        <v>Courchevel 6 pers</v>
      </c>
      <c r="Y133" s="184" t="str">
        <f>IF(Produits!F127&lt;&gt;"",Produits!F127,"")</f>
        <v>Patisserie</v>
      </c>
      <c r="Z133" s="184"/>
      <c r="AA133" s="9">
        <f>IF(Produits!B127&lt;&gt;"",Produits!B127,"")</f>
        <v>29</v>
      </c>
      <c r="AB133" s="9" t="str">
        <f t="shared" si="24"/>
        <v/>
      </c>
      <c r="AC133" s="175"/>
    </row>
    <row r="134" spans="23:29">
      <c r="W134" s="174"/>
      <c r="X134" s="8" t="str">
        <f>IF(Produits!A128&lt;&gt;"",Produits!A128,"")</f>
        <v>Saint-Honoré 4 pers</v>
      </c>
      <c r="Y134" s="184" t="str">
        <f>IF(Produits!F128&lt;&gt;"",Produits!F128,"")</f>
        <v>Patisserie</v>
      </c>
      <c r="Z134" s="184"/>
      <c r="AA134" s="9">
        <f>IF(Produits!B128&lt;&gt;"",Produits!B128,"")</f>
        <v>20</v>
      </c>
      <c r="AB134" s="9" t="str">
        <f t="shared" si="24"/>
        <v/>
      </c>
      <c r="AC134" s="175"/>
    </row>
    <row r="135" spans="23:29">
      <c r="W135" s="174"/>
      <c r="X135" s="8" t="str">
        <f>IF(Produits!A129&lt;&gt;"",Produits!A129,"")</f>
        <v>Saint-Honoré 6 pers</v>
      </c>
      <c r="Y135" s="184" t="str">
        <f>IF(Produits!F129&lt;&gt;"",Produits!F129,"")</f>
        <v>Patisserie</v>
      </c>
      <c r="Z135" s="184"/>
      <c r="AA135" s="9">
        <f>IF(Produits!B129&lt;&gt;"",Produits!B129,"")</f>
        <v>29</v>
      </c>
      <c r="AB135" s="9" t="str">
        <f t="shared" si="24"/>
        <v/>
      </c>
      <c r="AC135" s="175"/>
    </row>
    <row r="136" spans="23:29">
      <c r="W136" s="174"/>
      <c r="X136" s="8" t="str">
        <f>IF(Produits!A130&lt;&gt;"",Produits!A130,"")</f>
        <v>Tarte Fine Abricots 6 pers</v>
      </c>
      <c r="Y136" s="184" t="str">
        <f>IF(Produits!F130&lt;&gt;"",Produits!F130,"")</f>
        <v>Patisserie</v>
      </c>
      <c r="Z136" s="184"/>
      <c r="AA136" s="9">
        <f>IF(Produits!B130&lt;&gt;"",Produits!B130,"")</f>
        <v>15</v>
      </c>
      <c r="AB136" s="9" t="str">
        <f t="shared" si="24"/>
        <v/>
      </c>
      <c r="AC136" s="175"/>
    </row>
    <row r="137" spans="23:29">
      <c r="W137" s="174"/>
      <c r="X137" s="8" t="str">
        <f>IF(Produits!A131&lt;&gt;"",Produits!A131,"")</f>
        <v>Tarte Fine Mirabelles 6 pers</v>
      </c>
      <c r="Y137" s="184" t="str">
        <f>IF(Produits!F131&lt;&gt;"",Produits!F131,"")</f>
        <v>Patisserie</v>
      </c>
      <c r="Z137" s="184"/>
      <c r="AA137" s="9">
        <f>IF(Produits!B131&lt;&gt;"",Produits!B131,"")</f>
        <v>15</v>
      </c>
      <c r="AB137" s="9" t="str">
        <f t="shared" si="24"/>
        <v/>
      </c>
      <c r="AC137" s="175"/>
    </row>
    <row r="138" spans="23:29">
      <c r="W138" s="174"/>
      <c r="X138" s="8" t="str">
        <f>IF(Produits!A132&lt;&gt;"",Produits!A132,"")</f>
        <v>Tarte Fine Poires 6 pers</v>
      </c>
      <c r="Y138" s="184" t="str">
        <f>IF(Produits!F132&lt;&gt;"",Produits!F132,"")</f>
        <v>Patisserie</v>
      </c>
      <c r="Z138" s="184"/>
      <c r="AA138" s="9">
        <f>IF(Produits!B132&lt;&gt;"",Produits!B132,"")</f>
        <v>15</v>
      </c>
      <c r="AB138" s="9" t="str">
        <f t="shared" si="24"/>
        <v/>
      </c>
      <c r="AC138" s="175"/>
    </row>
    <row r="139" spans="23:29">
      <c r="W139" s="174"/>
      <c r="X139" s="8" t="str">
        <f>IF(Produits!A133&lt;&gt;"",Produits!A133,"")</f>
        <v>Tarte Fine Pommes 6 pers</v>
      </c>
      <c r="Y139" s="184" t="str">
        <f>IF(Produits!F133&lt;&gt;"",Produits!F133,"")</f>
        <v>Patisserie</v>
      </c>
      <c r="Z139" s="184"/>
      <c r="AA139" s="9">
        <f>IF(Produits!B133&lt;&gt;"",Produits!B133,"")</f>
        <v>15</v>
      </c>
      <c r="AB139" s="9" t="str">
        <f t="shared" si="24"/>
        <v/>
      </c>
      <c r="AC139" s="175"/>
    </row>
    <row r="140" spans="23:29">
      <c r="W140" s="174"/>
      <c r="X140" s="8" t="str">
        <f>IF(Produits!A134&lt;&gt;"",Produits!A134,"")</f>
        <v>Bûche Café 4 pers</v>
      </c>
      <c r="Y140" s="184" t="str">
        <f>IF(Produits!F134&lt;&gt;"",Produits!F134,"")</f>
        <v>Patisserie</v>
      </c>
      <c r="Z140" s="184"/>
      <c r="AA140" s="9">
        <f>IF(Produits!B134&lt;&gt;"",Produits!B134,"")</f>
        <v>16</v>
      </c>
      <c r="AB140" s="9" t="str">
        <f t="shared" si="24"/>
        <v/>
      </c>
      <c r="AC140" s="175"/>
    </row>
    <row r="141" spans="23:29">
      <c r="W141" s="174"/>
      <c r="X141" s="8" t="str">
        <f>IF(Produits!A135&lt;&gt;"",Produits!A135,"")</f>
        <v>Bûche Café 6 pers</v>
      </c>
      <c r="Y141" s="184" t="str">
        <f>IF(Produits!F135&lt;&gt;"",Produits!F135,"")</f>
        <v>Patisserie</v>
      </c>
      <c r="Z141" s="184"/>
      <c r="AA141" s="9">
        <f>IF(Produits!B135&lt;&gt;"",Produits!B135,"")</f>
        <v>24</v>
      </c>
      <c r="AB141" s="9" t="str">
        <f t="shared" si="24"/>
        <v/>
      </c>
      <c r="AC141" s="175"/>
    </row>
    <row r="142" spans="23:29">
      <c r="W142" s="174"/>
      <c r="X142" s="8" t="str">
        <f>IF(Produits!A136&lt;&gt;"",Produits!A136,"")</f>
        <v>Bûche Café 8 pers</v>
      </c>
      <c r="Y142" s="184" t="str">
        <f>IF(Produits!F136&lt;&gt;"",Produits!F136,"")</f>
        <v>Patisserie</v>
      </c>
      <c r="Z142" s="184"/>
      <c r="AA142" s="9">
        <f>IF(Produits!B136&lt;&gt;"",Produits!B136,"")</f>
        <v>32</v>
      </c>
      <c r="AB142" s="9" t="str">
        <f t="shared" si="24"/>
        <v/>
      </c>
      <c r="AC142" s="175"/>
    </row>
    <row r="143" spans="23:29">
      <c r="W143" s="174"/>
      <c r="X143" s="8" t="str">
        <f>IF(Produits!A137&lt;&gt;"",Produits!A137,"")</f>
        <v>Bûche Chocolat 4 pers</v>
      </c>
      <c r="Y143" s="184" t="str">
        <f>IF(Produits!F137&lt;&gt;"",Produits!F137,"")</f>
        <v>Patisserie</v>
      </c>
      <c r="Z143" s="184"/>
      <c r="AA143" s="9">
        <f>IF(Produits!B137&lt;&gt;"",Produits!B137,"")</f>
        <v>16</v>
      </c>
      <c r="AB143" s="9" t="str">
        <f t="shared" si="24"/>
        <v/>
      </c>
      <c r="AC143" s="175"/>
    </row>
    <row r="144" spans="23:29">
      <c r="W144" s="174"/>
      <c r="X144" s="8" t="str">
        <f>IF(Produits!A138&lt;&gt;"",Produits!A138,"")</f>
        <v>Bûche Chocolat 6 pers</v>
      </c>
      <c r="Y144" s="184" t="str">
        <f>IF(Produits!F138&lt;&gt;"",Produits!F138,"")</f>
        <v>Patisserie</v>
      </c>
      <c r="Z144" s="184"/>
      <c r="AA144" s="9">
        <f>IF(Produits!B138&lt;&gt;"",Produits!B138,"")</f>
        <v>24</v>
      </c>
      <c r="AB144" s="9" t="str">
        <f t="shared" si="24"/>
        <v/>
      </c>
      <c r="AC144" s="175"/>
    </row>
    <row r="145" spans="23:29">
      <c r="W145" s="174"/>
      <c r="X145" s="8" t="str">
        <f>IF(Produits!A139&lt;&gt;"",Produits!A139,"")</f>
        <v>Bûche Chocolat 8 pers</v>
      </c>
      <c r="Y145" s="184" t="str">
        <f>IF(Produits!F139&lt;&gt;"",Produits!F139,"")</f>
        <v>Patisserie</v>
      </c>
      <c r="Z145" s="184"/>
      <c r="AA145" s="9">
        <f>IF(Produits!B139&lt;&gt;"",Produits!B139,"")</f>
        <v>32</v>
      </c>
      <c r="AB145" s="9" t="str">
        <f t="shared" si="24"/>
        <v/>
      </c>
      <c r="AC145" s="175"/>
    </row>
    <row r="146" spans="23:29">
      <c r="W146" s="174"/>
      <c r="X146" s="8" t="str">
        <f>IF(Produits!A140&lt;&gt;"",Produits!A140,"")</f>
        <v>Bûche Baiser de Margot 4 pers</v>
      </c>
      <c r="Y146" s="184" t="str">
        <f>IF(Produits!F140&lt;&gt;"",Produits!F140,"")</f>
        <v>Patisserie</v>
      </c>
      <c r="Z146" s="184"/>
      <c r="AA146" s="9">
        <f>IF(Produits!B140&lt;&gt;"",Produits!B140,"")</f>
        <v>19</v>
      </c>
      <c r="AB146" s="9" t="str">
        <f t="shared" si="24"/>
        <v/>
      </c>
      <c r="AC146" s="175"/>
    </row>
    <row r="147" spans="23:29">
      <c r="W147" s="174"/>
      <c r="X147" s="8" t="str">
        <f>IF(Produits!A141&lt;&gt;"",Produits!A141,"")</f>
        <v>Bûche Baiser de Margot 6 pers</v>
      </c>
      <c r="Y147" s="184" t="str">
        <f>IF(Produits!F141&lt;&gt;"",Produits!F141,"")</f>
        <v>Patisserie</v>
      </c>
      <c r="Z147" s="184"/>
      <c r="AA147" s="9">
        <f>IF(Produits!B141&lt;&gt;"",Produits!B141,"")</f>
        <v>28</v>
      </c>
      <c r="AB147" s="9" t="str">
        <f t="shared" si="24"/>
        <v/>
      </c>
      <c r="AC147" s="175"/>
    </row>
    <row r="148" spans="23:29">
      <c r="W148" s="174"/>
      <c r="X148" s="8" t="str">
        <f>IF(Produits!A142&lt;&gt;"",Produits!A142,"")</f>
        <v>Bûche Baiser de Margot 8 pers</v>
      </c>
      <c r="Y148" s="184" t="str">
        <f>IF(Produits!F142&lt;&gt;"",Produits!F142,"")</f>
        <v>Patisserie</v>
      </c>
      <c r="Z148" s="184"/>
      <c r="AA148" s="9">
        <f>IF(Produits!B142&lt;&gt;"",Produits!B142,"")</f>
        <v>38</v>
      </c>
      <c r="AB148" s="9" t="str">
        <f t="shared" si="24"/>
        <v/>
      </c>
      <c r="AC148" s="175"/>
    </row>
    <row r="149" spans="23:29">
      <c r="W149" s="174"/>
      <c r="X149" s="8" t="str">
        <f>IF(Produits!A143&lt;&gt;"",Produits!A143,"")</f>
        <v>Bûche Gianduneige 4 pers</v>
      </c>
      <c r="Y149" s="184" t="str">
        <f>IF(Produits!F143&lt;&gt;"",Produits!F143,"")</f>
        <v>Patisserie</v>
      </c>
      <c r="Z149" s="184"/>
      <c r="AA149" s="9">
        <f>IF(Produits!B143&lt;&gt;"",Produits!B143,"")</f>
        <v>19</v>
      </c>
      <c r="AB149" s="9" t="str">
        <f t="shared" si="24"/>
        <v/>
      </c>
      <c r="AC149" s="175"/>
    </row>
    <row r="150" spans="23:29">
      <c r="W150" s="174"/>
      <c r="X150" s="8" t="str">
        <f>IF(Produits!A144&lt;&gt;"",Produits!A144,"")</f>
        <v>Bûche Gianduneige 6 pers</v>
      </c>
      <c r="Y150" s="184" t="str">
        <f>IF(Produits!F144&lt;&gt;"",Produits!F144,"")</f>
        <v>Patisserie</v>
      </c>
      <c r="Z150" s="184"/>
      <c r="AA150" s="9">
        <f>IF(Produits!B144&lt;&gt;"",Produits!B144,"")</f>
        <v>28</v>
      </c>
      <c r="AB150" s="9" t="str">
        <f t="shared" si="24"/>
        <v/>
      </c>
      <c r="AC150" s="175"/>
    </row>
    <row r="151" spans="23:29">
      <c r="W151" s="174"/>
      <c r="X151" s="8" t="str">
        <f>IF(Produits!A145&lt;&gt;"",Produits!A145,"")</f>
        <v>Bûche Gianduneige 8 pers</v>
      </c>
      <c r="Y151" s="184" t="str">
        <f>IF(Produits!F145&lt;&gt;"",Produits!F145,"")</f>
        <v>Patisserie</v>
      </c>
      <c r="Z151" s="184"/>
      <c r="AA151" s="9">
        <f>IF(Produits!B145&lt;&gt;"",Produits!B145,"")</f>
        <v>38</v>
      </c>
      <c r="AB151" s="9" t="str">
        <f t="shared" ref="AB151:AB200" si="25">IF(Z151&lt;&gt;"",Z151*AA151,"")</f>
        <v/>
      </c>
      <c r="AC151" s="175"/>
    </row>
    <row r="152" spans="23:29">
      <c r="W152" s="174"/>
      <c r="X152" s="8" t="str">
        <f>IF(Produits!A146&lt;&gt;"",Produits!A146,"")</f>
        <v>Bûche Richeulieu 4 pers</v>
      </c>
      <c r="Y152" s="184" t="str">
        <f>IF(Produits!F146&lt;&gt;"",Produits!F146,"")</f>
        <v>Patisserie</v>
      </c>
      <c r="Z152" s="184"/>
      <c r="AA152" s="9">
        <f>IF(Produits!B146&lt;&gt;"",Produits!B146,"")</f>
        <v>19</v>
      </c>
      <c r="AB152" s="9" t="str">
        <f t="shared" si="25"/>
        <v/>
      </c>
      <c r="AC152" s="175"/>
    </row>
    <row r="153" spans="23:29">
      <c r="W153" s="174"/>
      <c r="X153" s="8" t="str">
        <f>IF(Produits!A147&lt;&gt;"",Produits!A147,"")</f>
        <v>Bûche Richeulieu 6 pers</v>
      </c>
      <c r="Y153" s="184" t="str">
        <f>IF(Produits!F147&lt;&gt;"",Produits!F147,"")</f>
        <v>Patisserie</v>
      </c>
      <c r="Z153" s="184"/>
      <c r="AA153" s="9">
        <f>IF(Produits!B147&lt;&gt;"",Produits!B147,"")</f>
        <v>28</v>
      </c>
      <c r="AB153" s="9" t="str">
        <f t="shared" si="25"/>
        <v/>
      </c>
      <c r="AC153" s="175"/>
    </row>
    <row r="154" spans="23:29">
      <c r="W154" s="174"/>
      <c r="X154" s="8" t="str">
        <f>IF(Produits!A148&lt;&gt;"",Produits!A148,"")</f>
        <v>Bûche Richeulieu 8 pers</v>
      </c>
      <c r="Y154" s="184" t="str">
        <f>IF(Produits!F148&lt;&gt;"",Produits!F148,"")</f>
        <v>Patisserie</v>
      </c>
      <c r="Z154" s="184"/>
      <c r="AA154" s="9">
        <f>IF(Produits!B148&lt;&gt;"",Produits!B148,"")</f>
        <v>38</v>
      </c>
      <c r="AB154" s="9" t="str">
        <f t="shared" si="25"/>
        <v/>
      </c>
      <c r="AC154" s="175"/>
    </row>
    <row r="155" spans="23:29">
      <c r="W155" s="174"/>
      <c r="X155" s="8" t="str">
        <f>IF(Produits!A149&lt;&gt;"",Produits!A149,"")</f>
        <v>Bûche Ecureuil 4 pers</v>
      </c>
      <c r="Y155" s="184" t="str">
        <f>IF(Produits!F149&lt;&gt;"",Produits!F149,"")</f>
        <v>Patisserie</v>
      </c>
      <c r="Z155" s="184"/>
      <c r="AA155" s="9">
        <f>IF(Produits!B149&lt;&gt;"",Produits!B149,"")</f>
        <v>19</v>
      </c>
      <c r="AB155" s="9" t="str">
        <f t="shared" si="25"/>
        <v/>
      </c>
      <c r="AC155" s="175"/>
    </row>
    <row r="156" spans="23:29">
      <c r="W156" s="174"/>
      <c r="X156" s="8" t="str">
        <f>IF(Produits!A150&lt;&gt;"",Produits!A150,"")</f>
        <v>Bûche Ecureuil 6 pers</v>
      </c>
      <c r="Y156" s="184" t="str">
        <f>IF(Produits!F150&lt;&gt;"",Produits!F150,"")</f>
        <v>Patisserie</v>
      </c>
      <c r="Z156" s="184"/>
      <c r="AA156" s="9">
        <f>IF(Produits!B150&lt;&gt;"",Produits!B150,"")</f>
        <v>28</v>
      </c>
      <c r="AB156" s="9" t="str">
        <f t="shared" si="25"/>
        <v/>
      </c>
      <c r="AC156" s="175"/>
    </row>
    <row r="157" spans="23:29">
      <c r="W157" s="174"/>
      <c r="X157" s="8" t="str">
        <f>IF(Produits!A151&lt;&gt;"",Produits!A151,"")</f>
        <v>Bûche Ecureuil 8 pers</v>
      </c>
      <c r="Y157" s="184" t="str">
        <f>IF(Produits!F151&lt;&gt;"",Produits!F151,"")</f>
        <v>Patisserie</v>
      </c>
      <c r="Z157" s="184"/>
      <c r="AA157" s="9">
        <f>IF(Produits!B151&lt;&gt;"",Produits!B151,"")</f>
        <v>38</v>
      </c>
      <c r="AB157" s="9" t="str">
        <f t="shared" si="25"/>
        <v/>
      </c>
      <c r="AC157" s="175"/>
    </row>
    <row r="158" spans="23:29">
      <c r="W158" s="174"/>
      <c r="X158" s="8" t="str">
        <f>IF(Produits!A152&lt;&gt;"",Produits!A152,"")</f>
        <v>Bûche Passion-Framboise 4 pers</v>
      </c>
      <c r="Y158" s="184" t="str">
        <f>IF(Produits!F152&lt;&gt;"",Produits!F152,"")</f>
        <v>Patisserie</v>
      </c>
      <c r="Z158" s="184"/>
      <c r="AA158" s="9">
        <f>IF(Produits!B152&lt;&gt;"",Produits!B152,"")</f>
        <v>19</v>
      </c>
      <c r="AB158" s="9" t="str">
        <f t="shared" si="25"/>
        <v/>
      </c>
      <c r="AC158" s="175"/>
    </row>
    <row r="159" spans="23:29">
      <c r="W159" s="174"/>
      <c r="X159" s="8" t="str">
        <f>IF(Produits!A153&lt;&gt;"",Produits!A153,"")</f>
        <v>Bûche Passion-Framboise  6 pers</v>
      </c>
      <c r="Y159" s="184" t="str">
        <f>IF(Produits!F153&lt;&gt;"",Produits!F153,"")</f>
        <v>Patisserie</v>
      </c>
      <c r="Z159" s="184"/>
      <c r="AA159" s="9">
        <f>IF(Produits!B153&lt;&gt;"",Produits!B153,"")</f>
        <v>28</v>
      </c>
      <c r="AB159" s="9" t="str">
        <f t="shared" si="25"/>
        <v/>
      </c>
      <c r="AC159" s="175"/>
    </row>
    <row r="160" spans="23:29">
      <c r="W160" s="174"/>
      <c r="X160" s="8" t="str">
        <f>IF(Produits!A154&lt;&gt;"",Produits!A154,"")</f>
        <v>Bûche Passion-Framboise  8 pers</v>
      </c>
      <c r="Y160" s="184" t="str">
        <f>IF(Produits!F154&lt;&gt;"",Produits!F154,"")</f>
        <v>Patisserie</v>
      </c>
      <c r="Z160" s="184"/>
      <c r="AA160" s="9">
        <f>IF(Produits!B154&lt;&gt;"",Produits!B154,"")</f>
        <v>38</v>
      </c>
      <c r="AB160" s="9" t="str">
        <f t="shared" si="25"/>
        <v/>
      </c>
      <c r="AC160" s="175"/>
    </row>
    <row r="161" spans="23:29">
      <c r="W161" s="174"/>
      <c r="X161" s="8" t="str">
        <f>IF(Produits!A155&lt;&gt;"",Produits!A155,"")</f>
        <v>Divers Patisserie</v>
      </c>
      <c r="Y161" s="184" t="str">
        <f>IF(Produits!F155&lt;&gt;"",Produits!F155,"")</f>
        <v>Patisserie</v>
      </c>
      <c r="Z161" s="184"/>
      <c r="AA161" s="9">
        <f>IF(Produits!B155&lt;&gt;"",Produits!B155,"")</f>
        <v>0</v>
      </c>
      <c r="AB161" s="9" t="str">
        <f t="shared" si="25"/>
        <v/>
      </c>
      <c r="AC161" s="175"/>
    </row>
    <row r="162" spans="23:29">
      <c r="W162" s="174"/>
      <c r="X162" s="8" t="str">
        <f>IF(Produits!A156&lt;&gt;"",Produits!A156,"")</f>
        <v>Cristaline</v>
      </c>
      <c r="Y162" s="184" t="str">
        <f>IF(Produits!F156&lt;&gt;"",Produits!F156,"")</f>
        <v>Boisson</v>
      </c>
      <c r="Z162" s="184"/>
      <c r="AA162" s="9">
        <f>IF(Produits!B156&lt;&gt;"",Produits!B156,"")</f>
        <v>1</v>
      </c>
      <c r="AB162" s="9" t="str">
        <f t="shared" si="25"/>
        <v/>
      </c>
      <c r="AC162" s="175"/>
    </row>
    <row r="163" spans="23:29">
      <c r="W163" s="174"/>
      <c r="X163" s="8" t="str">
        <f>IF(Produits!A157&lt;&gt;"",Produits!A157,"")</f>
        <v>Badoit</v>
      </c>
      <c r="Y163" s="184" t="str">
        <f>IF(Produits!F157&lt;&gt;"",Produits!F157,"")</f>
        <v>Boisson</v>
      </c>
      <c r="Z163" s="184"/>
      <c r="AA163" s="9">
        <f>IF(Produits!B157&lt;&gt;"",Produits!B157,"")</f>
        <v>1.5</v>
      </c>
      <c r="AB163" s="9" t="str">
        <f t="shared" si="25"/>
        <v/>
      </c>
      <c r="AC163" s="175"/>
    </row>
    <row r="164" spans="23:29">
      <c r="W164" s="174"/>
      <c r="X164" s="8" t="str">
        <f>IF(Produits!A158&lt;&gt;"",Produits!A158,"")</f>
        <v>Evian</v>
      </c>
      <c r="Y164" s="184" t="str">
        <f>IF(Produits!F158&lt;&gt;"",Produits!F158,"")</f>
        <v>Boisson</v>
      </c>
      <c r="Z164" s="184"/>
      <c r="AA164" s="9">
        <f>IF(Produits!B158&lt;&gt;"",Produits!B158,"")</f>
        <v>1.5</v>
      </c>
      <c r="AB164" s="9" t="str">
        <f t="shared" si="25"/>
        <v/>
      </c>
      <c r="AC164" s="175"/>
    </row>
    <row r="165" spans="23:29">
      <c r="W165" s="174"/>
      <c r="X165" s="8" t="str">
        <f>IF(Produits!A159&lt;&gt;"",Produits!A159,"")</f>
        <v>Canette</v>
      </c>
      <c r="Y165" s="184" t="str">
        <f>IF(Produits!F159&lt;&gt;"",Produits!F159,"")</f>
        <v>Boisson</v>
      </c>
      <c r="Z165" s="184"/>
      <c r="AA165" s="9">
        <f>IF(Produits!B159&lt;&gt;"",Produits!B159,"")</f>
        <v>1.7</v>
      </c>
      <c r="AB165" s="9" t="str">
        <f t="shared" si="25"/>
        <v/>
      </c>
      <c r="AC165" s="175"/>
    </row>
    <row r="166" spans="23:29">
      <c r="W166" s="174"/>
      <c r="X166" s="8" t="str">
        <f>IF(Produits!A160&lt;&gt;"",Produits!A160,"")</f>
        <v>Café Expresso</v>
      </c>
      <c r="Y166" s="184" t="str">
        <f>IF(Produits!F160&lt;&gt;"",Produits!F160,"")</f>
        <v>Boisson</v>
      </c>
      <c r="Z166" s="184"/>
      <c r="AA166" s="9">
        <f>IF(Produits!B160&lt;&gt;"",Produits!B160,"")</f>
        <v>1</v>
      </c>
      <c r="AB166" s="9" t="str">
        <f t="shared" si="25"/>
        <v/>
      </c>
      <c r="AC166" s="175"/>
    </row>
    <row r="167" spans="23:29">
      <c r="W167" s="174"/>
      <c r="X167" s="8" t="str">
        <f>IF(Produits!A161&lt;&gt;"",Produits!A161,"")</f>
        <v>Café Long</v>
      </c>
      <c r="Y167" s="184" t="str">
        <f>IF(Produits!F161&lt;&gt;"",Produits!F161,"")</f>
        <v>Boisson</v>
      </c>
      <c r="Z167" s="184"/>
      <c r="AA167" s="9">
        <f>IF(Produits!B161&lt;&gt;"",Produits!B161,"")</f>
        <v>1.2</v>
      </c>
      <c r="AB167" s="9" t="str">
        <f t="shared" si="25"/>
        <v/>
      </c>
      <c r="AC167" s="175"/>
    </row>
    <row r="168" spans="23:29">
      <c r="W168" s="174"/>
      <c r="X168" s="8" t="str">
        <f>IF(Produits!A162&lt;&gt;"",Produits!A162,"")</f>
        <v>Café au Lait</v>
      </c>
      <c r="Y168" s="184" t="str">
        <f>IF(Produits!F162&lt;&gt;"",Produits!F162,"")</f>
        <v>Boisson</v>
      </c>
      <c r="Z168" s="184"/>
      <c r="AA168" s="9">
        <f>IF(Produits!B162&lt;&gt;"",Produits!B162,"")</f>
        <v>1.5</v>
      </c>
      <c r="AB168" s="9" t="str">
        <f t="shared" si="25"/>
        <v/>
      </c>
      <c r="AC168" s="175"/>
    </row>
    <row r="169" spans="23:29">
      <c r="W169" s="174"/>
      <c r="X169" s="8" t="str">
        <f>IF(Produits!A163&lt;&gt;"",Produits!A163,"")</f>
        <v>Thé</v>
      </c>
      <c r="Y169" s="184" t="str">
        <f>IF(Produits!F163&lt;&gt;"",Produits!F163,"")</f>
        <v>Boisson</v>
      </c>
      <c r="Z169" s="184"/>
      <c r="AA169" s="9">
        <f>IF(Produits!B163&lt;&gt;"",Produits!B163,"")</f>
        <v>1.5</v>
      </c>
      <c r="AB169" s="9" t="str">
        <f t="shared" si="25"/>
        <v/>
      </c>
      <c r="AC169" s="175"/>
    </row>
    <row r="170" spans="23:29">
      <c r="W170" s="174"/>
      <c r="X170" s="8" t="str">
        <f>IF(Produits!A164&lt;&gt;"",Produits!A164,"")</f>
        <v>Zenat</v>
      </c>
      <c r="Y170" s="184" t="str">
        <f>IF(Produits!F164&lt;&gt;"",Produits!F164,"")</f>
        <v>Boisson</v>
      </c>
      <c r="Z170" s="184"/>
      <c r="AA170" s="9">
        <f>IF(Produits!B164&lt;&gt;"",Produits!B164,"")</f>
        <v>2.8</v>
      </c>
      <c r="AB170" s="9" t="str">
        <f t="shared" si="25"/>
        <v/>
      </c>
      <c r="AC170" s="175"/>
    </row>
    <row r="171" spans="23:29">
      <c r="W171" s="174"/>
      <c r="X171" s="8" t="str">
        <f>IF(Produits!A165&lt;&gt;"",Produits!A165,"")</f>
        <v>Confiture</v>
      </c>
      <c r="Y171" s="184" t="str">
        <f>IF(Produits!F165&lt;&gt;"",Produits!F165,"")</f>
        <v>Boisson</v>
      </c>
      <c r="Z171" s="184"/>
      <c r="AA171" s="9">
        <f>IF(Produits!B165&lt;&gt;"",Produits!B165,"")</f>
        <v>4</v>
      </c>
      <c r="AB171" s="9" t="str">
        <f t="shared" si="25"/>
        <v/>
      </c>
      <c r="AC171" s="175"/>
    </row>
    <row r="172" spans="23:29">
      <c r="W172" s="174"/>
      <c r="X172" s="8" t="str">
        <f>IF(Produits!A166&lt;&gt;"",Produits!A166,"")</f>
        <v>Pago</v>
      </c>
      <c r="Y172" s="184" t="str">
        <f>IF(Produits!F166&lt;&gt;"",Produits!F166,"")</f>
        <v>Boisson</v>
      </c>
      <c r="Z172" s="184"/>
      <c r="AA172" s="9">
        <f>IF(Produits!B166&lt;&gt;"",Produits!B166,"")</f>
        <v>2.5</v>
      </c>
      <c r="AB172" s="9" t="str">
        <f t="shared" si="25"/>
        <v/>
      </c>
      <c r="AC172" s="175"/>
    </row>
    <row r="173" spans="23:29">
      <c r="W173" s="174"/>
      <c r="X173" s="8" t="str">
        <f>IF(Produits!A167&lt;&gt;"",Produits!A167,"")</f>
        <v>Bouteille de Vin Rouge</v>
      </c>
      <c r="Y173" s="184" t="str">
        <f>IF(Produits!F167&lt;&gt;"",Produits!F167,"")</f>
        <v>Boisson</v>
      </c>
      <c r="Z173" s="184"/>
      <c r="AA173" s="9">
        <f>IF(Produits!B167&lt;&gt;"",Produits!B167,"")</f>
        <v>7.8</v>
      </c>
      <c r="AB173" s="9" t="str">
        <f t="shared" si="25"/>
        <v/>
      </c>
      <c r="AC173" s="175"/>
    </row>
    <row r="174" spans="23:29">
      <c r="W174" s="174"/>
      <c r="X174" s="8" t="str">
        <f>IF(Produits!A168&lt;&gt;"",Produits!A168,"")</f>
        <v>Bouteille de Vin Blanc</v>
      </c>
      <c r="Y174" s="184" t="str">
        <f>IF(Produits!F168&lt;&gt;"",Produits!F168,"")</f>
        <v>Boisson</v>
      </c>
      <c r="Z174" s="184"/>
      <c r="AA174" s="9">
        <f>IF(Produits!B168&lt;&gt;"",Produits!B168,"")</f>
        <v>7.8</v>
      </c>
      <c r="AB174" s="9" t="str">
        <f t="shared" si="25"/>
        <v/>
      </c>
      <c r="AC174" s="175"/>
    </row>
    <row r="175" spans="23:29">
      <c r="W175" s="174"/>
      <c r="X175" s="8" t="str">
        <f>IF(Produits!A169&lt;&gt;"",Produits!A169,"")</f>
        <v>Champagne</v>
      </c>
      <c r="Y175" s="184" t="str">
        <f>IF(Produits!F169&lt;&gt;"",Produits!F169,"")</f>
        <v>Boisson</v>
      </c>
      <c r="Z175" s="184"/>
      <c r="AA175" s="9">
        <f>IF(Produits!B169&lt;&gt;"",Produits!B169,"")</f>
        <v>38</v>
      </c>
      <c r="AB175" s="9" t="str">
        <f t="shared" si="25"/>
        <v/>
      </c>
      <c r="AC175" s="175"/>
    </row>
    <row r="176" spans="23:29">
      <c r="W176" s="174"/>
      <c r="X176" s="8" t="str">
        <f>IF(Produits!A170&lt;&gt;"",Produits!A170,"")</f>
        <v>Divers Boisson</v>
      </c>
      <c r="Y176" s="184" t="str">
        <f>IF(Produits!F170&lt;&gt;"",Produits!F170,"")</f>
        <v>Boisson</v>
      </c>
      <c r="Z176" s="184"/>
      <c r="AA176" s="9">
        <f>IF(Produits!B170&lt;&gt;"",Produits!B170,"")</f>
        <v>0</v>
      </c>
      <c r="AB176" s="9" t="str">
        <f t="shared" si="25"/>
        <v/>
      </c>
      <c r="AC176" s="175"/>
    </row>
    <row r="177" spans="23:29">
      <c r="W177" s="174"/>
      <c r="X177" s="8" t="str">
        <f>IF(Produits!A171&lt;&gt;"",Produits!A171,"")</f>
        <v>Sandwich Jambon Fromage</v>
      </c>
      <c r="Y177" s="184" t="str">
        <f>IF(Produits!F171&lt;&gt;"",Produits!F171,"")</f>
        <v>Traiteur</v>
      </c>
      <c r="Z177" s="184"/>
      <c r="AA177" s="9">
        <f>IF(Produits!B171&lt;&gt;"",Produits!B171,"")</f>
        <v>3.4</v>
      </c>
      <c r="AB177" s="9" t="str">
        <f t="shared" si="25"/>
        <v/>
      </c>
      <c r="AC177" s="175"/>
    </row>
    <row r="178" spans="23:29">
      <c r="W178" s="174"/>
      <c r="X178" s="8" t="str">
        <f>IF(Produits!A172&lt;&gt;"",Produits!A172,"")</f>
        <v>Sandwich Jambon Beurre</v>
      </c>
      <c r="Y178" s="184" t="str">
        <f>IF(Produits!F172&lt;&gt;"",Produits!F172,"")</f>
        <v>Traiteur</v>
      </c>
      <c r="Z178" s="184"/>
      <c r="AA178" s="9">
        <f>IF(Produits!B172&lt;&gt;"",Produits!B172,"")</f>
        <v>3.1</v>
      </c>
      <c r="AB178" s="9" t="str">
        <f t="shared" si="25"/>
        <v/>
      </c>
      <c r="AC178" s="175"/>
    </row>
    <row r="179" spans="23:29">
      <c r="W179" s="174"/>
      <c r="X179" s="8" t="str">
        <f>IF(Produits!A173&lt;&gt;"",Produits!A173,"")</f>
        <v>Sandwich Jambon Pays</v>
      </c>
      <c r="Y179" s="184" t="str">
        <f>IF(Produits!F173&lt;&gt;"",Produits!F173,"")</f>
        <v>Traiteur</v>
      </c>
      <c r="Z179" s="184"/>
      <c r="AA179" s="9">
        <f>IF(Produits!B173&lt;&gt;"",Produits!B173,"")</f>
        <v>3.4</v>
      </c>
      <c r="AB179" s="9" t="str">
        <f t="shared" si="25"/>
        <v/>
      </c>
      <c r="AC179" s="175"/>
    </row>
    <row r="180" spans="23:29">
      <c r="W180" s="174"/>
      <c r="X180" s="8" t="str">
        <f>IF(Produits!A174&lt;&gt;"",Produits!A174,"")</f>
        <v>Sandwich Saucisson</v>
      </c>
      <c r="Y180" s="184" t="str">
        <f>IF(Produits!F174&lt;&gt;"",Produits!F174,"")</f>
        <v>Traiteur</v>
      </c>
      <c r="Z180" s="184"/>
      <c r="AA180" s="9">
        <f>IF(Produits!B174&lt;&gt;"",Produits!B174,"")</f>
        <v>3.4</v>
      </c>
      <c r="AB180" s="9" t="str">
        <f t="shared" si="25"/>
        <v/>
      </c>
      <c r="AC180" s="175"/>
    </row>
    <row r="181" spans="23:29">
      <c r="W181" s="174"/>
      <c r="X181" s="8" t="str">
        <f>IF(Produits!A175&lt;&gt;"",Produits!A175,"")</f>
        <v>Sandwich Rillettes</v>
      </c>
      <c r="Y181" s="184" t="str">
        <f>IF(Produits!F175&lt;&gt;"",Produits!F175,"")</f>
        <v>Traiteur</v>
      </c>
      <c r="Z181" s="184"/>
      <c r="AA181" s="9">
        <f>IF(Produits!B175&lt;&gt;"",Produits!B175,"")</f>
        <v>3.4</v>
      </c>
      <c r="AB181" s="9" t="str">
        <f t="shared" si="25"/>
        <v/>
      </c>
      <c r="AC181" s="175"/>
    </row>
    <row r="182" spans="23:29">
      <c r="W182" s="174"/>
      <c r="X182" s="8" t="str">
        <f>IF(Produits!A176&lt;&gt;"",Produits!A176,"")</f>
        <v>Sandwich Brie</v>
      </c>
      <c r="Y182" s="184" t="str">
        <f>IF(Produits!F176&lt;&gt;"",Produits!F176,"")</f>
        <v>Traiteur</v>
      </c>
      <c r="Z182" s="184"/>
      <c r="AA182" s="9">
        <f>IF(Produits!B176&lt;&gt;"",Produits!B176,"")</f>
        <v>3.4</v>
      </c>
      <c r="AB182" s="9" t="str">
        <f t="shared" si="25"/>
        <v/>
      </c>
      <c r="AC182" s="175"/>
    </row>
    <row r="183" spans="23:29">
      <c r="W183" s="174"/>
      <c r="X183" s="8" t="str">
        <f>IF(Produits!A177&lt;&gt;"",Produits!A177,"")</f>
        <v>Sandwich Poulet Moutarde</v>
      </c>
      <c r="Y183" s="184" t="str">
        <f>IF(Produits!F177&lt;&gt;"",Produits!F177,"")</f>
        <v>Traiteur</v>
      </c>
      <c r="Z183" s="184"/>
      <c r="AA183" s="9">
        <f>IF(Produits!B177&lt;&gt;"",Produits!B177,"")</f>
        <v>5</v>
      </c>
      <c r="AB183" s="9" t="str">
        <f t="shared" si="25"/>
        <v/>
      </c>
      <c r="AC183" s="175"/>
    </row>
    <row r="184" spans="23:29">
      <c r="W184" s="174"/>
      <c r="X184" s="8" t="str">
        <f>IF(Produits!A178&lt;&gt;"",Produits!A178,"")</f>
        <v>Sandwich Saumon</v>
      </c>
      <c r="Y184" s="184" t="str">
        <f>IF(Produits!F178&lt;&gt;"",Produits!F178,"")</f>
        <v>Traiteur</v>
      </c>
      <c r="Z184" s="184"/>
      <c r="AA184" s="9">
        <f>IF(Produits!B178&lt;&gt;"",Produits!B178,"")</f>
        <v>5</v>
      </c>
      <c r="AB184" s="9" t="str">
        <f t="shared" si="25"/>
        <v/>
      </c>
      <c r="AC184" s="175"/>
    </row>
    <row r="185" spans="23:29">
      <c r="W185" s="174"/>
      <c r="X185" s="8" t="str">
        <f>IF(Produits!A179&lt;&gt;"",Produits!A179,"")</f>
        <v>Sandwich Végétarien</v>
      </c>
      <c r="Y185" s="184" t="str">
        <f>IF(Produits!F179&lt;&gt;"",Produits!F179,"")</f>
        <v>Traiteur</v>
      </c>
      <c r="Z185" s="184"/>
      <c r="AA185" s="9">
        <f>IF(Produits!B179&lt;&gt;"",Produits!B179,"")</f>
        <v>5</v>
      </c>
      <c r="AB185" s="9" t="str">
        <f t="shared" si="25"/>
        <v/>
      </c>
      <c r="AC185" s="175"/>
    </row>
    <row r="186" spans="23:29">
      <c r="W186" s="174"/>
      <c r="X186" s="8" t="str">
        <f>IF(Produits!A180&lt;&gt;"",Produits!A180,"")</f>
        <v>Sandwich Italien</v>
      </c>
      <c r="Y186" s="184" t="str">
        <f>IF(Produits!F180&lt;&gt;"",Produits!F180,"")</f>
        <v>Traiteur</v>
      </c>
      <c r="Z186" s="184"/>
      <c r="AA186" s="9">
        <f>IF(Produits!B180&lt;&gt;"",Produits!B180,"")</f>
        <v>5</v>
      </c>
      <c r="AB186" s="9" t="str">
        <f t="shared" si="25"/>
        <v/>
      </c>
      <c r="AC186" s="175"/>
    </row>
    <row r="187" spans="23:29">
      <c r="W187" s="174"/>
      <c r="X187" s="8" t="str">
        <f>IF(Produits!A181&lt;&gt;"",Produits!A181,"")</f>
        <v>Sandwich Suédois Poulet</v>
      </c>
      <c r="Y187" s="184" t="str">
        <f>IF(Produits!F181&lt;&gt;"",Produits!F181,"")</f>
        <v>Traiteur</v>
      </c>
      <c r="Z187" s="184"/>
      <c r="AA187" s="9">
        <f>IF(Produits!B181&lt;&gt;"",Produits!B181,"")</f>
        <v>4.5</v>
      </c>
      <c r="AB187" s="9" t="str">
        <f t="shared" si="25"/>
        <v/>
      </c>
      <c r="AC187" s="175"/>
    </row>
    <row r="188" spans="23:29">
      <c r="W188" s="174"/>
      <c r="X188" s="8" t="str">
        <f>IF(Produits!A182&lt;&gt;"",Produits!A182,"")</f>
        <v>Sandwich Suédois Thon</v>
      </c>
      <c r="Y188" s="184" t="str">
        <f>IF(Produits!F182&lt;&gt;"",Produits!F182,"")</f>
        <v>Traiteur</v>
      </c>
      <c r="Z188" s="184"/>
      <c r="AA188" s="9">
        <f>IF(Produits!B182&lt;&gt;"",Produits!B182,"")</f>
        <v>4.5</v>
      </c>
      <c r="AB188" s="9" t="str">
        <f t="shared" si="25"/>
        <v/>
      </c>
      <c r="AC188" s="175"/>
    </row>
    <row r="189" spans="23:29">
      <c r="W189" s="174"/>
      <c r="X189" s="8" t="str">
        <f>IF(Produits!A183&lt;&gt;"",Produits!A183,"")</f>
        <v>Sandwich Chèvre Crudités</v>
      </c>
      <c r="Y189" s="184" t="str">
        <f>IF(Produits!F183&lt;&gt;"",Produits!F183,"")</f>
        <v>Traiteur</v>
      </c>
      <c r="Z189" s="184"/>
      <c r="AA189" s="9">
        <f>IF(Produits!B183&lt;&gt;"",Produits!B183,"")</f>
        <v>4.5</v>
      </c>
      <c r="AB189" s="9" t="str">
        <f t="shared" si="25"/>
        <v/>
      </c>
      <c r="AC189" s="175"/>
    </row>
    <row r="190" spans="23:29">
      <c r="W190" s="174"/>
      <c r="X190" s="8" t="str">
        <f>IF(Produits!A184&lt;&gt;"",Produits!A184,"")</f>
        <v>Sandwich Suédois Saumon</v>
      </c>
      <c r="Y190" s="184" t="str">
        <f>IF(Produits!F184&lt;&gt;"",Produits!F184,"")</f>
        <v>Traiteur</v>
      </c>
      <c r="Z190" s="184"/>
      <c r="AA190" s="9">
        <f>IF(Produits!B184&lt;&gt;"",Produits!B184,"")</f>
        <v>4.5</v>
      </c>
      <c r="AB190" s="9" t="str">
        <f t="shared" si="25"/>
        <v/>
      </c>
      <c r="AC190" s="175"/>
    </row>
    <row r="191" spans="23:29">
      <c r="W191" s="174"/>
      <c r="X191" s="8" t="str">
        <f>IF(Produits!A185&lt;&gt;"",Produits!A185,"")</f>
        <v>Sandwich Jambon Crudités</v>
      </c>
      <c r="Y191" s="184" t="str">
        <f>IF(Produits!F185&lt;&gt;"",Produits!F185,"")</f>
        <v>Traiteur</v>
      </c>
      <c r="Z191" s="184"/>
      <c r="AA191" s="9">
        <f>IF(Produits!B185&lt;&gt;"",Produits!B185,"")</f>
        <v>4.5</v>
      </c>
      <c r="AB191" s="9" t="str">
        <f t="shared" si="25"/>
        <v/>
      </c>
      <c r="AC191" s="175"/>
    </row>
    <row r="192" spans="23:29">
      <c r="W192" s="174"/>
      <c r="X192" s="8" t="str">
        <f>IF(Produits!A186&lt;&gt;"",Produits!A186,"")</f>
        <v>Bagnat Poulet, Thon ou Jambon</v>
      </c>
      <c r="Y192" s="184" t="str">
        <f>IF(Produits!F186&lt;&gt;"",Produits!F186,"")</f>
        <v>Traiteur</v>
      </c>
      <c r="Z192" s="184"/>
      <c r="AA192" s="9">
        <f>IF(Produits!B186&lt;&gt;"",Produits!B186,"")</f>
        <v>4.8</v>
      </c>
      <c r="AB192" s="9" t="str">
        <f t="shared" si="25"/>
        <v/>
      </c>
      <c r="AC192" s="175"/>
    </row>
    <row r="193" spans="23:29">
      <c r="W193" s="174"/>
      <c r="X193" s="8" t="str">
        <f>IF(Produits!A187&lt;&gt;"",Produits!A187,"")</f>
        <v>Soupe</v>
      </c>
      <c r="Y193" s="184" t="str">
        <f>IF(Produits!F187&lt;&gt;"",Produits!F187,"")</f>
        <v>Traiteur</v>
      </c>
      <c r="Z193" s="184"/>
      <c r="AA193" s="9">
        <f>IF(Produits!B187&lt;&gt;"",Produits!B187,"")</f>
        <v>3.1</v>
      </c>
      <c r="AB193" s="9" t="str">
        <f t="shared" si="25"/>
        <v/>
      </c>
      <c r="AC193" s="175"/>
    </row>
    <row r="194" spans="23:29">
      <c r="W194" s="174"/>
      <c r="X194" s="8" t="str">
        <f>IF(Produits!A188&lt;&gt;"",Produits!A188,"")</f>
        <v>Pâté en Croûte</v>
      </c>
      <c r="Y194" s="184" t="str">
        <f>IF(Produits!F188&lt;&gt;"",Produits!F188,"")</f>
        <v>Traiteur</v>
      </c>
      <c r="Z194" s="184"/>
      <c r="AA194" s="9">
        <f>IF(Produits!B188&lt;&gt;"",Produits!B188,"")</f>
        <v>3</v>
      </c>
      <c r="AB194" s="9" t="str">
        <f t="shared" si="25"/>
        <v/>
      </c>
      <c r="AC194" s="175"/>
    </row>
    <row r="195" spans="23:29">
      <c r="W195" s="174"/>
      <c r="X195" s="8" t="str">
        <f>IF(Produits!A189&lt;&gt;"",Produits!A189,"")</f>
        <v>Croissant au Jambon</v>
      </c>
      <c r="Y195" s="184" t="str">
        <f>IF(Produits!F189&lt;&gt;"",Produits!F189,"")</f>
        <v>Traiteur</v>
      </c>
      <c r="Z195" s="184"/>
      <c r="AA195" s="9">
        <f>IF(Produits!B189&lt;&gt;"",Produits!B189,"")</f>
        <v>3.2</v>
      </c>
      <c r="AB195" s="9" t="str">
        <f t="shared" si="25"/>
        <v/>
      </c>
      <c r="AC195" s="175"/>
    </row>
    <row r="196" spans="23:29">
      <c r="W196" s="174"/>
      <c r="X196" s="8" t="str">
        <f>IF(Produits!A190&lt;&gt;"",Produits!A190,"")</f>
        <v>Croque Monsieur</v>
      </c>
      <c r="Y196" s="184" t="str">
        <f>IF(Produits!F190&lt;&gt;"",Produits!F190,"")</f>
        <v>Traiteur</v>
      </c>
      <c r="Z196" s="184"/>
      <c r="AA196" s="9">
        <f>IF(Produits!B190&lt;&gt;"",Produits!B190,"")</f>
        <v>3.5</v>
      </c>
      <c r="AB196" s="9" t="str">
        <f t="shared" si="25"/>
        <v/>
      </c>
      <c r="AC196" s="175"/>
    </row>
    <row r="197" spans="23:29">
      <c r="W197" s="174"/>
      <c r="X197" s="8" t="str">
        <f>IF(Produits!A191&lt;&gt;"",Produits!A191,"")</f>
        <v>Panini</v>
      </c>
      <c r="Y197" s="184" t="str">
        <f>IF(Produits!F191&lt;&gt;"",Produits!F191,"")</f>
        <v>Traiteur</v>
      </c>
      <c r="Z197" s="184"/>
      <c r="AA197" s="9">
        <f>IF(Produits!B191&lt;&gt;"",Produits!B191,"")</f>
        <v>4.7</v>
      </c>
      <c r="AB197" s="9" t="str">
        <f t="shared" si="25"/>
        <v/>
      </c>
      <c r="AC197" s="175"/>
    </row>
    <row r="198" spans="23:29">
      <c r="W198" s="174"/>
      <c r="X198" s="8" t="str">
        <f>IF(Produits!A192&lt;&gt;"",Produits!A192,"")</f>
        <v>Pizza</v>
      </c>
      <c r="Y198" s="184" t="str">
        <f>IF(Produits!F192&lt;&gt;"",Produits!F192,"")</f>
        <v>Traiteur</v>
      </c>
      <c r="Z198" s="184"/>
      <c r="AA198" s="9">
        <f>IF(Produits!B192&lt;&gt;"",Produits!B192,"")</f>
        <v>4</v>
      </c>
      <c r="AB198" s="9" t="str">
        <f t="shared" si="25"/>
        <v/>
      </c>
      <c r="AC198" s="175"/>
    </row>
    <row r="199" spans="23:29">
      <c r="W199" s="174"/>
      <c r="X199" s="8" t="str">
        <f>IF(Produits!A193&lt;&gt;"",Produits!A193,"")</f>
        <v>Plat du Jour</v>
      </c>
      <c r="Y199" s="184" t="str">
        <f>IF(Produits!F193&lt;&gt;"",Produits!F193,"")</f>
        <v>Traiteur</v>
      </c>
      <c r="Z199" s="184"/>
      <c r="AA199" s="9">
        <f>IF(Produits!B193&lt;&gt;"",Produits!B193,"")</f>
        <v>6.5</v>
      </c>
      <c r="AB199" s="9" t="str">
        <f t="shared" si="25"/>
        <v/>
      </c>
      <c r="AC199" s="175"/>
    </row>
    <row r="200" spans="23:29">
      <c r="W200" s="174"/>
      <c r="X200" s="8" t="str">
        <f>IF(Produits!A194&lt;&gt;"",Produits!A194,"")</f>
        <v>Quiche Individuelle</v>
      </c>
      <c r="Y200" s="184" t="str">
        <f>IF(Produits!F194&lt;&gt;"",Produits!F194,"")</f>
        <v>Traiteur</v>
      </c>
      <c r="Z200" s="184"/>
      <c r="AA200" s="9">
        <f>IF(Produits!B194&lt;&gt;"",Produits!B194,"")</f>
        <v>3.9</v>
      </c>
      <c r="AB200" s="9" t="str">
        <f t="shared" si="25"/>
        <v/>
      </c>
      <c r="AC200" s="175"/>
    </row>
    <row r="201" spans="23:29">
      <c r="W201" s="176"/>
      <c r="X201" s="177"/>
      <c r="Y201" s="178"/>
      <c r="Z201" s="178"/>
      <c r="AA201" s="179"/>
      <c r="AB201" s="179"/>
      <c r="AC201" s="180"/>
    </row>
  </sheetData>
  <mergeCells count="153">
    <mergeCell ref="AF37:AJ37"/>
    <mergeCell ref="AF29:AJ29"/>
    <mergeCell ref="AF30:AJ30"/>
    <mergeCell ref="AF31:AJ31"/>
    <mergeCell ref="AF32:AJ32"/>
    <mergeCell ref="AP37:AQ37"/>
    <mergeCell ref="AN38:AO38"/>
    <mergeCell ref="AP29:AQ29"/>
    <mergeCell ref="AN30:AO30"/>
    <mergeCell ref="AP30:AQ30"/>
    <mergeCell ref="AP38:AQ38"/>
    <mergeCell ref="AN34:AO34"/>
    <mergeCell ref="AP34:AQ34"/>
    <mergeCell ref="AN35:AO35"/>
    <mergeCell ref="AP35:AQ35"/>
    <mergeCell ref="AN36:AO36"/>
    <mergeCell ref="AP36:AQ36"/>
    <mergeCell ref="AN33:AO33"/>
    <mergeCell ref="AP33:AQ33"/>
    <mergeCell ref="AN29:AO29"/>
    <mergeCell ref="AF24:AJ24"/>
    <mergeCell ref="AF25:AJ25"/>
    <mergeCell ref="AF26:AJ26"/>
    <mergeCell ref="AF27:AJ27"/>
    <mergeCell ref="AF28:AJ28"/>
    <mergeCell ref="AF35:AJ35"/>
    <mergeCell ref="AF33:AJ33"/>
    <mergeCell ref="AF34:AJ34"/>
    <mergeCell ref="AF36:AJ36"/>
    <mergeCell ref="AN19:AO20"/>
    <mergeCell ref="AH52:AJ52"/>
    <mergeCell ref="AN21:AO21"/>
    <mergeCell ref="AN25:AO25"/>
    <mergeCell ref="AP25:AQ25"/>
    <mergeCell ref="AN26:AO26"/>
    <mergeCell ref="AP26:AQ26"/>
    <mergeCell ref="AN27:AO27"/>
    <mergeCell ref="AP27:AQ27"/>
    <mergeCell ref="AN23:AO23"/>
    <mergeCell ref="AP23:AQ23"/>
    <mergeCell ref="AN24:AO24"/>
    <mergeCell ref="AP24:AQ24"/>
    <mergeCell ref="AN31:AO31"/>
    <mergeCell ref="AP45:AQ45"/>
    <mergeCell ref="AP31:AQ31"/>
    <mergeCell ref="AN32:AO32"/>
    <mergeCell ref="AP32:AQ32"/>
    <mergeCell ref="AF21:AJ21"/>
    <mergeCell ref="AN28:AO28"/>
    <mergeCell ref="AN37:AO37"/>
    <mergeCell ref="AP47:AQ47"/>
    <mergeCell ref="AF22:AJ22"/>
    <mergeCell ref="AF23:AJ23"/>
    <mergeCell ref="AP46:AQ46"/>
    <mergeCell ref="AN39:AO39"/>
    <mergeCell ref="AF39:AJ39"/>
    <mergeCell ref="AF40:AJ40"/>
    <mergeCell ref="AF41:AJ41"/>
    <mergeCell ref="AF42:AJ42"/>
    <mergeCell ref="AH54:AJ54"/>
    <mergeCell ref="AH55:AJ55"/>
    <mergeCell ref="AP51:AR51"/>
    <mergeCell ref="AN51:AO51"/>
    <mergeCell ref="AK51:AL51"/>
    <mergeCell ref="AF51:AJ51"/>
    <mergeCell ref="AK50:AL50"/>
    <mergeCell ref="AN50:AO50"/>
    <mergeCell ref="AP50:AR50"/>
    <mergeCell ref="AH53:AJ53"/>
    <mergeCell ref="AP28:AQ28"/>
    <mergeCell ref="AP49:AQ49"/>
    <mergeCell ref="AN48:AO48"/>
    <mergeCell ref="AP48:AQ48"/>
    <mergeCell ref="AF43:AJ43"/>
    <mergeCell ref="AF44:AJ44"/>
    <mergeCell ref="AF45:AJ45"/>
    <mergeCell ref="AF46:AJ46"/>
    <mergeCell ref="AF38:AJ38"/>
    <mergeCell ref="AN41:AO41"/>
    <mergeCell ref="AP41:AQ41"/>
    <mergeCell ref="AN42:AO42"/>
    <mergeCell ref="AP42:AQ42"/>
    <mergeCell ref="AN43:AO43"/>
    <mergeCell ref="AP43:AQ43"/>
    <mergeCell ref="AN44:AO44"/>
    <mergeCell ref="AP44:AQ44"/>
    <mergeCell ref="AN45:AO45"/>
    <mergeCell ref="AP39:AQ39"/>
    <mergeCell ref="AN46:AO46"/>
    <mergeCell ref="AN49:AO49"/>
    <mergeCell ref="AN47:AO47"/>
    <mergeCell ref="AN40:AO40"/>
    <mergeCell ref="AP40:AQ40"/>
    <mergeCell ref="E35:F35"/>
    <mergeCell ref="C38:D38"/>
    <mergeCell ref="D43:F56"/>
    <mergeCell ref="M115:N115"/>
    <mergeCell ref="M108:N108"/>
    <mergeCell ref="M109:N109"/>
    <mergeCell ref="M111:N111"/>
    <mergeCell ref="M112:N112"/>
    <mergeCell ref="M113:N113"/>
    <mergeCell ref="M110:N110"/>
    <mergeCell ref="M107:N107"/>
    <mergeCell ref="E38:F38"/>
    <mergeCell ref="E39:F39"/>
    <mergeCell ref="D58:F101"/>
    <mergeCell ref="M106:N106"/>
    <mergeCell ref="M114:N114"/>
    <mergeCell ref="E37:F37"/>
    <mergeCell ref="E36:F36"/>
    <mergeCell ref="C36:D36"/>
    <mergeCell ref="C37:D37"/>
    <mergeCell ref="D5:F5"/>
    <mergeCell ref="D6:F6"/>
    <mergeCell ref="D7:F7"/>
    <mergeCell ref="D8:F8"/>
    <mergeCell ref="D30:F30"/>
    <mergeCell ref="D29:F29"/>
    <mergeCell ref="D28:F28"/>
    <mergeCell ref="D13:F13"/>
    <mergeCell ref="D12:F12"/>
    <mergeCell ref="D14:F14"/>
    <mergeCell ref="D15:F16"/>
    <mergeCell ref="D24:F24"/>
    <mergeCell ref="D25:F26"/>
    <mergeCell ref="D27:F27"/>
    <mergeCell ref="D17:F17"/>
    <mergeCell ref="D18:F18"/>
    <mergeCell ref="AM16:AN16"/>
    <mergeCell ref="AP21:AQ21"/>
    <mergeCell ref="AN22:AO22"/>
    <mergeCell ref="AP22:AQ22"/>
    <mergeCell ref="D31:F31"/>
    <mergeCell ref="C35:D35"/>
    <mergeCell ref="C39:D39"/>
    <mergeCell ref="AR19:AR20"/>
    <mergeCell ref="AF2:AR3"/>
    <mergeCell ref="AF16:AH16"/>
    <mergeCell ref="AI16:AJ16"/>
    <mergeCell ref="AK16:AL16"/>
    <mergeCell ref="AF17:AH17"/>
    <mergeCell ref="AI17:AJ17"/>
    <mergeCell ref="AK17:AL17"/>
    <mergeCell ref="AK19:AK20"/>
    <mergeCell ref="AL19:AL20"/>
    <mergeCell ref="AF19:AJ20"/>
    <mergeCell ref="AM19:AM20"/>
    <mergeCell ref="AP19:AQ20"/>
    <mergeCell ref="AM17:AN17"/>
    <mergeCell ref="D19:F19"/>
    <mergeCell ref="D20:F20"/>
    <mergeCell ref="D21:F21"/>
  </mergeCells>
  <dataValidations count="2">
    <dataValidation type="list" allowBlank="1" showInputMessage="1" showErrorMessage="1" sqref="D12">
      <formula1>$BQ$24:$BQ$40</formula1>
    </dataValidation>
    <dataValidation type="list" allowBlank="1" showInputMessage="1" showErrorMessage="1" sqref="D24">
      <formula1>ContactsSociete</formula1>
    </dataValidation>
  </dataValidations>
  <hyperlinks>
    <hyperlink ref="H43" location="'Frm facture'!L4" tooltip="Analyser la liste de produits et générer le panier" display="Panier &gt;&gt;"/>
    <hyperlink ref="N5" location="'Frm facture'!N5" tooltip="Effacer le contenu du panier" display="Effacer"/>
    <hyperlink ref="H5" location="'Frm facture'!H5" tooltip="Modifier la date de la facture à aujourd'hui" display="Aujourd'hui"/>
    <hyperlink ref="H6" location="'Frm facture'!H6" tooltip="Calcule un nouveau numéro de facture" display="Nouveau"/>
    <hyperlink ref="U4" location="'Frm facture'!S4" tooltip="Enregistre la facture dans la liste des factures (feuille &quot;Factures&quot;)" display="Enregistrer"/>
    <hyperlink ref="O5" location="'Frm facture'!O5" tooltip="Effacer le contenu du panier" display="Dernière fact."/>
  </hyperlinks>
  <pageMargins left="0.70866141732283472" right="0.70866141732283472" top="0.74803149606299213" bottom="0.74803149606299213" header="0.31496062992125984" footer="0.31496062992125984"/>
  <pageSetup paperSize="9" scale="63" orientation="portrait" r:id="rId1"/>
  <headerFooter>
    <oddFooter>&amp;CPage &amp;P de &amp;N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/>
  <dimension ref="A1:V215"/>
  <sheetViews>
    <sheetView zoomScale="88" zoomScaleNormal="88" workbookViewId="0">
      <pane xSplit="3" ySplit="1" topLeftCell="X10" activePane="bottomRight" state="frozen"/>
      <selection pane="topRight" activeCell="D1" sqref="D1"/>
      <selection pane="bottomLeft" activeCell="A2" sqref="A2"/>
      <selection pane="bottomRight" activeCell="V13" sqref="V13"/>
    </sheetView>
  </sheetViews>
  <sheetFormatPr baseColWidth="10" defaultColWidth="11.453125" defaultRowHeight="14.5"/>
  <cols>
    <col min="1" max="1" width="14.81640625" style="240" customWidth="1"/>
    <col min="2" max="2" width="15.26953125" style="240" customWidth="1"/>
    <col min="3" max="4" width="20.26953125" style="240" bestFit="1" customWidth="1"/>
    <col min="5" max="5" width="5.453125" style="240" customWidth="1"/>
    <col min="6" max="6" width="8.7265625" style="240" customWidth="1"/>
    <col min="7" max="7" width="10" style="240" customWidth="1"/>
    <col min="8" max="8" width="14.81640625" style="240" customWidth="1"/>
    <col min="9" max="9" width="7.81640625" style="240" customWidth="1"/>
    <col min="10" max="10" width="11.81640625" style="241" bestFit="1" customWidth="1"/>
    <col min="11" max="11" width="7.1796875" style="240" bestFit="1" customWidth="1"/>
    <col min="12" max="12" width="9.54296875" style="241" customWidth="1"/>
    <col min="13" max="13" width="7.1796875" style="240" customWidth="1"/>
    <col min="14" max="14" width="23.453125" style="244" bestFit="1" customWidth="1"/>
    <col min="15" max="15" width="11.54296875" style="244" customWidth="1"/>
    <col min="16" max="16" width="8.26953125" style="240" customWidth="1"/>
    <col min="17" max="17" width="8.453125" style="240" customWidth="1"/>
    <col min="18" max="18" width="13.453125" style="241" customWidth="1"/>
    <col min="19" max="19" width="7.26953125" style="240" customWidth="1"/>
    <col min="20" max="21" width="15.453125" style="241" customWidth="1"/>
    <col min="22" max="22" width="51.54296875" style="240" bestFit="1" customWidth="1"/>
    <col min="23" max="16384" width="11.453125" style="240"/>
  </cols>
  <sheetData>
    <row r="1" spans="1:22" s="238" customFormat="1" ht="31.5" customHeight="1">
      <c r="A1" s="237" t="s">
        <v>601</v>
      </c>
      <c r="B1" s="238" t="s">
        <v>368</v>
      </c>
      <c r="C1" s="238" t="s">
        <v>321</v>
      </c>
      <c r="D1" s="238" t="s">
        <v>145</v>
      </c>
      <c r="E1" s="238" t="s">
        <v>146</v>
      </c>
      <c r="F1" s="238" t="s">
        <v>323</v>
      </c>
      <c r="G1" s="238" t="s">
        <v>324</v>
      </c>
      <c r="H1" s="238" t="s">
        <v>602</v>
      </c>
      <c r="I1" s="238" t="s">
        <v>277</v>
      </c>
      <c r="J1" s="239" t="s">
        <v>369</v>
      </c>
      <c r="K1" s="238" t="s">
        <v>370</v>
      </c>
      <c r="L1" s="239" t="s">
        <v>371</v>
      </c>
      <c r="M1" s="238" t="s">
        <v>331</v>
      </c>
      <c r="N1" s="238" t="s">
        <v>95</v>
      </c>
      <c r="O1" s="238" t="s">
        <v>915</v>
      </c>
      <c r="P1" s="238" t="s">
        <v>176</v>
      </c>
      <c r="Q1" s="238" t="s">
        <v>376</v>
      </c>
      <c r="R1" s="239" t="s">
        <v>377</v>
      </c>
      <c r="S1" s="238" t="s">
        <v>375</v>
      </c>
      <c r="T1" s="239" t="s">
        <v>374</v>
      </c>
      <c r="U1" s="238" t="s">
        <v>334</v>
      </c>
      <c r="V1" s="238" t="s">
        <v>599</v>
      </c>
    </row>
    <row r="2" spans="1:22" ht="72.5">
      <c r="A2" s="240" t="s">
        <v>666</v>
      </c>
      <c r="B2" s="240" t="s">
        <v>667</v>
      </c>
      <c r="C2" s="240" t="s">
        <v>769</v>
      </c>
      <c r="D2" s="240" t="s">
        <v>770</v>
      </c>
      <c r="F2" s="240">
        <v>75017</v>
      </c>
      <c r="G2" s="240" t="s">
        <v>61</v>
      </c>
      <c r="H2" s="240" t="s">
        <v>771</v>
      </c>
      <c r="J2" s="241">
        <v>796.23998452186595</v>
      </c>
      <c r="M2" s="240" t="s">
        <v>378</v>
      </c>
      <c r="N2" s="244" t="s">
        <v>794</v>
      </c>
      <c r="V2" s="267" t="s">
        <v>795</v>
      </c>
    </row>
    <row r="3" spans="1:22" ht="72.5">
      <c r="A3" s="240" t="s">
        <v>666</v>
      </c>
      <c r="B3" s="240" t="s">
        <v>796</v>
      </c>
      <c r="C3" s="240" t="s">
        <v>495</v>
      </c>
      <c r="D3" s="240" t="s">
        <v>772</v>
      </c>
      <c r="F3" s="240">
        <v>75017</v>
      </c>
      <c r="G3" s="240" t="s">
        <v>61</v>
      </c>
      <c r="H3" s="240" t="s">
        <v>773</v>
      </c>
      <c r="J3" s="241">
        <v>47.479999685287467</v>
      </c>
      <c r="M3" s="240" t="s">
        <v>378</v>
      </c>
      <c r="N3" s="244" t="s">
        <v>797</v>
      </c>
      <c r="V3" s="267" t="s">
        <v>798</v>
      </c>
    </row>
    <row r="4" spans="1:22" ht="101.5">
      <c r="A4" s="240" t="s">
        <v>666</v>
      </c>
      <c r="B4" s="240" t="s">
        <v>799</v>
      </c>
      <c r="C4" s="240" t="s">
        <v>790</v>
      </c>
      <c r="D4" s="240" t="s">
        <v>789</v>
      </c>
      <c r="F4" s="240">
        <v>75017</v>
      </c>
      <c r="G4" s="240" t="s">
        <v>61</v>
      </c>
      <c r="J4" s="241">
        <v>1208.4399848461153</v>
      </c>
      <c r="M4" s="240" t="s">
        <v>378</v>
      </c>
      <c r="N4" s="244" t="s">
        <v>801</v>
      </c>
      <c r="V4" s="267" t="s">
        <v>802</v>
      </c>
    </row>
    <row r="5" spans="1:22" ht="43.5">
      <c r="A5" s="240" t="s">
        <v>666</v>
      </c>
      <c r="B5" s="240" t="s">
        <v>803</v>
      </c>
      <c r="C5" s="240" t="s">
        <v>496</v>
      </c>
      <c r="D5" s="240" t="s">
        <v>774</v>
      </c>
      <c r="F5" s="240">
        <v>75017</v>
      </c>
      <c r="G5" s="240" t="s">
        <v>61</v>
      </c>
      <c r="H5" s="240" t="s">
        <v>775</v>
      </c>
      <c r="J5" s="241">
        <v>373.87999256134032</v>
      </c>
      <c r="M5" s="240" t="s">
        <v>378</v>
      </c>
      <c r="N5" s="244" t="s">
        <v>804</v>
      </c>
      <c r="V5" s="267" t="s">
        <v>805</v>
      </c>
    </row>
    <row r="6" spans="1:22">
      <c r="A6" s="240" t="s">
        <v>666</v>
      </c>
      <c r="B6" s="240" t="s">
        <v>806</v>
      </c>
      <c r="C6" s="240" t="s">
        <v>624</v>
      </c>
      <c r="D6" s="240" t="s">
        <v>778</v>
      </c>
      <c r="F6" s="240">
        <v>75017</v>
      </c>
      <c r="G6" s="240" t="s">
        <v>61</v>
      </c>
      <c r="H6" s="240" t="s">
        <v>779</v>
      </c>
      <c r="J6" s="241">
        <v>180.31999626159666</v>
      </c>
      <c r="M6" s="240" t="s">
        <v>378</v>
      </c>
      <c r="N6" s="244" t="s">
        <v>807</v>
      </c>
      <c r="V6" s="267" t="s">
        <v>808</v>
      </c>
    </row>
    <row r="7" spans="1:22" ht="29">
      <c r="A7" s="240" t="s">
        <v>666</v>
      </c>
      <c r="B7" s="240" t="s">
        <v>809</v>
      </c>
      <c r="C7" s="240" t="s">
        <v>497</v>
      </c>
      <c r="D7" s="240" t="s">
        <v>776</v>
      </c>
      <c r="F7" s="240">
        <v>75017</v>
      </c>
      <c r="G7" s="240" t="s">
        <v>61</v>
      </c>
      <c r="H7" s="240" t="s">
        <v>777</v>
      </c>
      <c r="J7" s="241">
        <v>514.95998940467825</v>
      </c>
      <c r="M7" s="240" t="s">
        <v>378</v>
      </c>
      <c r="N7" s="244" t="s">
        <v>810</v>
      </c>
      <c r="V7" s="267" t="s">
        <v>811</v>
      </c>
    </row>
    <row r="8" spans="1:22">
      <c r="A8" s="240" t="s">
        <v>666</v>
      </c>
      <c r="B8" s="240" t="s">
        <v>812</v>
      </c>
      <c r="C8" s="240" t="s">
        <v>625</v>
      </c>
      <c r="D8" s="240" t="s">
        <v>776</v>
      </c>
      <c r="F8" s="240">
        <v>75017</v>
      </c>
      <c r="G8" s="240" t="s">
        <v>61</v>
      </c>
      <c r="H8" s="240" t="s">
        <v>777</v>
      </c>
      <c r="J8" s="241">
        <v>7.3599998474121096</v>
      </c>
      <c r="M8" s="240" t="s">
        <v>378</v>
      </c>
      <c r="N8" s="244" t="s">
        <v>813</v>
      </c>
      <c r="V8" s="267" t="s">
        <v>814</v>
      </c>
    </row>
    <row r="9" spans="1:22">
      <c r="A9" s="240" t="s">
        <v>666</v>
      </c>
      <c r="B9" s="240" t="s">
        <v>823</v>
      </c>
      <c r="C9" s="240" t="s">
        <v>626</v>
      </c>
      <c r="D9" s="240" t="s">
        <v>815</v>
      </c>
      <c r="F9" s="240">
        <v>75017</v>
      </c>
      <c r="G9" s="240" t="s">
        <v>61</v>
      </c>
      <c r="H9" s="240" t="s">
        <v>816</v>
      </c>
      <c r="J9" s="241">
        <v>26.599999666213993</v>
      </c>
      <c r="M9" s="240" t="s">
        <v>378</v>
      </c>
      <c r="N9" s="244" t="s">
        <v>824</v>
      </c>
      <c r="V9" s="267" t="s">
        <v>825</v>
      </c>
    </row>
    <row r="10" spans="1:22">
      <c r="A10" s="240" t="s">
        <v>666</v>
      </c>
      <c r="B10" s="240" t="s">
        <v>826</v>
      </c>
      <c r="C10" s="240" t="s">
        <v>499</v>
      </c>
      <c r="D10" s="240" t="s">
        <v>782</v>
      </c>
      <c r="F10" s="240">
        <v>75017</v>
      </c>
      <c r="G10" s="240" t="s">
        <v>61</v>
      </c>
      <c r="H10" s="240" t="s">
        <v>783</v>
      </c>
      <c r="J10" s="241">
        <v>135.23999719619752</v>
      </c>
      <c r="M10" s="240" t="s">
        <v>378</v>
      </c>
      <c r="N10" s="244" t="s">
        <v>827</v>
      </c>
      <c r="V10" s="267" t="s">
        <v>828</v>
      </c>
    </row>
    <row r="11" spans="1:22" ht="43.5">
      <c r="A11" s="240" t="s">
        <v>666</v>
      </c>
      <c r="B11" s="240" t="s">
        <v>829</v>
      </c>
      <c r="C11" s="240" t="s">
        <v>784</v>
      </c>
      <c r="D11" s="240" t="s">
        <v>785</v>
      </c>
      <c r="F11" s="240">
        <v>75017</v>
      </c>
      <c r="G11" s="240" t="s">
        <v>61</v>
      </c>
      <c r="H11" s="240" t="s">
        <v>786</v>
      </c>
      <c r="J11" s="241">
        <v>358.79999256134033</v>
      </c>
      <c r="M11" s="240" t="s">
        <v>378</v>
      </c>
      <c r="N11" s="244" t="s">
        <v>830</v>
      </c>
      <c r="V11" s="267" t="s">
        <v>831</v>
      </c>
    </row>
    <row r="12" spans="1:22" ht="43.5">
      <c r="A12" s="240" t="s">
        <v>666</v>
      </c>
      <c r="B12" s="240" t="s">
        <v>832</v>
      </c>
      <c r="C12" s="240" t="s">
        <v>627</v>
      </c>
      <c r="D12" s="240" t="s">
        <v>787</v>
      </c>
      <c r="F12" s="240">
        <v>75017</v>
      </c>
      <c r="G12" s="240" t="s">
        <v>61</v>
      </c>
      <c r="H12" s="240" t="s">
        <v>788</v>
      </c>
      <c r="J12" s="241">
        <v>229.43999546051026</v>
      </c>
      <c r="M12" s="240" t="s">
        <v>378</v>
      </c>
      <c r="N12" s="244" t="s">
        <v>833</v>
      </c>
      <c r="V12" s="267" t="s">
        <v>834</v>
      </c>
    </row>
    <row r="13" spans="1:22" ht="101.5">
      <c r="A13" s="349">
        <v>42341</v>
      </c>
      <c r="B13" s="240" t="s">
        <v>916</v>
      </c>
      <c r="C13" s="240" t="s">
        <v>917</v>
      </c>
      <c r="D13" s="240" t="s">
        <v>918</v>
      </c>
      <c r="F13" s="240">
        <v>75017</v>
      </c>
      <c r="G13" s="240" t="s">
        <v>61</v>
      </c>
      <c r="H13" s="240" t="s">
        <v>919</v>
      </c>
      <c r="J13" s="241">
        <v>578.19999999999993</v>
      </c>
      <c r="M13" s="240" t="s">
        <v>378</v>
      </c>
      <c r="N13" s="244" t="s">
        <v>921</v>
      </c>
      <c r="O13" s="350">
        <v>42356</v>
      </c>
      <c r="V13" s="267" t="s">
        <v>920</v>
      </c>
    </row>
    <row r="14" spans="1:22" ht="101.5">
      <c r="A14" s="349">
        <v>42344</v>
      </c>
      <c r="B14" s="240" t="s">
        <v>1046</v>
      </c>
      <c r="C14" s="240" t="s">
        <v>790</v>
      </c>
      <c r="D14" s="240" t="s">
        <v>789</v>
      </c>
      <c r="F14" s="240">
        <v>75017</v>
      </c>
      <c r="G14" s="240" t="s">
        <v>61</v>
      </c>
      <c r="J14" s="241">
        <v>1336.8799786567688</v>
      </c>
      <c r="M14" s="240" t="s">
        <v>378</v>
      </c>
      <c r="N14" s="244" t="s">
        <v>1047</v>
      </c>
      <c r="O14" s="350">
        <v>42359</v>
      </c>
      <c r="V14" s="267" t="s">
        <v>1048</v>
      </c>
    </row>
    <row r="15" spans="1:22" ht="87">
      <c r="A15" s="349">
        <v>42344</v>
      </c>
      <c r="B15" s="240" t="s">
        <v>1049</v>
      </c>
      <c r="C15" s="240" t="s">
        <v>769</v>
      </c>
      <c r="D15" s="240" t="s">
        <v>770</v>
      </c>
      <c r="F15" s="240">
        <v>75017</v>
      </c>
      <c r="G15" s="240" t="s">
        <v>61</v>
      </c>
      <c r="H15" s="240" t="s">
        <v>771</v>
      </c>
      <c r="J15" s="241">
        <v>670.35999507904057</v>
      </c>
      <c r="M15" s="240" t="s">
        <v>378</v>
      </c>
      <c r="N15" s="244" t="s">
        <v>1050</v>
      </c>
      <c r="O15" s="350">
        <v>42359</v>
      </c>
      <c r="V15" s="267" t="s">
        <v>1051</v>
      </c>
    </row>
    <row r="16" spans="1:22" ht="72.5">
      <c r="A16" s="349">
        <v>42344</v>
      </c>
      <c r="B16" s="240" t="s">
        <v>1052</v>
      </c>
      <c r="C16" s="240" t="s">
        <v>495</v>
      </c>
      <c r="D16" s="240" t="s">
        <v>772</v>
      </c>
      <c r="F16" s="240">
        <v>75017</v>
      </c>
      <c r="G16" s="240" t="s">
        <v>61</v>
      </c>
      <c r="H16" s="240" t="s">
        <v>773</v>
      </c>
      <c r="J16" s="241">
        <v>46.239999723434444</v>
      </c>
      <c r="M16" s="240" t="s">
        <v>378</v>
      </c>
      <c r="N16" s="244" t="s">
        <v>1054</v>
      </c>
      <c r="O16" s="350">
        <v>42359</v>
      </c>
      <c r="V16" s="267" t="s">
        <v>1055</v>
      </c>
    </row>
    <row r="17" spans="1:22" ht="29">
      <c r="A17" s="349">
        <v>42344</v>
      </c>
      <c r="B17" s="240" t="s">
        <v>1056</v>
      </c>
      <c r="C17" s="240" t="s">
        <v>496</v>
      </c>
      <c r="D17" s="240" t="s">
        <v>774</v>
      </c>
      <c r="F17" s="240">
        <v>75017</v>
      </c>
      <c r="G17" s="240" t="s">
        <v>61</v>
      </c>
      <c r="H17" s="240" t="s">
        <v>775</v>
      </c>
      <c r="J17" s="241">
        <v>400.19999170303339</v>
      </c>
      <c r="M17" s="240" t="s">
        <v>378</v>
      </c>
      <c r="N17" s="244" t="s">
        <v>1057</v>
      </c>
      <c r="O17" s="350">
        <v>42359</v>
      </c>
      <c r="V17" s="267" t="s">
        <v>1058</v>
      </c>
    </row>
    <row r="18" spans="1:22" ht="43.5">
      <c r="A18" s="349">
        <v>42344</v>
      </c>
      <c r="B18" s="240" t="s">
        <v>1059</v>
      </c>
      <c r="C18" s="240" t="s">
        <v>497</v>
      </c>
      <c r="D18" s="240" t="s">
        <v>776</v>
      </c>
      <c r="F18" s="240">
        <v>75017</v>
      </c>
      <c r="G18" s="240" t="s">
        <v>61</v>
      </c>
      <c r="H18" s="240" t="s">
        <v>777</v>
      </c>
      <c r="J18" s="241">
        <v>490.19998998641972</v>
      </c>
      <c r="M18" s="240" t="s">
        <v>378</v>
      </c>
      <c r="N18" s="244" t="s">
        <v>1060</v>
      </c>
      <c r="O18" s="350">
        <v>42359</v>
      </c>
      <c r="V18" s="267" t="s">
        <v>1061</v>
      </c>
    </row>
    <row r="19" spans="1:22" ht="58">
      <c r="A19" s="349">
        <v>42344</v>
      </c>
      <c r="B19" s="240" t="s">
        <v>1062</v>
      </c>
      <c r="C19" s="240" t="s">
        <v>624</v>
      </c>
      <c r="D19" s="240" t="s">
        <v>778</v>
      </c>
      <c r="F19" s="240">
        <v>75017</v>
      </c>
      <c r="G19" s="240" t="s">
        <v>61</v>
      </c>
      <c r="H19" s="240" t="s">
        <v>779</v>
      </c>
      <c r="J19" s="241">
        <v>213.03999576568603</v>
      </c>
      <c r="M19" s="240" t="s">
        <v>378</v>
      </c>
      <c r="N19" s="244" t="s">
        <v>1063</v>
      </c>
      <c r="O19" s="350">
        <v>42359</v>
      </c>
      <c r="V19" s="267" t="s">
        <v>1064</v>
      </c>
    </row>
    <row r="20" spans="1:22" ht="29">
      <c r="A20" s="349">
        <v>42344</v>
      </c>
      <c r="B20" s="240" t="s">
        <v>1065</v>
      </c>
      <c r="C20" s="240" t="s">
        <v>498</v>
      </c>
      <c r="D20" s="240" t="s">
        <v>780</v>
      </c>
      <c r="F20" s="240">
        <v>75017</v>
      </c>
      <c r="G20" s="240" t="s">
        <v>61</v>
      </c>
      <c r="H20" s="240" t="s">
        <v>781</v>
      </c>
      <c r="J20" s="241">
        <v>105.9599980354309</v>
      </c>
      <c r="M20" s="240" t="s">
        <v>378</v>
      </c>
      <c r="N20" s="244" t="s">
        <v>1066</v>
      </c>
      <c r="O20" s="350">
        <v>42359</v>
      </c>
      <c r="V20" s="267" t="s">
        <v>1067</v>
      </c>
    </row>
    <row r="21" spans="1:22" ht="29">
      <c r="A21" s="349">
        <v>42344</v>
      </c>
      <c r="B21" s="240" t="s">
        <v>1068</v>
      </c>
      <c r="C21" s="240" t="s">
        <v>499</v>
      </c>
      <c r="D21" s="240" t="s">
        <v>782</v>
      </c>
      <c r="F21" s="240">
        <v>75017</v>
      </c>
      <c r="G21" s="240" t="s">
        <v>61</v>
      </c>
      <c r="H21" s="240" t="s">
        <v>783</v>
      </c>
      <c r="J21" s="241">
        <v>139.79999723434446</v>
      </c>
      <c r="M21" s="240" t="s">
        <v>378</v>
      </c>
      <c r="N21" s="244" t="s">
        <v>1069</v>
      </c>
      <c r="O21" s="350">
        <v>42359</v>
      </c>
      <c r="V21" s="267" t="s">
        <v>1070</v>
      </c>
    </row>
    <row r="22" spans="1:22" ht="43.5">
      <c r="A22" s="349">
        <v>42344</v>
      </c>
      <c r="B22" s="240" t="s">
        <v>1072</v>
      </c>
      <c r="C22" s="240" t="s">
        <v>784</v>
      </c>
      <c r="D22" s="240" t="s">
        <v>785</v>
      </c>
      <c r="F22" s="240">
        <v>75017</v>
      </c>
      <c r="G22" s="240" t="s">
        <v>61</v>
      </c>
      <c r="H22" s="240" t="s">
        <v>786</v>
      </c>
      <c r="J22" s="241">
        <v>560.27998838424674</v>
      </c>
      <c r="M22" s="240" t="s">
        <v>378</v>
      </c>
      <c r="N22" s="244" t="s">
        <v>1073</v>
      </c>
      <c r="O22" s="350">
        <v>42359</v>
      </c>
      <c r="V22" s="267" t="s">
        <v>1074</v>
      </c>
    </row>
    <row r="23" spans="1:22" ht="43.5">
      <c r="A23" s="349">
        <v>42344</v>
      </c>
      <c r="B23" s="240" t="s">
        <v>1075</v>
      </c>
      <c r="C23" s="240" t="s">
        <v>627</v>
      </c>
      <c r="D23" s="240" t="s">
        <v>787</v>
      </c>
      <c r="F23" s="240">
        <v>75017</v>
      </c>
      <c r="G23" s="240" t="s">
        <v>61</v>
      </c>
      <c r="H23" s="240" t="s">
        <v>788</v>
      </c>
      <c r="J23" s="241">
        <v>259.79199452400206</v>
      </c>
      <c r="M23" s="240" t="s">
        <v>378</v>
      </c>
      <c r="N23" s="244" t="s">
        <v>1076</v>
      </c>
      <c r="O23" s="350">
        <v>42359</v>
      </c>
      <c r="V23" s="267" t="s">
        <v>1077</v>
      </c>
    </row>
    <row r="24" spans="1:22" ht="43.5">
      <c r="A24" s="349">
        <v>42344</v>
      </c>
      <c r="B24" s="240" t="s">
        <v>1078</v>
      </c>
      <c r="C24" s="240" t="s">
        <v>917</v>
      </c>
      <c r="D24" s="240" t="s">
        <v>918</v>
      </c>
      <c r="F24" s="240">
        <v>75017</v>
      </c>
      <c r="G24" s="240" t="s">
        <v>61</v>
      </c>
      <c r="H24" s="240" t="s">
        <v>919</v>
      </c>
      <c r="J24" s="241">
        <v>18.919999504089358</v>
      </c>
      <c r="M24" s="240" t="s">
        <v>378</v>
      </c>
      <c r="N24" s="244" t="s">
        <v>1079</v>
      </c>
      <c r="O24" s="350">
        <v>42359</v>
      </c>
      <c r="V24" s="267" t="s">
        <v>1080</v>
      </c>
    </row>
    <row r="25" spans="1:22">
      <c r="A25" s="349">
        <v>42344</v>
      </c>
      <c r="B25" s="240" t="s">
        <v>1081</v>
      </c>
      <c r="C25" s="240" t="s">
        <v>626</v>
      </c>
      <c r="D25" s="240" t="s">
        <v>815</v>
      </c>
      <c r="F25" s="240">
        <v>75017</v>
      </c>
      <c r="G25" s="240" t="s">
        <v>61</v>
      </c>
      <c r="H25" s="240" t="s">
        <v>816</v>
      </c>
      <c r="J25" s="241">
        <v>11.399999856948853</v>
      </c>
      <c r="M25" s="240" t="s">
        <v>378</v>
      </c>
      <c r="N25" s="244" t="s">
        <v>1082</v>
      </c>
      <c r="O25" s="350">
        <v>42359</v>
      </c>
      <c r="V25" s="267" t="s">
        <v>1083</v>
      </c>
    </row>
    <row r="26" spans="1:22" ht="72.5">
      <c r="A26" s="349">
        <v>42344</v>
      </c>
      <c r="B26" s="240" t="s">
        <v>1115</v>
      </c>
      <c r="C26" s="240" t="s">
        <v>1091</v>
      </c>
      <c r="D26" s="240" t="s">
        <v>1090</v>
      </c>
      <c r="F26" s="240">
        <v>75015</v>
      </c>
      <c r="G26" s="240" t="s">
        <v>61</v>
      </c>
      <c r="H26" s="240" t="s">
        <v>1092</v>
      </c>
      <c r="J26" s="241">
        <v>670.41030000000001</v>
      </c>
      <c r="M26" s="240" t="s">
        <v>373</v>
      </c>
      <c r="N26" s="244" t="s">
        <v>1117</v>
      </c>
      <c r="O26" s="350">
        <v>42359</v>
      </c>
      <c r="V26" s="267" t="s">
        <v>1118</v>
      </c>
    </row>
    <row r="27" spans="1:22" ht="58">
      <c r="A27" s="349">
        <v>42344</v>
      </c>
      <c r="B27" s="240" t="s">
        <v>1119</v>
      </c>
      <c r="C27" s="240" t="s">
        <v>1094</v>
      </c>
      <c r="D27" s="240" t="s">
        <v>1093</v>
      </c>
      <c r="F27" s="240">
        <v>75015</v>
      </c>
      <c r="G27" s="240" t="s">
        <v>61</v>
      </c>
      <c r="H27" s="240" t="s">
        <v>1095</v>
      </c>
      <c r="J27" s="241">
        <v>189.64680000000001</v>
      </c>
      <c r="M27" s="240" t="s">
        <v>373</v>
      </c>
      <c r="N27" s="244" t="s">
        <v>1122</v>
      </c>
      <c r="O27" s="350">
        <v>42359</v>
      </c>
      <c r="V27" s="267" t="s">
        <v>1123</v>
      </c>
    </row>
    <row r="28" spans="1:22" ht="101.5">
      <c r="A28" s="349">
        <v>42344</v>
      </c>
      <c r="B28" s="240" t="s">
        <v>1124</v>
      </c>
      <c r="C28" s="240" t="s">
        <v>1096</v>
      </c>
      <c r="D28" s="240" t="s">
        <v>1097</v>
      </c>
      <c r="F28" s="240">
        <v>75015</v>
      </c>
      <c r="G28" s="240" t="s">
        <v>61</v>
      </c>
      <c r="H28" s="240" t="s">
        <v>1098</v>
      </c>
      <c r="J28" s="241">
        <v>301.45570000000004</v>
      </c>
      <c r="M28" s="240" t="s">
        <v>373</v>
      </c>
      <c r="N28" s="244" t="s">
        <v>1126</v>
      </c>
      <c r="O28" s="350">
        <v>42359</v>
      </c>
      <c r="V28" s="267" t="s">
        <v>1127</v>
      </c>
    </row>
    <row r="29" spans="1:22" ht="58">
      <c r="A29" s="349">
        <v>42344</v>
      </c>
      <c r="B29" s="240" t="s">
        <v>1128</v>
      </c>
      <c r="C29" s="240" t="s">
        <v>1099</v>
      </c>
      <c r="D29" s="240" t="s">
        <v>1100</v>
      </c>
      <c r="F29" s="240">
        <v>75015</v>
      </c>
      <c r="G29" s="240" t="s">
        <v>61</v>
      </c>
      <c r="H29" s="240" t="s">
        <v>1101</v>
      </c>
      <c r="J29" s="241">
        <v>196.9896</v>
      </c>
      <c r="M29" s="240" t="s">
        <v>373</v>
      </c>
      <c r="N29" s="244" t="s">
        <v>1129</v>
      </c>
      <c r="O29" s="350">
        <v>42359</v>
      </c>
      <c r="V29" s="267" t="s">
        <v>1130</v>
      </c>
    </row>
    <row r="30" spans="1:22" ht="348">
      <c r="A30" s="349">
        <v>42344</v>
      </c>
      <c r="B30" s="240" t="s">
        <v>1136</v>
      </c>
      <c r="C30" s="240" t="s">
        <v>820</v>
      </c>
      <c r="D30" s="240" t="s">
        <v>821</v>
      </c>
      <c r="F30" s="240">
        <v>75008</v>
      </c>
      <c r="G30" s="240" t="s">
        <v>61</v>
      </c>
      <c r="H30" s="240" t="s">
        <v>822</v>
      </c>
      <c r="J30" s="241">
        <v>1998.5497999999998</v>
      </c>
      <c r="M30" s="240" t="s">
        <v>378</v>
      </c>
      <c r="N30" s="244" t="s">
        <v>1137</v>
      </c>
      <c r="O30" s="350">
        <v>42359</v>
      </c>
      <c r="V30" s="267" t="s">
        <v>1138</v>
      </c>
    </row>
    <row r="31" spans="1:22" ht="72.5">
      <c r="A31" s="349">
        <v>42345</v>
      </c>
      <c r="B31" s="240" t="s">
        <v>1144</v>
      </c>
      <c r="C31" s="240" t="s">
        <v>1087</v>
      </c>
      <c r="D31" s="240" t="s">
        <v>1084</v>
      </c>
      <c r="F31" s="240">
        <v>75017</v>
      </c>
      <c r="G31" s="240" t="s">
        <v>61</v>
      </c>
      <c r="H31" s="240" t="s">
        <v>1085</v>
      </c>
      <c r="J31" s="241">
        <v>200.03999643325804</v>
      </c>
      <c r="M31" s="240" t="s">
        <v>378</v>
      </c>
      <c r="N31" s="244" t="s">
        <v>1147</v>
      </c>
      <c r="O31" s="350">
        <v>42355</v>
      </c>
      <c r="V31" s="267" t="s">
        <v>1145</v>
      </c>
    </row>
    <row r="32" spans="1:22" ht="87">
      <c r="A32" s="349">
        <v>42348</v>
      </c>
      <c r="B32" s="240" t="s">
        <v>1155</v>
      </c>
      <c r="C32" s="240" t="s">
        <v>1087</v>
      </c>
      <c r="D32" s="240" t="s">
        <v>1084</v>
      </c>
      <c r="F32" s="240">
        <v>75017</v>
      </c>
      <c r="G32" s="240" t="s">
        <v>61</v>
      </c>
      <c r="H32" s="240" t="s">
        <v>1085</v>
      </c>
      <c r="J32" s="241">
        <v>240.43999643325802</v>
      </c>
      <c r="M32" s="240" t="s">
        <v>373</v>
      </c>
      <c r="N32" s="244" t="s">
        <v>1158</v>
      </c>
      <c r="O32" s="350">
        <v>42358</v>
      </c>
      <c r="V32" s="267" t="s">
        <v>1159</v>
      </c>
    </row>
    <row r="33" spans="1:22" ht="29">
      <c r="A33" s="349">
        <v>42348</v>
      </c>
      <c r="B33" s="240" t="s">
        <v>1146</v>
      </c>
      <c r="C33" s="240" t="s">
        <v>1148</v>
      </c>
      <c r="D33" s="240" t="s">
        <v>1149</v>
      </c>
      <c r="F33" s="240">
        <v>75017</v>
      </c>
      <c r="G33" s="240" t="s">
        <v>61</v>
      </c>
      <c r="H33" s="240" t="s">
        <v>1152</v>
      </c>
      <c r="J33" s="241">
        <v>350.75998706817626</v>
      </c>
      <c r="M33" s="240" t="s">
        <v>378</v>
      </c>
      <c r="N33" s="244" t="s">
        <v>1153</v>
      </c>
      <c r="O33" s="350">
        <v>42358</v>
      </c>
      <c r="V33" s="267" t="s">
        <v>1154</v>
      </c>
    </row>
    <row r="34" spans="1:22" ht="29">
      <c r="A34" s="349">
        <v>42348</v>
      </c>
      <c r="B34" s="240" t="s">
        <v>1155</v>
      </c>
      <c r="C34" s="240" t="s">
        <v>1150</v>
      </c>
      <c r="D34" s="240" t="s">
        <v>1151</v>
      </c>
      <c r="F34" s="240">
        <v>75018</v>
      </c>
      <c r="G34" s="240" t="s">
        <v>61</v>
      </c>
      <c r="J34" s="241">
        <v>75.000000000000014</v>
      </c>
      <c r="M34" s="240" t="s">
        <v>378</v>
      </c>
      <c r="N34" s="244" t="s">
        <v>1156</v>
      </c>
      <c r="O34" s="350">
        <v>42358</v>
      </c>
      <c r="V34" s="267" t="s">
        <v>1157</v>
      </c>
    </row>
    <row r="35" spans="1:22" ht="29">
      <c r="A35" s="349">
        <v>42348</v>
      </c>
      <c r="B35" s="240" t="s">
        <v>1198</v>
      </c>
      <c r="C35" s="240" t="s">
        <v>1191</v>
      </c>
      <c r="D35" s="240" t="s">
        <v>1151</v>
      </c>
      <c r="F35" s="240">
        <v>75018</v>
      </c>
      <c r="G35" s="240" t="s">
        <v>61</v>
      </c>
      <c r="J35" s="241">
        <v>95</v>
      </c>
      <c r="M35" s="240" t="s">
        <v>378</v>
      </c>
      <c r="N35" s="244" t="s">
        <v>1199</v>
      </c>
      <c r="O35" s="350">
        <v>42358</v>
      </c>
      <c r="V35" s="267" t="s">
        <v>1200</v>
      </c>
    </row>
    <row r="36" spans="1:22" ht="261">
      <c r="A36" s="349">
        <v>42356</v>
      </c>
      <c r="B36" s="240" t="s">
        <v>1280</v>
      </c>
      <c r="C36" s="240" t="s">
        <v>820</v>
      </c>
      <c r="D36" s="240" t="s">
        <v>821</v>
      </c>
      <c r="F36" s="240">
        <v>75008</v>
      </c>
      <c r="G36" s="240" t="s">
        <v>61</v>
      </c>
      <c r="H36" s="240" t="s">
        <v>822</v>
      </c>
      <c r="J36" s="241">
        <v>1774.7715639810426</v>
      </c>
      <c r="M36" s="240" t="s">
        <v>378</v>
      </c>
      <c r="N36" s="244" t="s">
        <v>1281</v>
      </c>
      <c r="O36" s="350">
        <v>42358</v>
      </c>
      <c r="V36" s="267" t="s">
        <v>1282</v>
      </c>
    </row>
    <row r="37" spans="1:22" ht="174">
      <c r="A37" s="349">
        <v>42326</v>
      </c>
      <c r="B37" s="240" t="s">
        <v>1283</v>
      </c>
      <c r="C37" s="240" t="s">
        <v>820</v>
      </c>
      <c r="D37" s="240" t="s">
        <v>821</v>
      </c>
      <c r="F37" s="240">
        <v>75008</v>
      </c>
      <c r="G37" s="240" t="s">
        <v>61</v>
      </c>
      <c r="H37" s="240" t="s">
        <v>822</v>
      </c>
      <c r="J37" s="241">
        <v>1185.3588625592417</v>
      </c>
      <c r="M37" s="240" t="s">
        <v>378</v>
      </c>
      <c r="N37" s="244" t="s">
        <v>1285</v>
      </c>
      <c r="O37" s="350">
        <v>42328</v>
      </c>
      <c r="V37" s="267" t="s">
        <v>1284</v>
      </c>
    </row>
    <row r="38" spans="1:22" ht="29">
      <c r="A38" s="349">
        <v>42371</v>
      </c>
      <c r="B38" s="240" t="s">
        <v>1336</v>
      </c>
      <c r="C38" s="240" t="s">
        <v>497</v>
      </c>
      <c r="D38" s="240" t="s">
        <v>776</v>
      </c>
      <c r="F38" s="240">
        <v>75017</v>
      </c>
      <c r="G38" s="240" t="s">
        <v>61</v>
      </c>
      <c r="H38" s="240" t="s">
        <v>777</v>
      </c>
      <c r="J38" s="241">
        <v>498.00000000000006</v>
      </c>
      <c r="M38" s="240" t="s">
        <v>378</v>
      </c>
      <c r="N38" s="244" t="s">
        <v>1338</v>
      </c>
      <c r="O38" s="350">
        <v>42014</v>
      </c>
      <c r="V38" s="267" t="s">
        <v>1337</v>
      </c>
    </row>
    <row r="39" spans="1:22" ht="29">
      <c r="A39" s="349">
        <v>42371</v>
      </c>
      <c r="B39" s="240" t="s">
        <v>1335</v>
      </c>
      <c r="C39" s="240" t="s">
        <v>624</v>
      </c>
      <c r="D39" s="240" t="s">
        <v>778</v>
      </c>
      <c r="F39" s="240">
        <v>75017</v>
      </c>
      <c r="G39" s="240" t="s">
        <v>61</v>
      </c>
      <c r="H39" s="240" t="s">
        <v>779</v>
      </c>
      <c r="J39" s="241">
        <v>177.55999999999997</v>
      </c>
      <c r="M39" s="240" t="s">
        <v>378</v>
      </c>
      <c r="N39" s="244" t="s">
        <v>1339</v>
      </c>
      <c r="O39" s="350">
        <v>42014</v>
      </c>
      <c r="V39" s="267" t="s">
        <v>1340</v>
      </c>
    </row>
    <row r="40" spans="1:22" ht="29">
      <c r="A40" s="349">
        <v>42371</v>
      </c>
      <c r="B40" s="240" t="s">
        <v>1341</v>
      </c>
      <c r="C40" s="240" t="s">
        <v>498</v>
      </c>
      <c r="D40" s="240" t="s">
        <v>780</v>
      </c>
      <c r="F40" s="240">
        <v>75017</v>
      </c>
      <c r="G40" s="240" t="s">
        <v>61</v>
      </c>
      <c r="H40" s="240" t="s">
        <v>781</v>
      </c>
      <c r="J40" s="241">
        <v>66.239999999999995</v>
      </c>
      <c r="M40" s="240" t="s">
        <v>378</v>
      </c>
      <c r="N40" s="244" t="s">
        <v>1342</v>
      </c>
      <c r="O40" s="350">
        <v>42014</v>
      </c>
      <c r="V40" s="267" t="s">
        <v>1343</v>
      </c>
    </row>
    <row r="41" spans="1:22" ht="29">
      <c r="A41" s="349">
        <v>42371</v>
      </c>
      <c r="B41" s="240" t="s">
        <v>1344</v>
      </c>
      <c r="C41" s="240" t="s">
        <v>784</v>
      </c>
      <c r="D41" s="240" t="s">
        <v>785</v>
      </c>
      <c r="F41" s="240">
        <v>75017</v>
      </c>
      <c r="G41" s="240" t="s">
        <v>61</v>
      </c>
      <c r="H41" s="240" t="s">
        <v>786</v>
      </c>
      <c r="J41" s="241">
        <v>456.32</v>
      </c>
      <c r="M41" s="240" t="s">
        <v>378</v>
      </c>
      <c r="N41" s="244" t="s">
        <v>1345</v>
      </c>
      <c r="O41" s="350">
        <v>42014</v>
      </c>
      <c r="V41" s="267" t="s">
        <v>1346</v>
      </c>
    </row>
    <row r="42" spans="1:22" ht="58">
      <c r="A42" s="349">
        <v>42371</v>
      </c>
      <c r="B42" s="240" t="s">
        <v>1347</v>
      </c>
      <c r="C42" s="240" t="s">
        <v>627</v>
      </c>
      <c r="D42" s="240" t="s">
        <v>787</v>
      </c>
      <c r="F42" s="240">
        <v>75017</v>
      </c>
      <c r="G42" s="240" t="s">
        <v>61</v>
      </c>
      <c r="H42" s="240" t="s">
        <v>788</v>
      </c>
      <c r="J42" s="241">
        <v>263.03199999999998</v>
      </c>
      <c r="M42" s="240" t="s">
        <v>378</v>
      </c>
      <c r="N42" s="244" t="s">
        <v>1348</v>
      </c>
      <c r="O42" s="350">
        <v>42014</v>
      </c>
      <c r="V42" s="267" t="s">
        <v>1349</v>
      </c>
    </row>
    <row r="43" spans="1:22" ht="58">
      <c r="A43" s="349">
        <v>42371</v>
      </c>
      <c r="B43" s="240" t="s">
        <v>1350</v>
      </c>
      <c r="C43" s="240" t="s">
        <v>1087</v>
      </c>
      <c r="D43" s="240" t="s">
        <v>1084</v>
      </c>
      <c r="F43" s="240">
        <v>75017</v>
      </c>
      <c r="G43" s="240" t="s">
        <v>61</v>
      </c>
      <c r="H43" s="240" t="s">
        <v>1085</v>
      </c>
      <c r="J43" s="241">
        <v>219.23999999999998</v>
      </c>
      <c r="M43" s="240" t="s">
        <v>378</v>
      </c>
      <c r="N43" s="244" t="s">
        <v>1351</v>
      </c>
      <c r="O43" s="350">
        <v>42014</v>
      </c>
      <c r="V43" s="267" t="s">
        <v>1352</v>
      </c>
    </row>
    <row r="44" spans="1:22" ht="29">
      <c r="A44" s="349">
        <v>42371</v>
      </c>
      <c r="B44" s="240" t="s">
        <v>1354</v>
      </c>
      <c r="C44" s="240" t="s">
        <v>1148</v>
      </c>
      <c r="D44" s="240" t="s">
        <v>1149</v>
      </c>
      <c r="F44" s="240">
        <v>75017</v>
      </c>
      <c r="G44" s="240" t="s">
        <v>61</v>
      </c>
      <c r="H44" s="240" t="s">
        <v>1152</v>
      </c>
      <c r="J44" s="241">
        <v>449.84</v>
      </c>
      <c r="M44" s="240" t="s">
        <v>378</v>
      </c>
      <c r="N44" s="244" t="s">
        <v>1355</v>
      </c>
      <c r="O44" s="350">
        <v>42014</v>
      </c>
      <c r="V44" s="267" t="s">
        <v>1356</v>
      </c>
    </row>
    <row r="45" spans="1:22" ht="101.5">
      <c r="A45" s="349">
        <v>42371</v>
      </c>
      <c r="B45" s="240" t="s">
        <v>1357</v>
      </c>
      <c r="C45" s="240" t="s">
        <v>917</v>
      </c>
      <c r="D45" s="240" t="s">
        <v>918</v>
      </c>
      <c r="F45" s="240">
        <v>75017</v>
      </c>
      <c r="G45" s="240" t="s">
        <v>61</v>
      </c>
      <c r="H45" s="240" t="s">
        <v>919</v>
      </c>
      <c r="J45" s="241">
        <v>631.15999999999985</v>
      </c>
      <c r="M45" s="240" t="s">
        <v>378</v>
      </c>
      <c r="N45" s="244" t="s">
        <v>1358</v>
      </c>
      <c r="O45" s="350">
        <v>42014</v>
      </c>
      <c r="V45" s="267" t="s">
        <v>1359</v>
      </c>
    </row>
    <row r="46" spans="1:22" ht="29">
      <c r="A46" s="349">
        <v>42377</v>
      </c>
      <c r="B46" s="240" t="s">
        <v>1392</v>
      </c>
      <c r="C46" s="240" t="s">
        <v>499</v>
      </c>
      <c r="D46" s="240" t="s">
        <v>782</v>
      </c>
      <c r="F46" s="240">
        <v>75017</v>
      </c>
      <c r="G46" s="240" t="s">
        <v>61</v>
      </c>
      <c r="H46" s="240" t="s">
        <v>783</v>
      </c>
      <c r="J46" s="241">
        <v>168.35999999999996</v>
      </c>
      <c r="M46" s="240" t="s">
        <v>378</v>
      </c>
      <c r="N46" s="244" t="s">
        <v>1393</v>
      </c>
      <c r="O46" s="350">
        <v>42014</v>
      </c>
      <c r="V46" s="267" t="s">
        <v>1394</v>
      </c>
    </row>
    <row r="47" spans="1:22" ht="29">
      <c r="A47" s="349">
        <v>42391</v>
      </c>
      <c r="B47" s="240" t="s">
        <v>1543</v>
      </c>
      <c r="C47" s="240" t="s">
        <v>1191</v>
      </c>
      <c r="D47" s="240" t="s">
        <v>1151</v>
      </c>
      <c r="F47" s="240">
        <v>75018</v>
      </c>
      <c r="G47" s="240" t="s">
        <v>61</v>
      </c>
      <c r="J47" s="241">
        <v>90</v>
      </c>
      <c r="M47" s="240" t="s">
        <v>378</v>
      </c>
      <c r="N47" s="244" t="s">
        <v>1544</v>
      </c>
      <c r="O47" s="350">
        <v>42034</v>
      </c>
      <c r="V47" s="267" t="s">
        <v>1545</v>
      </c>
    </row>
    <row r="48" spans="1:22" ht="101.5">
      <c r="A48" s="349">
        <v>42399</v>
      </c>
      <c r="B48" s="240" t="s">
        <v>1913</v>
      </c>
      <c r="C48" s="240" t="s">
        <v>917</v>
      </c>
      <c r="D48" s="240" t="s">
        <v>918</v>
      </c>
      <c r="F48" s="240">
        <v>75017</v>
      </c>
      <c r="G48" s="240" t="s">
        <v>61</v>
      </c>
      <c r="H48" s="240" t="s">
        <v>919</v>
      </c>
      <c r="J48" s="241">
        <v>917.86919431279614</v>
      </c>
      <c r="M48" s="240" t="s">
        <v>378</v>
      </c>
      <c r="N48" s="244" t="s">
        <v>1914</v>
      </c>
      <c r="O48" s="350">
        <v>42410</v>
      </c>
      <c r="V48" s="267" t="s">
        <v>1915</v>
      </c>
    </row>
    <row r="49" spans="1:22" ht="145">
      <c r="A49" s="349">
        <v>42401</v>
      </c>
      <c r="B49" s="240" t="s">
        <v>1921</v>
      </c>
      <c r="C49" s="240" t="s">
        <v>1096</v>
      </c>
      <c r="D49" s="240" t="s">
        <v>1097</v>
      </c>
      <c r="F49" s="240">
        <v>75015</v>
      </c>
      <c r="G49" s="240" t="s">
        <v>61</v>
      </c>
      <c r="H49" s="240" t="s">
        <v>1098</v>
      </c>
      <c r="J49" s="241">
        <v>330.74263507109004</v>
      </c>
      <c r="M49" s="240" t="s">
        <v>373</v>
      </c>
      <c r="N49" s="244" t="s">
        <v>1922</v>
      </c>
      <c r="O49" s="350">
        <v>42410</v>
      </c>
      <c r="V49" s="267" t="s">
        <v>1923</v>
      </c>
    </row>
    <row r="50" spans="1:22" ht="87">
      <c r="A50" s="349">
        <v>42401</v>
      </c>
      <c r="B50" s="240" t="s">
        <v>1924</v>
      </c>
      <c r="C50" s="240" t="s">
        <v>1099</v>
      </c>
      <c r="D50" s="240" t="s">
        <v>1100</v>
      </c>
      <c r="F50" s="240">
        <v>75015</v>
      </c>
      <c r="G50" s="240" t="s">
        <v>61</v>
      </c>
      <c r="H50" s="240" t="s">
        <v>1101</v>
      </c>
      <c r="J50" s="241">
        <v>200.87467677725124</v>
      </c>
      <c r="M50" s="240" t="s">
        <v>373</v>
      </c>
      <c r="N50" s="244" t="s">
        <v>1925</v>
      </c>
      <c r="O50" s="350">
        <v>42410</v>
      </c>
      <c r="V50" s="267" t="s">
        <v>1926</v>
      </c>
    </row>
    <row r="51" spans="1:22" ht="87">
      <c r="A51" s="349">
        <v>42401</v>
      </c>
      <c r="B51" s="240" t="s">
        <v>1927</v>
      </c>
      <c r="C51" s="240" t="s">
        <v>1091</v>
      </c>
      <c r="D51" s="240" t="s">
        <v>1090</v>
      </c>
      <c r="F51" s="240">
        <v>75015</v>
      </c>
      <c r="G51" s="240" t="s">
        <v>61</v>
      </c>
      <c r="H51" s="240" t="s">
        <v>1092</v>
      </c>
      <c r="J51" s="241">
        <v>544.25</v>
      </c>
      <c r="M51" s="240" t="s">
        <v>373</v>
      </c>
      <c r="N51" s="244" t="s">
        <v>1931</v>
      </c>
      <c r="O51" s="350">
        <v>42410</v>
      </c>
      <c r="V51" s="267" t="s">
        <v>1932</v>
      </c>
    </row>
    <row r="52" spans="1:22" ht="72.5">
      <c r="A52" s="349">
        <v>42402</v>
      </c>
      <c r="B52" s="240" t="s">
        <v>1933</v>
      </c>
      <c r="C52" s="240" t="s">
        <v>1094</v>
      </c>
      <c r="D52" s="240" t="s">
        <v>1093</v>
      </c>
      <c r="F52" s="240">
        <v>75015</v>
      </c>
      <c r="G52" s="240" t="s">
        <v>61</v>
      </c>
      <c r="H52" s="240" t="s">
        <v>1095</v>
      </c>
      <c r="J52" s="241">
        <v>155.56000000000003</v>
      </c>
      <c r="M52" s="240" t="s">
        <v>373</v>
      </c>
      <c r="N52" s="244" t="s">
        <v>1934</v>
      </c>
      <c r="O52" s="350">
        <v>42410</v>
      </c>
      <c r="V52" s="267" t="s">
        <v>1935</v>
      </c>
    </row>
    <row r="53" spans="1:22" ht="101.5">
      <c r="A53" s="349">
        <v>42402</v>
      </c>
      <c r="B53" s="240" t="s">
        <v>1936</v>
      </c>
      <c r="C53" s="240" t="s">
        <v>917</v>
      </c>
      <c r="D53" s="240" t="s">
        <v>918</v>
      </c>
      <c r="F53" s="240">
        <v>75017</v>
      </c>
      <c r="G53" s="240" t="s">
        <v>61</v>
      </c>
      <c r="H53" s="240" t="s">
        <v>919</v>
      </c>
      <c r="J53" s="241">
        <v>690.63999376296999</v>
      </c>
      <c r="M53" s="240" t="s">
        <v>378</v>
      </c>
      <c r="N53" s="244" t="s">
        <v>1938</v>
      </c>
      <c r="O53" s="350">
        <v>42410</v>
      </c>
      <c r="V53" s="267" t="s">
        <v>1939</v>
      </c>
    </row>
    <row r="54" spans="1:22" ht="58">
      <c r="A54" s="349">
        <v>42402</v>
      </c>
      <c r="B54" s="240" t="s">
        <v>1940</v>
      </c>
      <c r="C54" s="240" t="s">
        <v>627</v>
      </c>
      <c r="D54" s="240" t="s">
        <v>787</v>
      </c>
      <c r="F54" s="240">
        <v>75017</v>
      </c>
      <c r="G54" s="240" t="s">
        <v>61</v>
      </c>
      <c r="H54" s="240" t="s">
        <v>788</v>
      </c>
      <c r="J54" s="241">
        <v>207.5599962425232</v>
      </c>
      <c r="M54" s="240" t="s">
        <v>378</v>
      </c>
      <c r="N54" s="244" t="s">
        <v>1941</v>
      </c>
      <c r="O54" s="350">
        <v>42410</v>
      </c>
      <c r="V54" s="267" t="s">
        <v>1942</v>
      </c>
    </row>
    <row r="55" spans="1:22" ht="29">
      <c r="A55" s="349">
        <v>42402</v>
      </c>
      <c r="B55" s="240" t="s">
        <v>1943</v>
      </c>
      <c r="C55" s="240" t="s">
        <v>1087</v>
      </c>
      <c r="D55" s="240" t="s">
        <v>1084</v>
      </c>
      <c r="F55" s="240">
        <v>75017</v>
      </c>
      <c r="G55" s="240" t="s">
        <v>61</v>
      </c>
      <c r="H55" s="240" t="s">
        <v>1353</v>
      </c>
      <c r="J55" s="241">
        <v>165.47999725341799</v>
      </c>
      <c r="M55" s="240" t="s">
        <v>378</v>
      </c>
      <c r="N55" s="244" t="s">
        <v>1944</v>
      </c>
      <c r="O55" s="350">
        <v>42410</v>
      </c>
      <c r="V55" s="267" t="s">
        <v>1945</v>
      </c>
    </row>
    <row r="56" spans="1:22" ht="116">
      <c r="A56" s="349">
        <v>42402</v>
      </c>
      <c r="B56" s="240" t="s">
        <v>1946</v>
      </c>
      <c r="C56" s="240" t="s">
        <v>790</v>
      </c>
      <c r="D56" s="240" t="s">
        <v>789</v>
      </c>
      <c r="F56" s="240">
        <v>75017</v>
      </c>
      <c r="G56" s="240" t="s">
        <v>61</v>
      </c>
      <c r="J56" s="241">
        <v>1082.9999874877933</v>
      </c>
      <c r="M56" s="240" t="s">
        <v>378</v>
      </c>
      <c r="N56" s="244" t="s">
        <v>1947</v>
      </c>
      <c r="O56" s="350">
        <v>42410</v>
      </c>
      <c r="V56" s="267" t="s">
        <v>1948</v>
      </c>
    </row>
    <row r="57" spans="1:22" ht="72.5">
      <c r="A57" s="349">
        <v>42402</v>
      </c>
      <c r="B57" s="240" t="s">
        <v>1949</v>
      </c>
      <c r="C57" s="240" t="s">
        <v>769</v>
      </c>
      <c r="D57" s="240" t="s">
        <v>770</v>
      </c>
      <c r="F57" s="240">
        <v>75017</v>
      </c>
      <c r="G57" s="240" t="s">
        <v>61</v>
      </c>
      <c r="H57" s="240" t="s">
        <v>771</v>
      </c>
      <c r="J57" s="241">
        <v>581.67998833656316</v>
      </c>
      <c r="M57" s="240" t="s">
        <v>378</v>
      </c>
      <c r="N57" s="244" t="s">
        <v>1950</v>
      </c>
      <c r="O57" s="350">
        <v>42410</v>
      </c>
      <c r="V57" s="267" t="s">
        <v>1951</v>
      </c>
    </row>
    <row r="58" spans="1:22" ht="29">
      <c r="A58" s="349">
        <v>42402</v>
      </c>
      <c r="B58" s="240" t="s">
        <v>1952</v>
      </c>
      <c r="C58" s="240" t="s">
        <v>495</v>
      </c>
      <c r="D58" s="240" t="s">
        <v>772</v>
      </c>
      <c r="F58" s="240">
        <v>75017</v>
      </c>
      <c r="G58" s="240" t="s">
        <v>61</v>
      </c>
      <c r="H58" s="240" t="s">
        <v>773</v>
      </c>
      <c r="J58" s="241">
        <v>53.759999465942379</v>
      </c>
      <c r="M58" s="240" t="s">
        <v>378</v>
      </c>
      <c r="N58" s="244" t="s">
        <v>1953</v>
      </c>
      <c r="O58" s="350">
        <v>42410</v>
      </c>
      <c r="V58" s="267" t="s">
        <v>1954</v>
      </c>
    </row>
    <row r="59" spans="1:22" ht="29">
      <c r="A59" s="349">
        <v>42402</v>
      </c>
      <c r="B59" s="240" t="s">
        <v>1955</v>
      </c>
      <c r="C59" s="240" t="s">
        <v>496</v>
      </c>
      <c r="D59" s="240" t="s">
        <v>774</v>
      </c>
      <c r="F59" s="240">
        <v>75017</v>
      </c>
      <c r="G59" s="240" t="s">
        <v>61</v>
      </c>
      <c r="H59" s="240" t="s">
        <v>775</v>
      </c>
      <c r="J59" s="241">
        <v>387.31999197006223</v>
      </c>
      <c r="M59" s="240" t="s">
        <v>378</v>
      </c>
      <c r="N59" s="244" t="s">
        <v>1956</v>
      </c>
      <c r="O59" s="350">
        <v>42410</v>
      </c>
      <c r="V59" s="267" t="s">
        <v>1957</v>
      </c>
    </row>
    <row r="60" spans="1:22" ht="29">
      <c r="A60" s="349">
        <v>42402</v>
      </c>
      <c r="B60" s="240" t="s">
        <v>1958</v>
      </c>
      <c r="C60" s="240" t="s">
        <v>497</v>
      </c>
      <c r="D60" s="240" t="s">
        <v>776</v>
      </c>
      <c r="F60" s="240">
        <v>75017</v>
      </c>
      <c r="G60" s="240" t="s">
        <v>61</v>
      </c>
      <c r="H60" s="240" t="s">
        <v>777</v>
      </c>
      <c r="J60" s="241">
        <v>355.2</v>
      </c>
      <c r="M60" s="240" t="s">
        <v>378</v>
      </c>
      <c r="N60" s="244" t="s">
        <v>1959</v>
      </c>
      <c r="O60" s="350">
        <v>42410</v>
      </c>
      <c r="V60" s="267" t="s">
        <v>1960</v>
      </c>
    </row>
    <row r="61" spans="1:22" ht="72.5">
      <c r="A61" s="349">
        <v>42402</v>
      </c>
      <c r="B61" s="240" t="s">
        <v>1961</v>
      </c>
      <c r="C61" s="240" t="s">
        <v>624</v>
      </c>
      <c r="D61" s="240" t="s">
        <v>778</v>
      </c>
      <c r="F61" s="240">
        <v>75017</v>
      </c>
      <c r="G61" s="240" t="s">
        <v>61</v>
      </c>
      <c r="H61" s="240" t="s">
        <v>779</v>
      </c>
      <c r="J61" s="241">
        <v>237.67999572753908</v>
      </c>
      <c r="M61" s="240" t="s">
        <v>378</v>
      </c>
      <c r="N61" s="244" t="s">
        <v>1962</v>
      </c>
      <c r="O61" s="350">
        <v>42410</v>
      </c>
      <c r="V61" s="267" t="s">
        <v>1963</v>
      </c>
    </row>
    <row r="62" spans="1:22" ht="29">
      <c r="A62" s="349">
        <v>42402</v>
      </c>
      <c r="B62" s="240" t="s">
        <v>1964</v>
      </c>
      <c r="C62" s="240" t="s">
        <v>498</v>
      </c>
      <c r="D62" s="240" t="s">
        <v>780</v>
      </c>
      <c r="F62" s="240">
        <v>75017</v>
      </c>
      <c r="G62" s="240" t="s">
        <v>61</v>
      </c>
      <c r="H62" s="240" t="s">
        <v>781</v>
      </c>
      <c r="J62" s="241">
        <v>91.999998092651367</v>
      </c>
      <c r="M62" s="240" t="s">
        <v>378</v>
      </c>
      <c r="N62" s="244" t="s">
        <v>1965</v>
      </c>
      <c r="O62" s="350">
        <v>42410</v>
      </c>
      <c r="V62" s="267" t="s">
        <v>1966</v>
      </c>
    </row>
    <row r="63" spans="1:22" ht="29">
      <c r="A63" s="349">
        <v>42402</v>
      </c>
      <c r="B63" s="240" t="s">
        <v>1967</v>
      </c>
      <c r="C63" s="240" t="s">
        <v>499</v>
      </c>
      <c r="D63" s="240" t="s">
        <v>782</v>
      </c>
      <c r="F63" s="240">
        <v>75017</v>
      </c>
      <c r="G63" s="240" t="s">
        <v>61</v>
      </c>
      <c r="H63" s="240" t="s">
        <v>783</v>
      </c>
      <c r="J63" s="241">
        <v>129.71999731063843</v>
      </c>
      <c r="M63" s="240" t="s">
        <v>378</v>
      </c>
      <c r="N63" s="244" t="s">
        <v>1968</v>
      </c>
      <c r="O63" s="350">
        <v>42410</v>
      </c>
      <c r="V63" s="267" t="s">
        <v>1969</v>
      </c>
    </row>
    <row r="64" spans="1:22" ht="29">
      <c r="A64" s="349">
        <v>42405</v>
      </c>
      <c r="B64" s="240" t="s">
        <v>1970</v>
      </c>
      <c r="C64" s="240" t="s">
        <v>1148</v>
      </c>
      <c r="D64" s="240" t="s">
        <v>1149</v>
      </c>
      <c r="F64" s="240">
        <v>75017</v>
      </c>
      <c r="G64" s="240" t="s">
        <v>61</v>
      </c>
      <c r="H64" s="240" t="s">
        <v>1152</v>
      </c>
      <c r="J64" s="241">
        <v>321.91998820304872</v>
      </c>
      <c r="M64" s="240" t="s">
        <v>378</v>
      </c>
      <c r="N64" s="244" t="s">
        <v>1971</v>
      </c>
      <c r="O64" s="350">
        <v>42410</v>
      </c>
      <c r="V64" s="267" t="s">
        <v>1972</v>
      </c>
    </row>
    <row r="65" spans="1:22" ht="72.5">
      <c r="A65" s="349">
        <v>42430</v>
      </c>
      <c r="B65" s="240" t="s">
        <v>2066</v>
      </c>
      <c r="C65" s="240" t="s">
        <v>1091</v>
      </c>
      <c r="D65" s="240" t="s">
        <v>1090</v>
      </c>
      <c r="F65" s="240">
        <v>75015</v>
      </c>
      <c r="G65" s="240" t="s">
        <v>61</v>
      </c>
      <c r="H65" s="240" t="s">
        <v>1092</v>
      </c>
      <c r="J65" s="241">
        <v>491.83999633789068</v>
      </c>
      <c r="M65" s="240" t="s">
        <v>373</v>
      </c>
      <c r="N65" s="244" t="s">
        <v>2067</v>
      </c>
      <c r="O65" s="350">
        <v>42410</v>
      </c>
      <c r="V65" s="267" t="s">
        <v>2068</v>
      </c>
    </row>
    <row r="66" spans="1:22" ht="87">
      <c r="A66" s="349">
        <v>42430</v>
      </c>
      <c r="B66" s="240" t="s">
        <v>2069</v>
      </c>
      <c r="C66" s="240" t="s">
        <v>1096</v>
      </c>
      <c r="D66" s="240" t="s">
        <v>1097</v>
      </c>
      <c r="F66" s="240">
        <v>75015</v>
      </c>
      <c r="G66" s="240" t="s">
        <v>61</v>
      </c>
      <c r="H66" s="240" t="s">
        <v>1098</v>
      </c>
      <c r="J66" s="241">
        <v>261.36000113487245</v>
      </c>
      <c r="M66" s="240" t="s">
        <v>373</v>
      </c>
      <c r="N66" s="244" t="s">
        <v>2070</v>
      </c>
      <c r="O66" s="350">
        <v>42410</v>
      </c>
      <c r="V66" s="267" t="s">
        <v>2071</v>
      </c>
    </row>
    <row r="67" spans="1:22" ht="72.5">
      <c r="A67" s="349">
        <v>42430</v>
      </c>
      <c r="B67" s="240" t="s">
        <v>2072</v>
      </c>
      <c r="C67" s="240" t="s">
        <v>1094</v>
      </c>
      <c r="D67" s="240" t="s">
        <v>1093</v>
      </c>
      <c r="F67" s="240">
        <v>75015</v>
      </c>
      <c r="G67" s="240" t="s">
        <v>61</v>
      </c>
      <c r="H67" s="240" t="s">
        <v>1095</v>
      </c>
      <c r="J67" s="241">
        <v>242.83999946594236</v>
      </c>
      <c r="M67" s="240" t="s">
        <v>373</v>
      </c>
      <c r="N67" s="244" t="s">
        <v>2073</v>
      </c>
      <c r="O67" s="350">
        <v>42410</v>
      </c>
      <c r="V67" s="267" t="s">
        <v>2074</v>
      </c>
    </row>
    <row r="68" spans="1:22" ht="87">
      <c r="A68" s="349">
        <v>42430</v>
      </c>
      <c r="B68" s="240" t="s">
        <v>2075</v>
      </c>
      <c r="C68" s="240" t="s">
        <v>1099</v>
      </c>
      <c r="D68" s="240" t="s">
        <v>1100</v>
      </c>
      <c r="F68" s="240">
        <v>75015</v>
      </c>
      <c r="G68" s="240" t="s">
        <v>61</v>
      </c>
      <c r="H68" s="240" t="s">
        <v>1101</v>
      </c>
      <c r="J68" s="241">
        <v>172.27999401092532</v>
      </c>
      <c r="M68" s="240" t="s">
        <v>373</v>
      </c>
      <c r="N68" s="244" t="s">
        <v>2076</v>
      </c>
      <c r="O68" s="350">
        <v>42410</v>
      </c>
      <c r="V68" s="267" t="s">
        <v>2077</v>
      </c>
    </row>
    <row r="69" spans="1:22" ht="217.5">
      <c r="A69" s="349">
        <v>42430</v>
      </c>
      <c r="B69" s="240" t="s">
        <v>2078</v>
      </c>
      <c r="C69" s="240" t="s">
        <v>820</v>
      </c>
      <c r="D69" s="240" t="s">
        <v>821</v>
      </c>
      <c r="F69" s="240">
        <v>75008</v>
      </c>
      <c r="G69" s="240" t="s">
        <v>61</v>
      </c>
      <c r="H69" s="240" t="s">
        <v>822</v>
      </c>
      <c r="J69" s="241">
        <v>1645.8400120258332</v>
      </c>
      <c r="M69" s="240" t="s">
        <v>378</v>
      </c>
      <c r="N69" s="244" t="s">
        <v>2080</v>
      </c>
      <c r="O69" s="350">
        <v>42410</v>
      </c>
      <c r="V69" s="267" t="s">
        <v>2079</v>
      </c>
    </row>
    <row r="70" spans="1:22" ht="58">
      <c r="A70" s="349">
        <v>42430</v>
      </c>
      <c r="B70" s="240" t="s">
        <v>2081</v>
      </c>
      <c r="C70" s="240" t="s">
        <v>769</v>
      </c>
      <c r="D70" s="240" t="s">
        <v>770</v>
      </c>
      <c r="F70" s="240">
        <v>75017</v>
      </c>
      <c r="G70" s="240" t="s">
        <v>61</v>
      </c>
      <c r="H70" s="240" t="s">
        <v>771</v>
      </c>
      <c r="J70" s="241">
        <v>527.79998931884779</v>
      </c>
      <c r="M70" s="240" t="s">
        <v>378</v>
      </c>
      <c r="N70" s="244" t="s">
        <v>2082</v>
      </c>
      <c r="O70" s="350">
        <v>42410</v>
      </c>
      <c r="V70" s="267" t="s">
        <v>2083</v>
      </c>
    </row>
    <row r="71" spans="1:22" ht="101.5">
      <c r="A71" s="349">
        <v>42430</v>
      </c>
      <c r="B71" s="240" t="s">
        <v>2084</v>
      </c>
      <c r="C71" s="240" t="s">
        <v>790</v>
      </c>
      <c r="D71" s="240" t="s">
        <v>789</v>
      </c>
      <c r="F71" s="240">
        <v>75017</v>
      </c>
      <c r="G71" s="240" t="s">
        <v>61</v>
      </c>
      <c r="J71" s="241">
        <v>1064.3599875450134</v>
      </c>
      <c r="M71" s="240" t="s">
        <v>378</v>
      </c>
      <c r="N71" s="244" t="s">
        <v>2085</v>
      </c>
      <c r="O71" s="350">
        <v>42410</v>
      </c>
      <c r="V71" s="267" t="s">
        <v>2086</v>
      </c>
    </row>
    <row r="72" spans="1:22" ht="29">
      <c r="A72" s="349">
        <v>42430</v>
      </c>
      <c r="B72" s="240" t="s">
        <v>2087</v>
      </c>
      <c r="C72" s="240" t="s">
        <v>495</v>
      </c>
      <c r="D72" s="240" t="s">
        <v>772</v>
      </c>
      <c r="F72" s="240">
        <v>75017</v>
      </c>
      <c r="G72" s="240" t="s">
        <v>61</v>
      </c>
      <c r="H72" s="240" t="s">
        <v>773</v>
      </c>
      <c r="J72" s="241">
        <v>51.759999465942386</v>
      </c>
      <c r="M72" s="240" t="s">
        <v>378</v>
      </c>
      <c r="N72" s="244" t="s">
        <v>2088</v>
      </c>
      <c r="O72" s="350">
        <v>42410</v>
      </c>
      <c r="V72" s="267" t="s">
        <v>2089</v>
      </c>
    </row>
    <row r="73" spans="1:22" ht="29">
      <c r="A73" s="349">
        <v>42430</v>
      </c>
      <c r="B73" s="240" t="s">
        <v>2090</v>
      </c>
      <c r="C73" s="240" t="s">
        <v>496</v>
      </c>
      <c r="D73" s="240" t="s">
        <v>774</v>
      </c>
      <c r="F73" s="240">
        <v>75017</v>
      </c>
      <c r="G73" s="240" t="s">
        <v>61</v>
      </c>
      <c r="H73" s="240" t="s">
        <v>775</v>
      </c>
      <c r="J73" s="241">
        <v>388.23999195098878</v>
      </c>
      <c r="M73" s="240" t="s">
        <v>378</v>
      </c>
      <c r="N73" s="244" t="s">
        <v>2091</v>
      </c>
      <c r="O73" s="350">
        <v>42410</v>
      </c>
      <c r="V73" s="267" t="s">
        <v>2092</v>
      </c>
    </row>
    <row r="74" spans="1:22" ht="29">
      <c r="A74" s="349">
        <v>42430</v>
      </c>
      <c r="B74" s="240" t="s">
        <v>2093</v>
      </c>
      <c r="C74" s="240" t="s">
        <v>497</v>
      </c>
      <c r="D74" s="240" t="s">
        <v>776</v>
      </c>
      <c r="F74" s="240">
        <v>75017</v>
      </c>
      <c r="G74" s="240" t="s">
        <v>61</v>
      </c>
      <c r="H74" s="240" t="s">
        <v>777</v>
      </c>
      <c r="J74" s="241">
        <v>500.47998962402346</v>
      </c>
      <c r="M74" s="240" t="s">
        <v>378</v>
      </c>
      <c r="N74" s="244" t="s">
        <v>2094</v>
      </c>
      <c r="O74" s="350">
        <v>42410</v>
      </c>
      <c r="V74" s="267" t="s">
        <v>2095</v>
      </c>
    </row>
    <row r="75" spans="1:22" ht="29">
      <c r="A75" s="349">
        <v>42430</v>
      </c>
      <c r="B75" s="240" t="s">
        <v>2096</v>
      </c>
      <c r="C75" s="240" t="s">
        <v>624</v>
      </c>
      <c r="D75" s="240" t="s">
        <v>778</v>
      </c>
      <c r="F75" s="240">
        <v>75017</v>
      </c>
      <c r="G75" s="240" t="s">
        <v>61</v>
      </c>
      <c r="H75" s="240" t="s">
        <v>779</v>
      </c>
      <c r="J75" s="241">
        <v>178.79999685287476</v>
      </c>
      <c r="M75" s="240" t="s">
        <v>373</v>
      </c>
      <c r="N75" s="244" t="s">
        <v>2097</v>
      </c>
      <c r="O75" s="350">
        <v>42439</v>
      </c>
      <c r="V75" s="267" t="s">
        <v>2098</v>
      </c>
    </row>
    <row r="76" spans="1:22" ht="29">
      <c r="A76" s="349">
        <v>42430</v>
      </c>
      <c r="B76" s="240" t="s">
        <v>2099</v>
      </c>
      <c r="C76" s="240" t="s">
        <v>624</v>
      </c>
      <c r="D76" s="240" t="s">
        <v>778</v>
      </c>
      <c r="F76" s="240">
        <v>75017</v>
      </c>
      <c r="G76" s="240" t="s">
        <v>61</v>
      </c>
      <c r="H76" s="240" t="s">
        <v>779</v>
      </c>
      <c r="J76" s="241">
        <v>178.79999685287476</v>
      </c>
      <c r="M76" s="240" t="s">
        <v>378</v>
      </c>
      <c r="N76" s="244" t="s">
        <v>2097</v>
      </c>
      <c r="O76" s="350">
        <v>42439</v>
      </c>
      <c r="V76" s="267" t="s">
        <v>2100</v>
      </c>
    </row>
    <row r="77" spans="1:22" ht="29">
      <c r="A77" s="349">
        <v>42430</v>
      </c>
      <c r="B77" s="240" t="s">
        <v>2101</v>
      </c>
      <c r="C77" s="240" t="s">
        <v>498</v>
      </c>
      <c r="D77" s="240" t="s">
        <v>780</v>
      </c>
      <c r="F77" s="240">
        <v>75017</v>
      </c>
      <c r="G77" s="240" t="s">
        <v>61</v>
      </c>
      <c r="H77" s="240" t="s">
        <v>781</v>
      </c>
      <c r="J77" s="241">
        <v>91.999998092651367</v>
      </c>
      <c r="M77" s="240" t="s">
        <v>378</v>
      </c>
      <c r="N77" s="244" t="s">
        <v>1965</v>
      </c>
      <c r="O77" s="350">
        <v>42439</v>
      </c>
      <c r="V77" s="267" t="s">
        <v>2102</v>
      </c>
    </row>
    <row r="78" spans="1:22" ht="29">
      <c r="A78" s="349">
        <v>42430</v>
      </c>
      <c r="B78" s="240" t="s">
        <v>2103</v>
      </c>
      <c r="C78" s="240" t="s">
        <v>499</v>
      </c>
      <c r="D78" s="240" t="s">
        <v>782</v>
      </c>
      <c r="F78" s="240">
        <v>75017</v>
      </c>
      <c r="G78" s="240" t="s">
        <v>61</v>
      </c>
      <c r="H78" s="240" t="s">
        <v>783</v>
      </c>
      <c r="J78" s="241">
        <v>126.03999738693236</v>
      </c>
      <c r="M78" s="240" t="s">
        <v>378</v>
      </c>
      <c r="N78" s="244" t="s">
        <v>2104</v>
      </c>
      <c r="O78" s="350">
        <v>42439</v>
      </c>
      <c r="V78" s="267" t="s">
        <v>2105</v>
      </c>
    </row>
    <row r="79" spans="1:22" ht="29">
      <c r="A79" s="349">
        <v>42430</v>
      </c>
      <c r="B79" s="240" t="s">
        <v>2106</v>
      </c>
      <c r="C79" s="240" t="s">
        <v>627</v>
      </c>
      <c r="D79" s="240" t="s">
        <v>787</v>
      </c>
      <c r="F79" s="240">
        <v>75017</v>
      </c>
      <c r="G79" s="240" t="s">
        <v>61</v>
      </c>
      <c r="H79" s="240" t="s">
        <v>788</v>
      </c>
      <c r="J79" s="241">
        <v>201.19999603271486</v>
      </c>
      <c r="M79" s="240" t="s">
        <v>378</v>
      </c>
      <c r="N79" s="244" t="s">
        <v>2107</v>
      </c>
      <c r="O79" s="350">
        <v>42439</v>
      </c>
      <c r="V79" s="267" t="s">
        <v>2108</v>
      </c>
    </row>
    <row r="80" spans="1:22" ht="43.5">
      <c r="A80" s="349">
        <v>42430</v>
      </c>
      <c r="B80" s="240" t="s">
        <v>2109</v>
      </c>
      <c r="C80" s="240" t="s">
        <v>1087</v>
      </c>
      <c r="D80" s="240" t="s">
        <v>1084</v>
      </c>
      <c r="F80" s="240">
        <v>75017</v>
      </c>
      <c r="G80" s="240" t="s">
        <v>61</v>
      </c>
      <c r="H80" s="240" t="s">
        <v>1353</v>
      </c>
      <c r="J80" s="241">
        <v>186.40799807357789</v>
      </c>
      <c r="M80" s="240" t="s">
        <v>378</v>
      </c>
      <c r="N80" s="244" t="s">
        <v>2110</v>
      </c>
      <c r="O80" s="350">
        <v>42439</v>
      </c>
      <c r="V80" s="267" t="s">
        <v>2111</v>
      </c>
    </row>
    <row r="81" spans="1:22" ht="29">
      <c r="A81" s="349">
        <v>42430</v>
      </c>
      <c r="B81" s="240" t="s">
        <v>2112</v>
      </c>
      <c r="C81" s="240" t="s">
        <v>1191</v>
      </c>
      <c r="D81" s="240" t="s">
        <v>1151</v>
      </c>
      <c r="F81" s="240">
        <v>75018</v>
      </c>
      <c r="G81" s="240" t="s">
        <v>61</v>
      </c>
      <c r="J81" s="241">
        <v>20</v>
      </c>
      <c r="M81" s="240" t="s">
        <v>378</v>
      </c>
      <c r="N81" s="244" t="s">
        <v>2113</v>
      </c>
      <c r="O81" s="350">
        <v>42439</v>
      </c>
      <c r="V81" s="267" t="s">
        <v>2114</v>
      </c>
    </row>
    <row r="82" spans="1:22" ht="58">
      <c r="A82" s="349">
        <v>42461</v>
      </c>
      <c r="B82" s="240" t="s">
        <v>2267</v>
      </c>
      <c r="C82" s="240" t="s">
        <v>769</v>
      </c>
      <c r="D82" s="240" t="s">
        <v>770</v>
      </c>
      <c r="F82" s="240">
        <v>75017</v>
      </c>
      <c r="G82" s="240" t="s">
        <v>61</v>
      </c>
      <c r="H82" s="240" t="s">
        <v>771</v>
      </c>
      <c r="J82" s="241">
        <v>467.55999054908756</v>
      </c>
      <c r="M82" s="240" t="s">
        <v>378</v>
      </c>
      <c r="N82" s="244" t="s">
        <v>2268</v>
      </c>
      <c r="O82" s="350">
        <v>42470</v>
      </c>
      <c r="V82" s="267" t="s">
        <v>2269</v>
      </c>
    </row>
    <row r="83" spans="1:22" ht="87">
      <c r="A83" s="349">
        <v>42461</v>
      </c>
      <c r="B83" s="240" t="s">
        <v>2270</v>
      </c>
      <c r="C83" s="240" t="s">
        <v>790</v>
      </c>
      <c r="D83" s="240" t="s">
        <v>789</v>
      </c>
      <c r="F83" s="240">
        <v>75017</v>
      </c>
      <c r="G83" s="240" t="s">
        <v>61</v>
      </c>
      <c r="J83" s="241">
        <v>1077.6799879074097</v>
      </c>
      <c r="M83" s="240" t="s">
        <v>378</v>
      </c>
      <c r="N83" s="244" t="s">
        <v>2271</v>
      </c>
      <c r="O83" s="350">
        <v>42470</v>
      </c>
      <c r="V83" s="267" t="s">
        <v>2272</v>
      </c>
    </row>
    <row r="84" spans="1:22" ht="188.5">
      <c r="A84" s="349">
        <v>42461</v>
      </c>
      <c r="B84" s="240" t="s">
        <v>2273</v>
      </c>
      <c r="C84" s="240" t="s">
        <v>820</v>
      </c>
      <c r="D84" s="240" t="s">
        <v>821</v>
      </c>
      <c r="F84" s="240">
        <v>75008</v>
      </c>
      <c r="G84" s="240" t="s">
        <v>61</v>
      </c>
      <c r="H84" s="240" t="s">
        <v>822</v>
      </c>
      <c r="J84" s="241">
        <v>1631.2720109462739</v>
      </c>
      <c r="M84" s="240" t="s">
        <v>378</v>
      </c>
      <c r="N84" s="244" t="s">
        <v>2274</v>
      </c>
      <c r="O84" s="350">
        <v>42470</v>
      </c>
      <c r="V84" s="267" t="s">
        <v>2275</v>
      </c>
    </row>
    <row r="85" spans="1:22" ht="29">
      <c r="A85" s="349">
        <v>42467</v>
      </c>
      <c r="B85" s="240" t="s">
        <v>2305</v>
      </c>
      <c r="C85" s="240" t="s">
        <v>1148</v>
      </c>
      <c r="D85" s="240" t="s">
        <v>1149</v>
      </c>
      <c r="F85" s="240">
        <v>75017</v>
      </c>
      <c r="G85" s="240" t="s">
        <v>61</v>
      </c>
      <c r="H85" s="240" t="s">
        <v>1152</v>
      </c>
      <c r="J85" s="241">
        <v>149.75999469757082</v>
      </c>
      <c r="M85" s="240" t="s">
        <v>378</v>
      </c>
      <c r="N85" s="244" t="s">
        <v>2306</v>
      </c>
      <c r="O85" s="350">
        <v>42470</v>
      </c>
      <c r="V85" s="267" t="s">
        <v>2307</v>
      </c>
    </row>
    <row r="86" spans="1:22" ht="29">
      <c r="A86" s="349">
        <v>42467</v>
      </c>
      <c r="B86" s="240" t="s">
        <v>2435</v>
      </c>
      <c r="C86" s="240" t="s">
        <v>1191</v>
      </c>
      <c r="D86" s="240" t="s">
        <v>1151</v>
      </c>
      <c r="F86" s="240">
        <v>75018</v>
      </c>
      <c r="G86" s="240" t="s">
        <v>61</v>
      </c>
      <c r="J86" s="241">
        <v>32</v>
      </c>
      <c r="M86" s="240" t="s">
        <v>378</v>
      </c>
      <c r="N86" s="244" t="s">
        <v>2436</v>
      </c>
      <c r="O86" s="350">
        <v>42470</v>
      </c>
      <c r="V86" s="267" t="s">
        <v>2437</v>
      </c>
    </row>
    <row r="87" spans="1:22" ht="188.5">
      <c r="A87" s="349">
        <v>42467</v>
      </c>
      <c r="B87" s="240" t="s">
        <v>2438</v>
      </c>
      <c r="C87" s="240" t="s">
        <v>820</v>
      </c>
      <c r="D87" s="240" t="s">
        <v>821</v>
      </c>
      <c r="F87" s="240">
        <v>75008</v>
      </c>
      <c r="G87" s="240" t="s">
        <v>61</v>
      </c>
      <c r="H87" s="240" t="s">
        <v>822</v>
      </c>
      <c r="J87" s="241">
        <v>1019.5447068414211</v>
      </c>
      <c r="M87" s="240" t="s">
        <v>378</v>
      </c>
      <c r="N87" s="244" t="s">
        <v>2439</v>
      </c>
      <c r="O87" s="350">
        <v>42470</v>
      </c>
      <c r="V87" s="267" t="s">
        <v>2440</v>
      </c>
    </row>
    <row r="88" spans="1:22" ht="101.5">
      <c r="A88" s="349">
        <v>42492</v>
      </c>
      <c r="B88" s="240" t="s">
        <v>2441</v>
      </c>
      <c r="C88" s="240" t="s">
        <v>917</v>
      </c>
      <c r="D88" s="240" t="s">
        <v>918</v>
      </c>
      <c r="F88" s="240">
        <v>75017</v>
      </c>
      <c r="G88" s="240" t="s">
        <v>61</v>
      </c>
      <c r="H88" s="240" t="s">
        <v>919</v>
      </c>
      <c r="J88" s="241">
        <v>661.59999656677246</v>
      </c>
      <c r="M88" s="240" t="s">
        <v>378</v>
      </c>
      <c r="N88" s="244" t="s">
        <v>2442</v>
      </c>
      <c r="O88" s="350">
        <v>42500</v>
      </c>
      <c r="V88" s="267" t="s">
        <v>2443</v>
      </c>
    </row>
    <row r="89" spans="1:22" ht="58">
      <c r="A89" s="349">
        <v>42492</v>
      </c>
      <c r="B89" s="240" t="s">
        <v>2444</v>
      </c>
      <c r="C89" s="240" t="s">
        <v>624</v>
      </c>
      <c r="D89" s="240" t="s">
        <v>778</v>
      </c>
      <c r="F89" s="240">
        <v>75017</v>
      </c>
      <c r="G89" s="240" t="s">
        <v>61</v>
      </c>
      <c r="H89" s="240" t="s">
        <v>779</v>
      </c>
      <c r="J89" s="241">
        <v>159.39999685287475</v>
      </c>
      <c r="M89" s="240" t="s">
        <v>378</v>
      </c>
      <c r="N89" s="244" t="s">
        <v>2445</v>
      </c>
      <c r="O89" s="350">
        <v>42500</v>
      </c>
      <c r="V89" s="267" t="s">
        <v>2446</v>
      </c>
    </row>
    <row r="90" spans="1:22" ht="29">
      <c r="A90" s="349">
        <v>42492</v>
      </c>
      <c r="B90" s="240" t="s">
        <v>2447</v>
      </c>
      <c r="C90" s="240" t="s">
        <v>498</v>
      </c>
      <c r="D90" s="240" t="s">
        <v>780</v>
      </c>
      <c r="F90" s="240">
        <v>75017</v>
      </c>
      <c r="G90" s="240" t="s">
        <v>61</v>
      </c>
      <c r="H90" s="240" t="s">
        <v>781</v>
      </c>
      <c r="J90" s="241">
        <v>86.479998207092294</v>
      </c>
      <c r="M90" s="240" t="s">
        <v>378</v>
      </c>
      <c r="N90" s="244" t="s">
        <v>2448</v>
      </c>
      <c r="O90" s="350">
        <v>42500</v>
      </c>
      <c r="V90" s="267" t="s">
        <v>2449</v>
      </c>
    </row>
    <row r="91" spans="1:22" ht="29">
      <c r="A91" s="349">
        <v>42492</v>
      </c>
      <c r="B91" s="240" t="s">
        <v>2450</v>
      </c>
      <c r="C91" s="240" t="s">
        <v>499</v>
      </c>
      <c r="D91" s="240" t="s">
        <v>782</v>
      </c>
      <c r="F91" s="240">
        <v>75017</v>
      </c>
      <c r="G91" s="240" t="s">
        <v>61</v>
      </c>
      <c r="H91" s="240" t="s">
        <v>783</v>
      </c>
      <c r="J91" s="241">
        <v>125.11999740600587</v>
      </c>
      <c r="M91" s="240" t="s">
        <v>378</v>
      </c>
      <c r="N91" s="244" t="s">
        <v>2451</v>
      </c>
      <c r="O91" s="350">
        <v>42500</v>
      </c>
      <c r="V91" s="267" t="s">
        <v>2452</v>
      </c>
    </row>
    <row r="92" spans="1:22" ht="29">
      <c r="A92" s="349">
        <v>42492</v>
      </c>
      <c r="B92" s="240" t="s">
        <v>2453</v>
      </c>
      <c r="C92" s="240" t="s">
        <v>784</v>
      </c>
      <c r="D92" s="240" t="s">
        <v>785</v>
      </c>
      <c r="F92" s="240">
        <v>75017</v>
      </c>
      <c r="G92" s="240" t="s">
        <v>61</v>
      </c>
      <c r="H92" s="240" t="s">
        <v>786</v>
      </c>
      <c r="J92" s="241">
        <v>695.52</v>
      </c>
      <c r="M92" s="240" t="s">
        <v>378</v>
      </c>
      <c r="N92" s="244" t="s">
        <v>2454</v>
      </c>
      <c r="O92" s="350">
        <v>42500</v>
      </c>
      <c r="V92" s="267" t="s">
        <v>2455</v>
      </c>
    </row>
    <row r="93" spans="1:22" ht="29">
      <c r="A93" s="349">
        <v>42492</v>
      </c>
      <c r="B93" s="240" t="s">
        <v>2456</v>
      </c>
      <c r="C93" s="240" t="s">
        <v>627</v>
      </c>
      <c r="D93" s="240" t="s">
        <v>787</v>
      </c>
      <c r="F93" s="240">
        <v>75017</v>
      </c>
      <c r="G93" s="240" t="s">
        <v>61</v>
      </c>
      <c r="H93" s="240" t="s">
        <v>788</v>
      </c>
      <c r="J93" s="241">
        <v>176.51999643325806</v>
      </c>
      <c r="M93" s="240" t="s">
        <v>378</v>
      </c>
      <c r="N93" s="244" t="s">
        <v>2457</v>
      </c>
      <c r="O93" s="350">
        <v>42500</v>
      </c>
      <c r="V93" s="267" t="s">
        <v>2458</v>
      </c>
    </row>
    <row r="94" spans="1:22" ht="101.5">
      <c r="A94" s="349">
        <v>42492</v>
      </c>
      <c r="B94" s="240" t="s">
        <v>2459</v>
      </c>
      <c r="C94" s="240" t="s">
        <v>1087</v>
      </c>
      <c r="D94" s="240" t="s">
        <v>1084</v>
      </c>
      <c r="F94" s="240">
        <v>75017</v>
      </c>
      <c r="G94" s="240" t="s">
        <v>61</v>
      </c>
      <c r="H94" s="240" t="s">
        <v>1353</v>
      </c>
      <c r="J94" s="241">
        <v>295.75999999999993</v>
      </c>
      <c r="M94" s="240" t="s">
        <v>378</v>
      </c>
      <c r="N94" s="244" t="s">
        <v>2460</v>
      </c>
      <c r="O94" s="350">
        <v>42500</v>
      </c>
      <c r="V94" s="267" t="s">
        <v>2461</v>
      </c>
    </row>
    <row r="95" spans="1:22" ht="87">
      <c r="A95" s="349">
        <v>42492</v>
      </c>
      <c r="B95" s="240" t="s">
        <v>2462</v>
      </c>
      <c r="C95" s="240" t="s">
        <v>790</v>
      </c>
      <c r="D95" s="240" t="s">
        <v>789</v>
      </c>
      <c r="F95" s="240">
        <v>75017</v>
      </c>
      <c r="G95" s="240" t="s">
        <v>61</v>
      </c>
      <c r="J95" s="241">
        <v>1089.4799831867219</v>
      </c>
      <c r="M95" s="240" t="s">
        <v>378</v>
      </c>
      <c r="N95" s="244" t="s">
        <v>2463</v>
      </c>
      <c r="O95" s="350">
        <v>42500</v>
      </c>
      <c r="V95" s="267" t="s">
        <v>2464</v>
      </c>
    </row>
    <row r="96" spans="1:22" ht="58">
      <c r="A96" s="349">
        <v>42492</v>
      </c>
      <c r="B96" s="240" t="s">
        <v>2465</v>
      </c>
      <c r="C96" s="240" t="s">
        <v>769</v>
      </c>
      <c r="D96" s="240" t="s">
        <v>770</v>
      </c>
      <c r="F96" s="240">
        <v>75017</v>
      </c>
      <c r="G96" s="240" t="s">
        <v>61</v>
      </c>
      <c r="H96" s="240" t="s">
        <v>771</v>
      </c>
      <c r="J96" s="241">
        <v>609.91998810768143</v>
      </c>
      <c r="M96" s="240" t="s">
        <v>378</v>
      </c>
      <c r="N96" s="244" t="s">
        <v>2466</v>
      </c>
      <c r="O96" s="350">
        <v>42500</v>
      </c>
      <c r="V96" s="267" t="s">
        <v>2467</v>
      </c>
    </row>
    <row r="97" spans="1:22" ht="29">
      <c r="A97" s="349">
        <v>42492</v>
      </c>
      <c r="B97" s="240" t="s">
        <v>2468</v>
      </c>
      <c r="C97" s="240" t="s">
        <v>495</v>
      </c>
      <c r="D97" s="240" t="s">
        <v>772</v>
      </c>
      <c r="F97" s="240">
        <v>75017</v>
      </c>
      <c r="G97" s="240" t="s">
        <v>61</v>
      </c>
      <c r="H97" s="240" t="s">
        <v>773</v>
      </c>
      <c r="J97" s="241">
        <v>50.03999929428101</v>
      </c>
      <c r="M97" s="240" t="s">
        <v>378</v>
      </c>
      <c r="N97" s="244" t="s">
        <v>2469</v>
      </c>
      <c r="O97" s="350">
        <v>42500</v>
      </c>
      <c r="V97" s="267" t="s">
        <v>2470</v>
      </c>
    </row>
    <row r="98" spans="1:22" ht="29">
      <c r="A98" s="349">
        <v>42492</v>
      </c>
      <c r="B98" s="240" t="s">
        <v>2471</v>
      </c>
      <c r="C98" s="240" t="s">
        <v>496</v>
      </c>
      <c r="D98" s="240" t="s">
        <v>774</v>
      </c>
      <c r="F98" s="240">
        <v>75017</v>
      </c>
      <c r="G98" s="240" t="s">
        <v>61</v>
      </c>
      <c r="H98" s="240" t="s">
        <v>775</v>
      </c>
      <c r="J98" s="241">
        <v>337.63999300003053</v>
      </c>
      <c r="M98" s="240" t="s">
        <v>378</v>
      </c>
      <c r="N98" s="244" t="s">
        <v>2472</v>
      </c>
      <c r="O98" s="350">
        <v>42500</v>
      </c>
      <c r="V98" s="267" t="s">
        <v>2473</v>
      </c>
    </row>
    <row r="99" spans="1:22" ht="29">
      <c r="A99" s="349">
        <v>42492</v>
      </c>
      <c r="B99" s="240" t="s">
        <v>2474</v>
      </c>
      <c r="C99" s="240" t="s">
        <v>497</v>
      </c>
      <c r="D99" s="240" t="s">
        <v>776</v>
      </c>
      <c r="F99" s="240">
        <v>75017</v>
      </c>
      <c r="G99" s="240" t="s">
        <v>61</v>
      </c>
      <c r="H99" s="240" t="s">
        <v>777</v>
      </c>
      <c r="J99" s="241">
        <v>494.95998973846434</v>
      </c>
      <c r="M99" s="240" t="s">
        <v>378</v>
      </c>
      <c r="N99" s="244" t="s">
        <v>2475</v>
      </c>
      <c r="O99" s="350">
        <v>42500</v>
      </c>
      <c r="V99" s="267" t="s">
        <v>2476</v>
      </c>
    </row>
    <row r="100" spans="1:22" ht="87">
      <c r="A100" s="349">
        <v>42493</v>
      </c>
      <c r="B100" s="240" t="s">
        <v>2500</v>
      </c>
      <c r="C100" s="240" t="s">
        <v>1094</v>
      </c>
      <c r="D100" s="240" t="s">
        <v>1093</v>
      </c>
      <c r="F100" s="240">
        <v>75015</v>
      </c>
      <c r="G100" s="240" t="s">
        <v>61</v>
      </c>
      <c r="H100" s="240" t="s">
        <v>1095</v>
      </c>
      <c r="J100" s="241">
        <v>236.10000000000002</v>
      </c>
      <c r="M100" s="240" t="s">
        <v>373</v>
      </c>
      <c r="N100" s="244" t="s">
        <v>2501</v>
      </c>
      <c r="O100" s="350">
        <v>42500</v>
      </c>
      <c r="V100" s="267" t="s">
        <v>2502</v>
      </c>
    </row>
    <row r="101" spans="1:22" ht="87">
      <c r="A101" s="349">
        <v>42493</v>
      </c>
      <c r="B101" s="240" t="s">
        <v>2503</v>
      </c>
      <c r="C101" s="240" t="s">
        <v>1094</v>
      </c>
      <c r="D101" s="240" t="s">
        <v>1093</v>
      </c>
      <c r="F101" s="240">
        <v>75015</v>
      </c>
      <c r="G101" s="240" t="s">
        <v>61</v>
      </c>
      <c r="H101" s="240" t="s">
        <v>1095</v>
      </c>
      <c r="J101" s="241">
        <v>379.03999700546262</v>
      </c>
      <c r="M101" s="240" t="s">
        <v>373</v>
      </c>
      <c r="N101" s="244" t="s">
        <v>2504</v>
      </c>
      <c r="O101" s="350">
        <v>42500</v>
      </c>
      <c r="V101" s="267" t="s">
        <v>2505</v>
      </c>
    </row>
    <row r="102" spans="1:22" ht="72.5">
      <c r="A102" s="349">
        <v>42493</v>
      </c>
      <c r="B102" s="240" t="s">
        <v>2506</v>
      </c>
      <c r="C102" s="240" t="s">
        <v>1091</v>
      </c>
      <c r="D102" s="240" t="s">
        <v>1090</v>
      </c>
      <c r="F102" s="240">
        <v>75015</v>
      </c>
      <c r="G102" s="240" t="s">
        <v>61</v>
      </c>
      <c r="H102" s="240" t="s">
        <v>1092</v>
      </c>
      <c r="J102" s="241">
        <v>599.59999485015862</v>
      </c>
      <c r="M102" s="240" t="s">
        <v>373</v>
      </c>
      <c r="N102" s="244" t="s">
        <v>2507</v>
      </c>
      <c r="O102" s="350">
        <v>42500</v>
      </c>
      <c r="V102" s="267" t="s">
        <v>2508</v>
      </c>
    </row>
    <row r="103" spans="1:22" ht="87">
      <c r="A103" s="349">
        <v>42493</v>
      </c>
      <c r="B103" s="240" t="s">
        <v>2509</v>
      </c>
      <c r="C103" s="240" t="s">
        <v>1096</v>
      </c>
      <c r="D103" s="240" t="s">
        <v>1097</v>
      </c>
      <c r="F103" s="240">
        <v>75015</v>
      </c>
      <c r="G103" s="240" t="s">
        <v>61</v>
      </c>
      <c r="H103" s="240" t="s">
        <v>1098</v>
      </c>
      <c r="J103" s="241">
        <v>214.83000006675721</v>
      </c>
      <c r="M103" s="240" t="s">
        <v>373</v>
      </c>
      <c r="N103" s="244" t="s">
        <v>2559</v>
      </c>
      <c r="O103" s="350">
        <v>42500</v>
      </c>
      <c r="V103" s="267" t="s">
        <v>2510</v>
      </c>
    </row>
    <row r="104" spans="1:22" ht="101.5">
      <c r="A104" s="349">
        <v>42523</v>
      </c>
      <c r="B104" s="240" t="s">
        <v>2613</v>
      </c>
      <c r="C104" s="240" t="s">
        <v>1096</v>
      </c>
      <c r="D104" s="240" t="s">
        <v>1097</v>
      </c>
      <c r="F104" s="240">
        <v>75015</v>
      </c>
      <c r="G104" s="240" t="s">
        <v>61</v>
      </c>
      <c r="H104" s="240" t="s">
        <v>1098</v>
      </c>
      <c r="J104" s="241">
        <v>254.03000164389607</v>
      </c>
      <c r="M104" s="240" t="s">
        <v>373</v>
      </c>
      <c r="N104" s="244" t="s">
        <v>2614</v>
      </c>
      <c r="O104" s="350">
        <v>42531</v>
      </c>
      <c r="V104" s="267" t="s">
        <v>2615</v>
      </c>
    </row>
    <row r="105" spans="1:22" ht="87">
      <c r="A105" s="349">
        <v>42523</v>
      </c>
      <c r="B105" s="240" t="s">
        <v>2616</v>
      </c>
      <c r="C105" s="240" t="s">
        <v>1091</v>
      </c>
      <c r="D105" s="240" t="s">
        <v>1090</v>
      </c>
      <c r="F105" s="240">
        <v>75015</v>
      </c>
      <c r="G105" s="240" t="s">
        <v>61</v>
      </c>
      <c r="H105" s="240" t="s">
        <v>1092</v>
      </c>
      <c r="J105" s="241">
        <v>710.47999272346499</v>
      </c>
      <c r="M105" s="240" t="s">
        <v>373</v>
      </c>
      <c r="N105" s="244" t="s">
        <v>2617</v>
      </c>
      <c r="O105" s="350">
        <v>42531</v>
      </c>
      <c r="V105" s="267" t="s">
        <v>2618</v>
      </c>
    </row>
    <row r="106" spans="1:22" ht="101.5">
      <c r="A106" s="349">
        <v>42523</v>
      </c>
      <c r="B106" s="240" t="s">
        <v>2619</v>
      </c>
      <c r="C106" s="240" t="s">
        <v>1094</v>
      </c>
      <c r="D106" s="240" t="s">
        <v>1093</v>
      </c>
      <c r="F106" s="240">
        <v>75015</v>
      </c>
      <c r="G106" s="240" t="s">
        <v>61</v>
      </c>
      <c r="H106" s="240" t="s">
        <v>1095</v>
      </c>
      <c r="J106" s="241">
        <v>273.59999784469608</v>
      </c>
      <c r="M106" s="240" t="s">
        <v>373</v>
      </c>
      <c r="N106" s="244" t="s">
        <v>2620</v>
      </c>
      <c r="O106" s="350">
        <v>42531</v>
      </c>
      <c r="V106" s="267" t="s">
        <v>2621</v>
      </c>
    </row>
    <row r="107" spans="1:22" ht="43.5">
      <c r="A107" s="349">
        <v>42523</v>
      </c>
      <c r="B107" s="240" t="s">
        <v>2622</v>
      </c>
      <c r="C107" s="240" t="s">
        <v>1099</v>
      </c>
      <c r="D107" s="240" t="s">
        <v>1100</v>
      </c>
      <c r="F107" s="240">
        <v>75015</v>
      </c>
      <c r="G107" s="240" t="s">
        <v>61</v>
      </c>
      <c r="H107" s="240" t="s">
        <v>1101</v>
      </c>
      <c r="J107" s="241">
        <v>170.55999383926388</v>
      </c>
      <c r="M107" s="240" t="s">
        <v>373</v>
      </c>
      <c r="N107" s="244" t="s">
        <v>2623</v>
      </c>
      <c r="O107" s="350">
        <v>42531</v>
      </c>
      <c r="V107" s="267" t="s">
        <v>2624</v>
      </c>
    </row>
    <row r="108" spans="1:22" ht="87">
      <c r="A108" s="349">
        <v>42523</v>
      </c>
      <c r="B108" s="240" t="s">
        <v>2625</v>
      </c>
      <c r="C108" s="240" t="s">
        <v>790</v>
      </c>
      <c r="D108" s="240" t="s">
        <v>789</v>
      </c>
      <c r="F108" s="240">
        <v>75017</v>
      </c>
      <c r="G108" s="240" t="s">
        <v>61</v>
      </c>
      <c r="J108" s="241">
        <v>1181.0399819850923</v>
      </c>
      <c r="M108" s="240" t="s">
        <v>378</v>
      </c>
      <c r="N108" s="244" t="s">
        <v>2626</v>
      </c>
      <c r="O108" s="350">
        <v>42531</v>
      </c>
      <c r="V108" s="267" t="s">
        <v>2627</v>
      </c>
    </row>
    <row r="109" spans="1:22" ht="58">
      <c r="A109" s="349">
        <v>42523</v>
      </c>
      <c r="B109" s="240" t="s">
        <v>2628</v>
      </c>
      <c r="C109" s="240" t="s">
        <v>769</v>
      </c>
      <c r="D109" s="240" t="s">
        <v>770</v>
      </c>
      <c r="F109" s="240">
        <v>75017</v>
      </c>
      <c r="G109" s="240" t="s">
        <v>61</v>
      </c>
      <c r="H109" s="240" t="s">
        <v>771</v>
      </c>
      <c r="J109" s="241">
        <v>631.39998779296889</v>
      </c>
      <c r="M109" s="240" t="s">
        <v>378</v>
      </c>
      <c r="N109" s="244" t="s">
        <v>2629</v>
      </c>
      <c r="O109" s="350">
        <v>42531</v>
      </c>
      <c r="V109" s="267" t="s">
        <v>2630</v>
      </c>
    </row>
    <row r="110" spans="1:22" ht="29">
      <c r="A110" s="349">
        <v>42523</v>
      </c>
      <c r="B110" s="240" t="s">
        <v>2631</v>
      </c>
      <c r="C110" s="240" t="s">
        <v>495</v>
      </c>
      <c r="D110" s="240" t="s">
        <v>772</v>
      </c>
      <c r="F110" s="240">
        <v>75017</v>
      </c>
      <c r="G110" s="240" t="s">
        <v>61</v>
      </c>
      <c r="H110" s="240" t="s">
        <v>773</v>
      </c>
      <c r="J110" s="241">
        <v>52.079999542236322</v>
      </c>
      <c r="M110" s="240" t="s">
        <v>378</v>
      </c>
      <c r="N110" s="244" t="s">
        <v>2632</v>
      </c>
      <c r="O110" s="350">
        <v>42531</v>
      </c>
      <c r="V110" s="267" t="s">
        <v>2633</v>
      </c>
    </row>
    <row r="111" spans="1:22" ht="29">
      <c r="A111" s="349">
        <v>42523</v>
      </c>
      <c r="B111" s="240" t="s">
        <v>2634</v>
      </c>
      <c r="C111" s="240" t="s">
        <v>496</v>
      </c>
      <c r="D111" s="240" t="s">
        <v>774</v>
      </c>
      <c r="F111" s="240">
        <v>75017</v>
      </c>
      <c r="G111" s="240" t="s">
        <v>61</v>
      </c>
      <c r="H111" s="240" t="s">
        <v>775</v>
      </c>
      <c r="J111" s="241">
        <v>377.19999217987061</v>
      </c>
      <c r="M111" s="240" t="s">
        <v>378</v>
      </c>
      <c r="N111" s="244" t="s">
        <v>2635</v>
      </c>
      <c r="O111" s="350">
        <v>42531</v>
      </c>
      <c r="V111" s="267" t="s">
        <v>2636</v>
      </c>
    </row>
    <row r="112" spans="1:22" ht="29">
      <c r="A112" s="349">
        <v>42523</v>
      </c>
      <c r="B112" s="240" t="s">
        <v>2637</v>
      </c>
      <c r="C112" s="240" t="s">
        <v>497</v>
      </c>
      <c r="D112" s="240" t="s">
        <v>776</v>
      </c>
      <c r="F112" s="240">
        <v>75017</v>
      </c>
      <c r="G112" s="240" t="s">
        <v>61</v>
      </c>
      <c r="H112" s="240" t="s">
        <v>777</v>
      </c>
      <c r="J112" s="241">
        <v>329.35999317169188</v>
      </c>
      <c r="M112" s="240" t="s">
        <v>378</v>
      </c>
      <c r="N112" s="244" t="s">
        <v>2638</v>
      </c>
      <c r="O112" s="350">
        <v>42531</v>
      </c>
      <c r="V112" s="267" t="s">
        <v>2639</v>
      </c>
    </row>
    <row r="113" spans="1:22" ht="29">
      <c r="A113" s="349">
        <v>42523</v>
      </c>
      <c r="B113" s="240" t="s">
        <v>2640</v>
      </c>
      <c r="C113" s="240" t="s">
        <v>624</v>
      </c>
      <c r="D113" s="240" t="s">
        <v>778</v>
      </c>
      <c r="F113" s="240">
        <v>75017</v>
      </c>
      <c r="G113" s="240" t="s">
        <v>61</v>
      </c>
      <c r="H113" s="240" t="s">
        <v>779</v>
      </c>
      <c r="J113" s="241">
        <v>132.47999999999999</v>
      </c>
      <c r="M113" s="240" t="s">
        <v>378</v>
      </c>
      <c r="N113" s="244" t="s">
        <v>2641</v>
      </c>
      <c r="O113" s="350">
        <v>42531</v>
      </c>
      <c r="V113" s="267" t="s">
        <v>2642</v>
      </c>
    </row>
    <row r="114" spans="1:22" ht="43.5">
      <c r="A114" s="349">
        <v>42523</v>
      </c>
      <c r="B114" s="240" t="s">
        <v>2643</v>
      </c>
      <c r="C114" s="240" t="s">
        <v>498</v>
      </c>
      <c r="D114" s="240" t="s">
        <v>780</v>
      </c>
      <c r="F114" s="240">
        <v>75017</v>
      </c>
      <c r="G114" s="240" t="s">
        <v>61</v>
      </c>
      <c r="H114" s="240" t="s">
        <v>781</v>
      </c>
      <c r="J114" s="241">
        <v>89.4</v>
      </c>
      <c r="M114" s="240" t="s">
        <v>378</v>
      </c>
      <c r="N114" s="244" t="s">
        <v>2644</v>
      </c>
      <c r="O114" s="350">
        <v>42531</v>
      </c>
      <c r="V114" s="267" t="s">
        <v>2645</v>
      </c>
    </row>
    <row r="115" spans="1:22" ht="29">
      <c r="A115" s="349">
        <v>42523</v>
      </c>
      <c r="B115" s="240" t="s">
        <v>2646</v>
      </c>
      <c r="C115" s="240" t="s">
        <v>499</v>
      </c>
      <c r="D115" s="240" t="s">
        <v>782</v>
      </c>
      <c r="F115" s="240">
        <v>75017</v>
      </c>
      <c r="G115" s="240" t="s">
        <v>61</v>
      </c>
      <c r="H115" s="240" t="s">
        <v>783</v>
      </c>
      <c r="J115" s="241">
        <v>136.15999717712401</v>
      </c>
      <c r="M115" s="240" t="s">
        <v>378</v>
      </c>
      <c r="N115" s="244" t="s">
        <v>2647</v>
      </c>
      <c r="O115" s="350">
        <v>42531</v>
      </c>
      <c r="V115" s="267" t="s">
        <v>2648</v>
      </c>
    </row>
    <row r="116" spans="1:22" ht="29">
      <c r="A116" s="349">
        <v>42523</v>
      </c>
      <c r="B116" s="240" t="s">
        <v>2649</v>
      </c>
      <c r="C116" s="240" t="s">
        <v>784</v>
      </c>
      <c r="D116" s="240" t="s">
        <v>785</v>
      </c>
      <c r="F116" s="240">
        <v>75017</v>
      </c>
      <c r="G116" s="240" t="s">
        <v>61</v>
      </c>
      <c r="H116" s="240" t="s">
        <v>786</v>
      </c>
      <c r="J116" s="241">
        <v>824.31998291015623</v>
      </c>
      <c r="M116" s="240" t="s">
        <v>378</v>
      </c>
      <c r="N116" s="244" t="s">
        <v>2650</v>
      </c>
      <c r="O116" s="350">
        <v>42531</v>
      </c>
      <c r="V116" s="267" t="s">
        <v>2651</v>
      </c>
    </row>
    <row r="117" spans="1:22" ht="29">
      <c r="A117" s="349">
        <v>42523</v>
      </c>
      <c r="B117" s="240" t="s">
        <v>2652</v>
      </c>
      <c r="C117" s="240" t="s">
        <v>627</v>
      </c>
      <c r="D117" s="240" t="s">
        <v>787</v>
      </c>
      <c r="F117" s="240">
        <v>75017</v>
      </c>
      <c r="G117" s="240" t="s">
        <v>61</v>
      </c>
      <c r="H117" s="240" t="s">
        <v>788</v>
      </c>
      <c r="J117" s="241">
        <v>103.03999786376953</v>
      </c>
      <c r="M117" s="240" t="s">
        <v>378</v>
      </c>
      <c r="N117" s="244" t="s">
        <v>2653</v>
      </c>
      <c r="O117" s="350">
        <v>42531</v>
      </c>
      <c r="V117" s="267" t="s">
        <v>2654</v>
      </c>
    </row>
    <row r="118" spans="1:22" ht="58">
      <c r="A118" s="349">
        <v>42523</v>
      </c>
      <c r="B118" s="240" t="s">
        <v>2655</v>
      </c>
      <c r="C118" s="240" t="s">
        <v>1087</v>
      </c>
      <c r="D118" s="240" t="s">
        <v>1084</v>
      </c>
      <c r="F118" s="240">
        <v>75017</v>
      </c>
      <c r="G118" s="240" t="s">
        <v>61</v>
      </c>
      <c r="H118" s="240" t="s">
        <v>1353</v>
      </c>
      <c r="J118" s="241">
        <v>185.04000000000002</v>
      </c>
      <c r="M118" s="240" t="s">
        <v>378</v>
      </c>
      <c r="N118" s="244" t="s">
        <v>2656</v>
      </c>
      <c r="O118" s="350">
        <v>42531</v>
      </c>
      <c r="V118" s="267" t="s">
        <v>2657</v>
      </c>
    </row>
    <row r="119" spans="1:22" ht="101.5">
      <c r="A119" s="349">
        <v>42530</v>
      </c>
      <c r="B119" s="240" t="s">
        <v>2688</v>
      </c>
      <c r="C119" s="240" t="s">
        <v>917</v>
      </c>
      <c r="D119" s="240" t="s">
        <v>918</v>
      </c>
      <c r="F119" s="240">
        <v>75017</v>
      </c>
      <c r="G119" s="240" t="s">
        <v>61</v>
      </c>
      <c r="H119" s="240" t="s">
        <v>919</v>
      </c>
      <c r="J119" s="241">
        <v>650.15999746322632</v>
      </c>
      <c r="M119" s="240" t="s">
        <v>378</v>
      </c>
      <c r="N119" s="244" t="s">
        <v>2689</v>
      </c>
      <c r="O119" s="350">
        <v>42541</v>
      </c>
      <c r="V119" s="267" t="s">
        <v>2690</v>
      </c>
    </row>
    <row r="120" spans="1:22" ht="29">
      <c r="A120" s="349">
        <v>42530</v>
      </c>
      <c r="B120" s="240" t="s">
        <v>2691</v>
      </c>
      <c r="C120" s="240" t="s">
        <v>1191</v>
      </c>
      <c r="D120" s="240" t="s">
        <v>1151</v>
      </c>
      <c r="F120" s="240">
        <v>75018</v>
      </c>
      <c r="G120" s="240" t="s">
        <v>61</v>
      </c>
      <c r="J120" s="241">
        <v>140</v>
      </c>
      <c r="M120" s="240" t="s">
        <v>378</v>
      </c>
      <c r="N120" s="244" t="s">
        <v>2692</v>
      </c>
      <c r="O120" s="350">
        <v>42541</v>
      </c>
      <c r="V120" s="267" t="s">
        <v>2693</v>
      </c>
    </row>
    <row r="121" spans="1:22" ht="87">
      <c r="A121" s="349">
        <v>42552</v>
      </c>
      <c r="B121" s="240" t="s">
        <v>2773</v>
      </c>
      <c r="C121" s="240" t="s">
        <v>790</v>
      </c>
      <c r="D121" s="240" t="s">
        <v>789</v>
      </c>
      <c r="F121" s="240">
        <v>75017</v>
      </c>
      <c r="G121" s="240" t="s">
        <v>61</v>
      </c>
      <c r="J121" s="241">
        <v>1055.3199863910672</v>
      </c>
      <c r="M121" s="240" t="s">
        <v>378</v>
      </c>
      <c r="N121" s="244" t="s">
        <v>2774</v>
      </c>
      <c r="O121" s="350">
        <v>42561</v>
      </c>
      <c r="V121" s="267" t="s">
        <v>2775</v>
      </c>
    </row>
    <row r="122" spans="1:22" ht="72.5">
      <c r="A122" s="349">
        <v>42552</v>
      </c>
      <c r="B122" s="240" t="s">
        <v>2776</v>
      </c>
      <c r="C122" s="240" t="s">
        <v>769</v>
      </c>
      <c r="D122" s="240" t="s">
        <v>770</v>
      </c>
      <c r="F122" s="240">
        <v>75017</v>
      </c>
      <c r="G122" s="240" t="s">
        <v>61</v>
      </c>
      <c r="H122" s="240" t="s">
        <v>771</v>
      </c>
      <c r="J122" s="241">
        <v>603.359988603592</v>
      </c>
      <c r="M122" s="240" t="s">
        <v>378</v>
      </c>
      <c r="N122" s="244" t="s">
        <v>2777</v>
      </c>
      <c r="O122" s="350">
        <v>42561</v>
      </c>
      <c r="V122" s="267" t="s">
        <v>2778</v>
      </c>
    </row>
    <row r="123" spans="1:22" ht="29">
      <c r="A123" s="349">
        <v>42552</v>
      </c>
      <c r="B123" s="240" t="s">
        <v>2779</v>
      </c>
      <c r="C123" s="240" t="s">
        <v>495</v>
      </c>
      <c r="D123" s="240" t="s">
        <v>772</v>
      </c>
      <c r="F123" s="240">
        <v>75017</v>
      </c>
      <c r="G123" s="240" t="s">
        <v>61</v>
      </c>
      <c r="H123" s="240" t="s">
        <v>773</v>
      </c>
      <c r="J123" s="241">
        <v>48.839999485015873</v>
      </c>
      <c r="M123" s="240" t="s">
        <v>378</v>
      </c>
      <c r="N123" s="244" t="s">
        <v>2780</v>
      </c>
      <c r="O123" s="350">
        <v>42561</v>
      </c>
      <c r="V123" s="267" t="s">
        <v>2781</v>
      </c>
    </row>
    <row r="124" spans="1:22" ht="29">
      <c r="A124" s="349">
        <v>42552</v>
      </c>
      <c r="B124" s="240" t="s">
        <v>2782</v>
      </c>
      <c r="C124" s="240" t="s">
        <v>496</v>
      </c>
      <c r="D124" s="240" t="s">
        <v>774</v>
      </c>
      <c r="F124" s="240">
        <v>75017</v>
      </c>
      <c r="G124" s="240" t="s">
        <v>61</v>
      </c>
      <c r="H124" s="240" t="s">
        <v>775</v>
      </c>
      <c r="J124" s="241">
        <v>392.83999185562135</v>
      </c>
      <c r="M124" s="240" t="s">
        <v>378</v>
      </c>
      <c r="N124" s="244" t="s">
        <v>2783</v>
      </c>
      <c r="O124" s="350">
        <v>42561</v>
      </c>
      <c r="V124" s="267" t="s">
        <v>2784</v>
      </c>
    </row>
    <row r="125" spans="1:22" ht="58">
      <c r="A125" s="349">
        <v>42552</v>
      </c>
      <c r="B125" s="240" t="s">
        <v>2785</v>
      </c>
      <c r="C125" s="240" t="s">
        <v>624</v>
      </c>
      <c r="D125" s="240" t="s">
        <v>778</v>
      </c>
      <c r="F125" s="240">
        <v>75017</v>
      </c>
      <c r="G125" s="240" t="s">
        <v>61</v>
      </c>
      <c r="H125" s="240" t="s">
        <v>779</v>
      </c>
      <c r="J125" s="241">
        <v>191.91999999999996</v>
      </c>
      <c r="M125" s="240" t="s">
        <v>378</v>
      </c>
      <c r="N125" s="244" t="s">
        <v>2787</v>
      </c>
      <c r="O125" s="350">
        <v>42561</v>
      </c>
      <c r="V125" s="267" t="s">
        <v>2786</v>
      </c>
    </row>
    <row r="126" spans="1:22" ht="58">
      <c r="A126" s="349">
        <v>42552</v>
      </c>
      <c r="B126" s="240" t="s">
        <v>2788</v>
      </c>
      <c r="C126" s="240" t="s">
        <v>498</v>
      </c>
      <c r="D126" s="240" t="s">
        <v>780</v>
      </c>
      <c r="F126" s="240">
        <v>75017</v>
      </c>
      <c r="G126" s="240" t="s">
        <v>61</v>
      </c>
      <c r="H126" s="240" t="s">
        <v>781</v>
      </c>
      <c r="J126" s="241">
        <v>82.279999999999987</v>
      </c>
      <c r="M126" s="240" t="s">
        <v>378</v>
      </c>
      <c r="N126" s="244" t="s">
        <v>2789</v>
      </c>
      <c r="O126" s="350">
        <v>42561</v>
      </c>
      <c r="V126" s="267" t="s">
        <v>2790</v>
      </c>
    </row>
    <row r="127" spans="1:22" ht="29">
      <c r="A127" s="349">
        <v>42552</v>
      </c>
      <c r="B127" s="240" t="s">
        <v>2791</v>
      </c>
      <c r="C127" s="240" t="s">
        <v>499</v>
      </c>
      <c r="D127" s="240" t="s">
        <v>782</v>
      </c>
      <c r="F127" s="240">
        <v>75017</v>
      </c>
      <c r="G127" s="240" t="s">
        <v>61</v>
      </c>
      <c r="H127" s="240" t="s">
        <v>783</v>
      </c>
      <c r="J127" s="241">
        <v>149.95999689102175</v>
      </c>
      <c r="M127" s="240" t="s">
        <v>378</v>
      </c>
      <c r="N127" s="244" t="s">
        <v>2792</v>
      </c>
      <c r="O127" s="350">
        <v>42561</v>
      </c>
      <c r="V127" s="267" t="s">
        <v>2793</v>
      </c>
    </row>
    <row r="128" spans="1:22" ht="43.5">
      <c r="A128" s="349">
        <v>42552</v>
      </c>
      <c r="B128" s="240" t="s">
        <v>2794</v>
      </c>
      <c r="C128" s="240" t="s">
        <v>784</v>
      </c>
      <c r="D128" s="240" t="s">
        <v>785</v>
      </c>
      <c r="F128" s="240">
        <v>75017</v>
      </c>
      <c r="G128" s="240" t="s">
        <v>61</v>
      </c>
      <c r="H128" s="240" t="s">
        <v>786</v>
      </c>
      <c r="J128" s="241">
        <v>875.67998237609856</v>
      </c>
      <c r="M128" s="240" t="s">
        <v>378</v>
      </c>
      <c r="N128" s="244" t="s">
        <v>2795</v>
      </c>
      <c r="O128" s="350">
        <v>42561</v>
      </c>
      <c r="V128" s="267" t="s">
        <v>2796</v>
      </c>
    </row>
    <row r="129" spans="1:22" ht="29">
      <c r="A129" s="349">
        <v>42552</v>
      </c>
      <c r="B129" s="240" t="s">
        <v>2797</v>
      </c>
      <c r="C129" s="240" t="s">
        <v>627</v>
      </c>
      <c r="D129" s="240" t="s">
        <v>787</v>
      </c>
      <c r="F129" s="240">
        <v>75017</v>
      </c>
      <c r="G129" s="240" t="s">
        <v>61</v>
      </c>
      <c r="H129" s="240" t="s">
        <v>788</v>
      </c>
      <c r="J129" s="241">
        <v>165.59999656677246</v>
      </c>
      <c r="M129" s="240" t="s">
        <v>378</v>
      </c>
      <c r="N129" s="244" t="s">
        <v>2097</v>
      </c>
      <c r="O129" s="350">
        <v>42561</v>
      </c>
      <c r="V129" s="267" t="s">
        <v>2798</v>
      </c>
    </row>
    <row r="130" spans="1:22" ht="72.5">
      <c r="A130" s="349">
        <v>42552</v>
      </c>
      <c r="B130" s="240" t="s">
        <v>2799</v>
      </c>
      <c r="C130" s="240" t="s">
        <v>1087</v>
      </c>
      <c r="D130" s="240" t="s">
        <v>1084</v>
      </c>
      <c r="F130" s="240">
        <v>75017</v>
      </c>
      <c r="G130" s="240" t="s">
        <v>61</v>
      </c>
      <c r="H130" s="240" t="s">
        <v>1353</v>
      </c>
      <c r="J130" s="241">
        <v>210.08</v>
      </c>
      <c r="M130" s="240" t="s">
        <v>378</v>
      </c>
      <c r="N130" s="244" t="s">
        <v>2800</v>
      </c>
      <c r="O130" s="350">
        <v>42561</v>
      </c>
      <c r="V130" s="267" t="s">
        <v>2801</v>
      </c>
    </row>
    <row r="131" spans="1:22" ht="43.5">
      <c r="A131" s="349">
        <v>42552</v>
      </c>
      <c r="B131" s="240" t="s">
        <v>2802</v>
      </c>
      <c r="C131" s="240" t="s">
        <v>1094</v>
      </c>
      <c r="D131" s="240" t="s">
        <v>1093</v>
      </c>
      <c r="F131" s="240">
        <v>75015</v>
      </c>
      <c r="G131" s="240" t="s">
        <v>61</v>
      </c>
      <c r="H131" s="240" t="s">
        <v>1095</v>
      </c>
      <c r="J131" s="241">
        <v>309.43999767303467</v>
      </c>
      <c r="M131" s="240" t="s">
        <v>373</v>
      </c>
      <c r="N131" s="244" t="s">
        <v>2803</v>
      </c>
      <c r="O131" s="350">
        <v>42561</v>
      </c>
      <c r="V131" s="267" t="s">
        <v>2804</v>
      </c>
    </row>
    <row r="132" spans="1:22" ht="43.5">
      <c r="A132" s="349">
        <v>42552</v>
      </c>
      <c r="B132" s="240" t="s">
        <v>2805</v>
      </c>
      <c r="C132" s="240" t="s">
        <v>1099</v>
      </c>
      <c r="D132" s="240" t="s">
        <v>1100</v>
      </c>
      <c r="F132" s="240">
        <v>75015</v>
      </c>
      <c r="G132" s="240" t="s">
        <v>61</v>
      </c>
      <c r="H132" s="240" t="s">
        <v>1101</v>
      </c>
      <c r="J132" s="241">
        <v>183.51999349594121</v>
      </c>
      <c r="M132" s="240" t="s">
        <v>373</v>
      </c>
      <c r="N132" s="244" t="s">
        <v>2806</v>
      </c>
      <c r="O132" s="350">
        <v>42561</v>
      </c>
      <c r="V132" s="267" t="s">
        <v>2807</v>
      </c>
    </row>
    <row r="133" spans="1:22" ht="101.5">
      <c r="A133" s="349">
        <v>42552</v>
      </c>
      <c r="B133" s="240" t="s">
        <v>2808</v>
      </c>
      <c r="C133" s="240" t="s">
        <v>1096</v>
      </c>
      <c r="D133" s="240" t="s">
        <v>1097</v>
      </c>
      <c r="F133" s="240">
        <v>75015</v>
      </c>
      <c r="G133" s="240" t="s">
        <v>61</v>
      </c>
      <c r="H133" s="240" t="s">
        <v>1098</v>
      </c>
      <c r="J133" s="241">
        <v>331.44000215530394</v>
      </c>
      <c r="M133" s="240" t="s">
        <v>373</v>
      </c>
      <c r="N133" s="244" t="s">
        <v>2809</v>
      </c>
      <c r="O133" s="350">
        <v>42561</v>
      </c>
      <c r="V133" s="267" t="s">
        <v>2810</v>
      </c>
    </row>
    <row r="134" spans="1:22" ht="72.5">
      <c r="A134" s="349">
        <v>42552</v>
      </c>
      <c r="B134" s="240" t="s">
        <v>2811</v>
      </c>
      <c r="C134" s="240" t="s">
        <v>1091</v>
      </c>
      <c r="F134" s="240">
        <v>75015</v>
      </c>
      <c r="G134" s="240" t="s">
        <v>61</v>
      </c>
      <c r="H134" s="240" t="s">
        <v>1092</v>
      </c>
      <c r="J134" s="241">
        <v>663.77499215602882</v>
      </c>
      <c r="M134" s="240" t="s">
        <v>373</v>
      </c>
      <c r="N134" s="244" t="s">
        <v>2812</v>
      </c>
      <c r="O134" s="350">
        <v>42561</v>
      </c>
      <c r="V134" s="267" t="s">
        <v>2813</v>
      </c>
    </row>
    <row r="135" spans="1:22" ht="101.5">
      <c r="A135" s="349">
        <v>42580</v>
      </c>
      <c r="B135" s="240" t="s">
        <v>2900</v>
      </c>
      <c r="C135" s="240" t="s">
        <v>917</v>
      </c>
      <c r="D135" s="240" t="s">
        <v>918</v>
      </c>
      <c r="F135" s="240">
        <v>75017</v>
      </c>
      <c r="G135" s="240" t="s">
        <v>61</v>
      </c>
      <c r="H135" s="240" t="s">
        <v>919</v>
      </c>
      <c r="J135" s="241">
        <v>643.79999999999995</v>
      </c>
      <c r="M135" s="240" t="s">
        <v>378</v>
      </c>
      <c r="N135" s="244" t="s">
        <v>2902</v>
      </c>
      <c r="O135" s="350">
        <v>42592</v>
      </c>
      <c r="V135" s="267" t="s">
        <v>2901</v>
      </c>
    </row>
    <row r="136" spans="1:22" ht="87">
      <c r="A136" s="349">
        <v>42583</v>
      </c>
      <c r="B136" s="240" t="s">
        <v>2903</v>
      </c>
      <c r="C136" s="240" t="s">
        <v>790</v>
      </c>
      <c r="D136" s="240" t="s">
        <v>789</v>
      </c>
      <c r="F136" s="240">
        <v>75017</v>
      </c>
      <c r="G136" s="240" t="s">
        <v>61</v>
      </c>
      <c r="J136" s="241">
        <v>1072.7599846363066</v>
      </c>
      <c r="M136" s="240" t="s">
        <v>378</v>
      </c>
      <c r="N136" s="244" t="s">
        <v>2904</v>
      </c>
      <c r="O136" s="350">
        <v>42592</v>
      </c>
      <c r="V136" s="267" t="s">
        <v>2905</v>
      </c>
    </row>
    <row r="137" spans="1:22" ht="87">
      <c r="A137" s="349">
        <v>42583</v>
      </c>
      <c r="B137" s="240" t="s">
        <v>2906</v>
      </c>
      <c r="C137" s="240" t="s">
        <v>769</v>
      </c>
      <c r="D137" s="240" t="s">
        <v>770</v>
      </c>
      <c r="F137" s="240">
        <v>75017</v>
      </c>
      <c r="G137" s="240" t="s">
        <v>61</v>
      </c>
      <c r="H137" s="240" t="s">
        <v>771</v>
      </c>
      <c r="J137" s="241">
        <v>691.71998734474187</v>
      </c>
      <c r="M137" s="240" t="s">
        <v>378</v>
      </c>
      <c r="N137" s="244" t="s">
        <v>2907</v>
      </c>
      <c r="O137" s="350">
        <v>42592</v>
      </c>
      <c r="V137" s="267" t="s">
        <v>2908</v>
      </c>
    </row>
    <row r="138" spans="1:22" ht="29">
      <c r="A138" s="349">
        <v>42583</v>
      </c>
      <c r="B138" s="240" t="s">
        <v>2909</v>
      </c>
      <c r="C138" s="240" t="s">
        <v>495</v>
      </c>
      <c r="D138" s="240" t="s">
        <v>772</v>
      </c>
      <c r="F138" s="240">
        <v>75017</v>
      </c>
      <c r="G138" s="240" t="s">
        <v>61</v>
      </c>
      <c r="H138" s="240" t="s">
        <v>773</v>
      </c>
      <c r="J138" s="241">
        <v>33.199999809265137</v>
      </c>
      <c r="M138" s="240" t="s">
        <v>378</v>
      </c>
      <c r="N138" s="244" t="s">
        <v>2910</v>
      </c>
      <c r="O138" s="350">
        <v>42592</v>
      </c>
      <c r="V138" s="267" t="s">
        <v>2911</v>
      </c>
    </row>
    <row r="139" spans="1:22" ht="29">
      <c r="A139" s="349">
        <v>42583</v>
      </c>
      <c r="B139" s="240" t="s">
        <v>2912</v>
      </c>
      <c r="C139" s="240" t="s">
        <v>496</v>
      </c>
      <c r="D139" s="240" t="s">
        <v>774</v>
      </c>
      <c r="F139" s="240">
        <v>75017</v>
      </c>
      <c r="G139" s="240" t="s">
        <v>61</v>
      </c>
      <c r="H139" s="240" t="s">
        <v>775</v>
      </c>
      <c r="J139" s="241">
        <v>429.63999109268184</v>
      </c>
      <c r="M139" s="240" t="s">
        <v>378</v>
      </c>
      <c r="N139" s="244" t="s">
        <v>2913</v>
      </c>
      <c r="O139" s="350">
        <v>42592</v>
      </c>
      <c r="V139" s="267" t="s">
        <v>2914</v>
      </c>
    </row>
    <row r="140" spans="1:22" ht="29">
      <c r="A140" s="349">
        <v>42583</v>
      </c>
      <c r="B140" s="240" t="s">
        <v>2915</v>
      </c>
      <c r="C140" s="240" t="s">
        <v>624</v>
      </c>
      <c r="D140" s="240" t="s">
        <v>778</v>
      </c>
      <c r="F140" s="240">
        <v>75017</v>
      </c>
      <c r="G140" s="240" t="s">
        <v>61</v>
      </c>
      <c r="H140" s="240" t="s">
        <v>779</v>
      </c>
      <c r="J140" s="241">
        <v>141.19999999999999</v>
      </c>
      <c r="M140" s="240" t="s">
        <v>378</v>
      </c>
      <c r="N140" s="244" t="s">
        <v>2916</v>
      </c>
      <c r="O140" s="350">
        <v>42592</v>
      </c>
      <c r="V140" s="267" t="s">
        <v>2917</v>
      </c>
    </row>
    <row r="141" spans="1:22" ht="29">
      <c r="A141" s="349">
        <v>42583</v>
      </c>
      <c r="B141" s="240" t="s">
        <v>2918</v>
      </c>
      <c r="C141" s="240" t="s">
        <v>498</v>
      </c>
      <c r="D141" s="240" t="s">
        <v>780</v>
      </c>
      <c r="F141" s="240">
        <v>75017</v>
      </c>
      <c r="G141" s="240" t="s">
        <v>61</v>
      </c>
      <c r="H141" s="240" t="s">
        <v>781</v>
      </c>
      <c r="J141" s="241">
        <v>69.559999999999988</v>
      </c>
      <c r="M141" s="240" t="s">
        <v>378</v>
      </c>
      <c r="N141" s="244" t="s">
        <v>2919</v>
      </c>
      <c r="O141" s="350">
        <v>42592</v>
      </c>
      <c r="V141" s="267" t="s">
        <v>2920</v>
      </c>
    </row>
    <row r="142" spans="1:22" ht="29">
      <c r="A142" s="349">
        <v>42583</v>
      </c>
      <c r="B142" s="240" t="s">
        <v>2921</v>
      </c>
      <c r="C142" s="240" t="s">
        <v>499</v>
      </c>
      <c r="D142" s="240" t="s">
        <v>782</v>
      </c>
      <c r="F142" s="240">
        <v>75017</v>
      </c>
      <c r="G142" s="240" t="s">
        <v>61</v>
      </c>
      <c r="H142" s="240" t="s">
        <v>783</v>
      </c>
      <c r="J142" s="241">
        <v>130.63999729156492</v>
      </c>
      <c r="M142" s="240" t="s">
        <v>378</v>
      </c>
      <c r="N142" s="244" t="s">
        <v>2922</v>
      </c>
      <c r="O142" s="350">
        <v>42592</v>
      </c>
      <c r="V142" s="267" t="s">
        <v>2923</v>
      </c>
    </row>
    <row r="143" spans="1:22" ht="29">
      <c r="A143" s="349">
        <v>42583</v>
      </c>
      <c r="B143" s="240" t="s">
        <v>2924</v>
      </c>
      <c r="C143" s="240" t="s">
        <v>784</v>
      </c>
      <c r="D143" s="240" t="s">
        <v>785</v>
      </c>
      <c r="F143" s="240">
        <v>75017</v>
      </c>
      <c r="G143" s="240" t="s">
        <v>61</v>
      </c>
      <c r="H143" s="240" t="s">
        <v>786</v>
      </c>
      <c r="J143" s="241">
        <v>783.8399837493896</v>
      </c>
      <c r="M143" s="240" t="s">
        <v>378</v>
      </c>
      <c r="N143" s="244" t="s">
        <v>2925</v>
      </c>
      <c r="O143" s="350">
        <v>42592</v>
      </c>
      <c r="V143" s="267" t="s">
        <v>2926</v>
      </c>
    </row>
    <row r="144" spans="1:22" ht="29">
      <c r="A144" s="349">
        <v>42583</v>
      </c>
      <c r="B144" s="240" t="s">
        <v>2927</v>
      </c>
      <c r="C144" s="240" t="s">
        <v>627</v>
      </c>
      <c r="D144" s="240" t="s">
        <v>787</v>
      </c>
      <c r="F144" s="240">
        <v>75017</v>
      </c>
      <c r="G144" s="240" t="s">
        <v>61</v>
      </c>
      <c r="H144" s="240" t="s">
        <v>788</v>
      </c>
      <c r="J144" s="241">
        <v>158.23999671936036</v>
      </c>
      <c r="M144" s="240" t="s">
        <v>378</v>
      </c>
      <c r="N144" s="244" t="s">
        <v>2928</v>
      </c>
      <c r="O144" s="350">
        <v>42592</v>
      </c>
      <c r="V144" s="267" t="s">
        <v>2929</v>
      </c>
    </row>
    <row r="145" spans="1:22" ht="29">
      <c r="A145" s="349">
        <v>42583</v>
      </c>
      <c r="B145" s="240" t="s">
        <v>2930</v>
      </c>
      <c r="C145" s="240" t="s">
        <v>1087</v>
      </c>
      <c r="D145" s="240" t="s">
        <v>1084</v>
      </c>
      <c r="F145" s="240">
        <v>75017</v>
      </c>
      <c r="G145" s="240" t="s">
        <v>61</v>
      </c>
      <c r="H145" s="240" t="s">
        <v>1353</v>
      </c>
      <c r="J145" s="241">
        <v>239.91999713897707</v>
      </c>
      <c r="M145" s="240" t="s">
        <v>378</v>
      </c>
      <c r="N145" s="244" t="s">
        <v>2931</v>
      </c>
      <c r="O145" s="350">
        <v>42592</v>
      </c>
      <c r="V145" s="267" t="s">
        <v>2932</v>
      </c>
    </row>
    <row r="146" spans="1:22" ht="43.5">
      <c r="A146" s="349">
        <v>42584</v>
      </c>
      <c r="B146" s="240" t="s">
        <v>2956</v>
      </c>
      <c r="C146" s="240" t="s">
        <v>2957</v>
      </c>
      <c r="D146" s="240" t="s">
        <v>1149</v>
      </c>
      <c r="F146" s="240">
        <v>75017</v>
      </c>
      <c r="G146" s="240" t="s">
        <v>61</v>
      </c>
      <c r="H146" s="240" t="s">
        <v>1152</v>
      </c>
      <c r="J146" s="241">
        <v>303.68</v>
      </c>
      <c r="M146" s="240" t="s">
        <v>378</v>
      </c>
      <c r="N146" s="244" t="s">
        <v>2958</v>
      </c>
      <c r="O146" s="350">
        <v>42592</v>
      </c>
      <c r="V146" s="267" t="s">
        <v>2959</v>
      </c>
    </row>
    <row r="147" spans="1:22" ht="43.5">
      <c r="A147" s="349">
        <v>42584</v>
      </c>
      <c r="B147" s="240" t="s">
        <v>2960</v>
      </c>
      <c r="C147" s="240" t="s">
        <v>1099</v>
      </c>
      <c r="D147" s="240" t="s">
        <v>1100</v>
      </c>
      <c r="F147" s="240">
        <v>75015</v>
      </c>
      <c r="G147" s="240" t="s">
        <v>61</v>
      </c>
      <c r="H147" s="240" t="s">
        <v>1101</v>
      </c>
      <c r="J147" s="241">
        <v>238.03999252319338</v>
      </c>
      <c r="M147" s="240" t="s">
        <v>373</v>
      </c>
      <c r="N147" s="244" t="s">
        <v>2961</v>
      </c>
      <c r="O147" s="350">
        <v>42592</v>
      </c>
      <c r="V147" s="267" t="s">
        <v>2962</v>
      </c>
    </row>
    <row r="148" spans="1:22" ht="101.5">
      <c r="A148" s="349">
        <v>42584</v>
      </c>
      <c r="B148" s="240" t="s">
        <v>2963</v>
      </c>
      <c r="C148" s="240" t="s">
        <v>1096</v>
      </c>
      <c r="D148" s="240" t="s">
        <v>1097</v>
      </c>
      <c r="F148" s="240">
        <v>75015</v>
      </c>
      <c r="G148" s="240" t="s">
        <v>61</v>
      </c>
      <c r="H148" s="240" t="s">
        <v>1098</v>
      </c>
      <c r="J148" s="241">
        <v>180.35499950766564</v>
      </c>
      <c r="M148" s="240" t="s">
        <v>373</v>
      </c>
      <c r="N148" s="244" t="s">
        <v>2964</v>
      </c>
      <c r="O148" s="350">
        <v>42592</v>
      </c>
      <c r="V148" s="267" t="s">
        <v>2965</v>
      </c>
    </row>
    <row r="149" spans="1:22" ht="87">
      <c r="A149" s="349">
        <v>42584</v>
      </c>
      <c r="B149" s="240" t="s">
        <v>2966</v>
      </c>
      <c r="C149" s="240" t="s">
        <v>1091</v>
      </c>
      <c r="D149" s="240" t="s">
        <v>1090</v>
      </c>
      <c r="F149" s="240">
        <v>75015</v>
      </c>
      <c r="G149" s="240" t="s">
        <v>61</v>
      </c>
      <c r="H149" s="240" t="s">
        <v>1092</v>
      </c>
      <c r="J149" s="241">
        <v>669.83999490737926</v>
      </c>
      <c r="M149" s="240" t="s">
        <v>373</v>
      </c>
      <c r="N149" s="244" t="s">
        <v>2967</v>
      </c>
      <c r="O149" s="350">
        <v>42592</v>
      </c>
      <c r="V149" s="267" t="s">
        <v>2968</v>
      </c>
    </row>
    <row r="150" spans="1:22" ht="43.5">
      <c r="A150" s="349">
        <v>42584</v>
      </c>
      <c r="B150" s="240" t="s">
        <v>2969</v>
      </c>
      <c r="C150" s="240" t="s">
        <v>1094</v>
      </c>
      <c r="D150" s="240" t="s">
        <v>1093</v>
      </c>
      <c r="F150" s="240">
        <v>75015</v>
      </c>
      <c r="G150" s="240" t="s">
        <v>61</v>
      </c>
      <c r="H150" s="240" t="s">
        <v>1095</v>
      </c>
      <c r="J150" s="241">
        <v>89.599998474121094</v>
      </c>
      <c r="M150" s="240" t="s">
        <v>373</v>
      </c>
      <c r="N150" s="244" t="s">
        <v>2970</v>
      </c>
      <c r="O150" s="350">
        <v>42592</v>
      </c>
      <c r="V150" s="267" t="s">
        <v>2971</v>
      </c>
    </row>
    <row r="151" spans="1:22" ht="29">
      <c r="A151" s="349">
        <v>42587</v>
      </c>
      <c r="B151" s="240" t="s">
        <v>2976</v>
      </c>
      <c r="C151" s="240" t="s">
        <v>2957</v>
      </c>
      <c r="D151" s="240" t="s">
        <v>1149</v>
      </c>
      <c r="F151" s="240">
        <v>75017</v>
      </c>
      <c r="G151" s="240" t="s">
        <v>61</v>
      </c>
      <c r="H151" s="240" t="s">
        <v>1152</v>
      </c>
      <c r="J151" s="241">
        <v>183.12</v>
      </c>
      <c r="M151" s="240" t="s">
        <v>378</v>
      </c>
      <c r="N151" s="244" t="s">
        <v>2977</v>
      </c>
      <c r="O151" s="350">
        <v>42592</v>
      </c>
      <c r="V151" s="267" t="s">
        <v>2978</v>
      </c>
    </row>
    <row r="152" spans="1:22" ht="43.5">
      <c r="A152" s="349">
        <v>42612</v>
      </c>
      <c r="B152" s="240" t="s">
        <v>3037</v>
      </c>
      <c r="C152" s="240" t="s">
        <v>3038</v>
      </c>
      <c r="F152" s="240">
        <v>75015</v>
      </c>
      <c r="G152" s="240" t="s">
        <v>61</v>
      </c>
      <c r="J152" s="241">
        <v>491.52</v>
      </c>
      <c r="M152" s="240" t="s">
        <v>373</v>
      </c>
      <c r="N152" s="244" t="s">
        <v>3039</v>
      </c>
      <c r="O152" s="350">
        <v>42623</v>
      </c>
      <c r="V152" s="267" t="s">
        <v>3040</v>
      </c>
    </row>
    <row r="153" spans="1:22" ht="29">
      <c r="A153" s="349">
        <v>42615</v>
      </c>
      <c r="B153" s="240" t="s">
        <v>3069</v>
      </c>
      <c r="C153" s="240" t="s">
        <v>499</v>
      </c>
      <c r="D153" s="240" t="s">
        <v>782</v>
      </c>
      <c r="F153" s="240">
        <v>75017</v>
      </c>
      <c r="G153" s="240" t="s">
        <v>61</v>
      </c>
      <c r="H153" s="240" t="s">
        <v>783</v>
      </c>
      <c r="J153" s="241">
        <v>94.759998035430897</v>
      </c>
      <c r="M153" s="240" t="s">
        <v>378</v>
      </c>
      <c r="N153" s="244" t="s">
        <v>3071</v>
      </c>
      <c r="O153" s="244" t="s">
        <v>3070</v>
      </c>
      <c r="V153" s="267" t="s">
        <v>3072</v>
      </c>
    </row>
    <row r="154" spans="1:22" ht="29">
      <c r="A154" s="349">
        <v>42615</v>
      </c>
      <c r="B154" s="240" t="s">
        <v>3073</v>
      </c>
      <c r="C154" s="240" t="s">
        <v>496</v>
      </c>
      <c r="D154" s="240" t="s">
        <v>774</v>
      </c>
      <c r="F154" s="240">
        <v>75017</v>
      </c>
      <c r="G154" s="240" t="s">
        <v>61</v>
      </c>
      <c r="H154" s="240" t="s">
        <v>775</v>
      </c>
      <c r="J154" s="241">
        <v>249.31999483108524</v>
      </c>
      <c r="M154" s="240" t="s">
        <v>378</v>
      </c>
      <c r="N154" s="244" t="s">
        <v>3074</v>
      </c>
      <c r="O154" s="350">
        <v>42625</v>
      </c>
      <c r="V154" s="267" t="s">
        <v>3075</v>
      </c>
    </row>
    <row r="155" spans="1:22" ht="29">
      <c r="A155" s="349">
        <v>42615</v>
      </c>
      <c r="B155" s="240" t="s">
        <v>3076</v>
      </c>
      <c r="C155" s="240" t="s">
        <v>495</v>
      </c>
      <c r="D155" s="240" t="s">
        <v>772</v>
      </c>
      <c r="F155" s="240">
        <v>75017</v>
      </c>
      <c r="G155" s="240" t="s">
        <v>61</v>
      </c>
      <c r="H155" s="240" t="s">
        <v>773</v>
      </c>
      <c r="J155" s="241">
        <v>11.959999752044679</v>
      </c>
      <c r="M155" s="240" t="s">
        <v>378</v>
      </c>
      <c r="N155" s="244" t="s">
        <v>3077</v>
      </c>
      <c r="O155" s="350">
        <v>42625</v>
      </c>
      <c r="V155" s="267" t="s">
        <v>3078</v>
      </c>
    </row>
    <row r="156" spans="1:22" ht="29">
      <c r="A156" s="349">
        <v>42615</v>
      </c>
      <c r="B156" s="240" t="s">
        <v>3079</v>
      </c>
      <c r="C156" s="240" t="s">
        <v>498</v>
      </c>
      <c r="D156" s="240" t="s">
        <v>780</v>
      </c>
      <c r="F156" s="240">
        <v>75017</v>
      </c>
      <c r="G156" s="240" t="s">
        <v>61</v>
      </c>
      <c r="H156" s="240" t="s">
        <v>781</v>
      </c>
      <c r="J156" s="241">
        <v>20.239999580383301</v>
      </c>
      <c r="M156" s="240" t="s">
        <v>378</v>
      </c>
      <c r="N156" s="244" t="s">
        <v>3080</v>
      </c>
      <c r="O156" s="350">
        <v>42625</v>
      </c>
      <c r="V156" s="267" t="s">
        <v>3081</v>
      </c>
    </row>
    <row r="157" spans="1:22" ht="29">
      <c r="A157" s="349">
        <v>42615</v>
      </c>
      <c r="B157" s="240" t="s">
        <v>3082</v>
      </c>
      <c r="C157" s="240" t="s">
        <v>784</v>
      </c>
      <c r="D157" s="240" t="s">
        <v>785</v>
      </c>
      <c r="F157" s="240">
        <v>75017</v>
      </c>
      <c r="G157" s="240" t="s">
        <v>61</v>
      </c>
      <c r="H157" s="240" t="s">
        <v>786</v>
      </c>
      <c r="J157" s="241">
        <v>603.51998748779295</v>
      </c>
      <c r="M157" s="240" t="s">
        <v>378</v>
      </c>
      <c r="N157" s="244" t="s">
        <v>3083</v>
      </c>
      <c r="O157" s="350">
        <v>42625</v>
      </c>
      <c r="V157" s="267" t="s">
        <v>3084</v>
      </c>
    </row>
    <row r="158" spans="1:22" ht="29">
      <c r="A158" s="349">
        <v>42615</v>
      </c>
      <c r="B158" s="240" t="s">
        <v>3085</v>
      </c>
      <c r="C158" s="240" t="s">
        <v>624</v>
      </c>
      <c r="D158" s="240" t="s">
        <v>778</v>
      </c>
      <c r="F158" s="240">
        <v>75017</v>
      </c>
      <c r="G158" s="240" t="s">
        <v>61</v>
      </c>
      <c r="H158" s="240" t="s">
        <v>779</v>
      </c>
      <c r="J158" s="241">
        <v>15.639999675750733</v>
      </c>
      <c r="M158" s="240" t="s">
        <v>378</v>
      </c>
      <c r="N158" s="244" t="s">
        <v>3086</v>
      </c>
      <c r="O158" s="350">
        <v>42625</v>
      </c>
      <c r="V158" s="267" t="s">
        <v>3087</v>
      </c>
    </row>
    <row r="159" spans="1:22" ht="29">
      <c r="A159" s="349">
        <v>42615</v>
      </c>
      <c r="B159" s="240" t="s">
        <v>3088</v>
      </c>
      <c r="C159" s="240" t="s">
        <v>627</v>
      </c>
      <c r="D159" s="240" t="s">
        <v>787</v>
      </c>
      <c r="F159" s="240">
        <v>75017</v>
      </c>
      <c r="G159" s="240" t="s">
        <v>61</v>
      </c>
      <c r="H159" s="240" t="s">
        <v>788</v>
      </c>
      <c r="J159" s="241">
        <v>55.19999885559082</v>
      </c>
      <c r="M159" s="240" t="s">
        <v>378</v>
      </c>
      <c r="N159" s="244" t="s">
        <v>3089</v>
      </c>
      <c r="O159" s="350">
        <v>42625</v>
      </c>
      <c r="V159" s="267" t="s">
        <v>3090</v>
      </c>
    </row>
    <row r="160" spans="1:22" ht="58">
      <c r="A160" s="349">
        <v>42615</v>
      </c>
      <c r="B160" s="240" t="s">
        <v>3091</v>
      </c>
      <c r="C160" s="240" t="s">
        <v>1087</v>
      </c>
      <c r="D160" s="240" t="s">
        <v>1084</v>
      </c>
      <c r="F160" s="240">
        <v>75017</v>
      </c>
      <c r="G160" s="240" t="s">
        <v>61</v>
      </c>
      <c r="H160" s="240" t="s">
        <v>1353</v>
      </c>
      <c r="J160" s="241">
        <v>103.31999883651731</v>
      </c>
      <c r="M160" s="240" t="s">
        <v>378</v>
      </c>
      <c r="N160" s="244" t="s">
        <v>3092</v>
      </c>
      <c r="O160" s="350">
        <v>42625</v>
      </c>
      <c r="V160" s="267" t="s">
        <v>3093</v>
      </c>
    </row>
    <row r="161" spans="1:22" ht="87">
      <c r="A161" s="349">
        <v>42615</v>
      </c>
      <c r="B161" s="240" t="s">
        <v>3094</v>
      </c>
      <c r="C161" s="240" t="s">
        <v>790</v>
      </c>
      <c r="D161" s="240" t="s">
        <v>789</v>
      </c>
      <c r="F161" s="240">
        <v>75017</v>
      </c>
      <c r="G161" s="240" t="s">
        <v>61</v>
      </c>
      <c r="J161" s="241">
        <v>786.67998909950256</v>
      </c>
      <c r="M161" s="240" t="s">
        <v>378</v>
      </c>
      <c r="N161" s="244" t="s">
        <v>3095</v>
      </c>
      <c r="O161" s="350">
        <v>42625</v>
      </c>
      <c r="V161" s="267" t="s">
        <v>3096</v>
      </c>
    </row>
    <row r="162" spans="1:22" ht="58">
      <c r="A162" s="349">
        <v>42615</v>
      </c>
      <c r="B162" s="240" t="s">
        <v>3097</v>
      </c>
      <c r="C162" s="240" t="s">
        <v>769</v>
      </c>
      <c r="D162" s="240" t="s">
        <v>770</v>
      </c>
      <c r="F162" s="240">
        <v>75017</v>
      </c>
      <c r="G162" s="240" t="s">
        <v>61</v>
      </c>
      <c r="H162" s="240" t="s">
        <v>771</v>
      </c>
      <c r="J162" s="241">
        <v>503.39999094009397</v>
      </c>
      <c r="M162" s="240" t="s">
        <v>378</v>
      </c>
      <c r="N162" s="244" t="s">
        <v>3098</v>
      </c>
      <c r="O162" s="350">
        <v>42625</v>
      </c>
      <c r="V162" s="267" t="s">
        <v>3099</v>
      </c>
    </row>
    <row r="163" spans="1:22" ht="43.5">
      <c r="A163" s="349">
        <v>42615</v>
      </c>
      <c r="B163" s="240" t="s">
        <v>3100</v>
      </c>
      <c r="C163" s="240" t="s">
        <v>3101</v>
      </c>
      <c r="F163" s="240">
        <v>75017</v>
      </c>
      <c r="G163" s="240" t="s">
        <v>61</v>
      </c>
      <c r="J163" s="241">
        <v>362.52000000000004</v>
      </c>
      <c r="M163" s="240" t="s">
        <v>378</v>
      </c>
      <c r="N163" s="244" t="s">
        <v>3102</v>
      </c>
      <c r="O163" s="350">
        <v>42625</v>
      </c>
      <c r="V163" s="267" t="s">
        <v>3103</v>
      </c>
    </row>
    <row r="164" spans="1:22" ht="29">
      <c r="A164" s="349">
        <v>42615</v>
      </c>
      <c r="B164" s="240" t="s">
        <v>3104</v>
      </c>
      <c r="C164" s="240" t="s">
        <v>1191</v>
      </c>
      <c r="D164" s="240" t="s">
        <v>1151</v>
      </c>
      <c r="F164" s="240">
        <v>75018</v>
      </c>
      <c r="G164" s="240" t="s">
        <v>61</v>
      </c>
      <c r="J164" s="241">
        <v>95</v>
      </c>
      <c r="M164" s="240" t="s">
        <v>378</v>
      </c>
      <c r="N164" s="244" t="s">
        <v>1199</v>
      </c>
      <c r="O164" s="350">
        <v>42625</v>
      </c>
      <c r="V164" s="267" t="s">
        <v>3105</v>
      </c>
    </row>
    <row r="165" spans="1:22" ht="101.5">
      <c r="A165" s="349">
        <v>42618</v>
      </c>
      <c r="B165" s="240" t="s">
        <v>3121</v>
      </c>
      <c r="C165" s="240" t="s">
        <v>917</v>
      </c>
      <c r="D165" s="240" t="s">
        <v>918</v>
      </c>
      <c r="F165" s="240">
        <v>75017</v>
      </c>
      <c r="G165" s="240" t="s">
        <v>61</v>
      </c>
      <c r="H165" s="240" t="s">
        <v>919</v>
      </c>
      <c r="J165" s="241">
        <v>305.75999946594243</v>
      </c>
      <c r="M165" s="240" t="s">
        <v>378</v>
      </c>
      <c r="N165" s="244" t="s">
        <v>3122</v>
      </c>
      <c r="O165" s="350">
        <v>42628</v>
      </c>
      <c r="V165" s="267" t="s">
        <v>3123</v>
      </c>
    </row>
    <row r="166" spans="1:22" ht="87">
      <c r="A166" s="349">
        <v>42618</v>
      </c>
      <c r="B166" s="240" t="s">
        <v>3124</v>
      </c>
      <c r="C166" s="240" t="s">
        <v>2957</v>
      </c>
      <c r="D166" s="240" t="s">
        <v>1149</v>
      </c>
      <c r="F166" s="240">
        <v>75017</v>
      </c>
      <c r="G166" s="240" t="s">
        <v>61</v>
      </c>
      <c r="H166" s="240" t="s">
        <v>1152</v>
      </c>
      <c r="J166" s="241">
        <v>232.87999967575075</v>
      </c>
      <c r="M166" s="240" t="s">
        <v>378</v>
      </c>
      <c r="N166" s="244" t="s">
        <v>3125</v>
      </c>
      <c r="O166" s="350">
        <v>42628</v>
      </c>
      <c r="V166" s="267" t="s">
        <v>3126</v>
      </c>
    </row>
    <row r="167" spans="1:22" ht="58">
      <c r="A167" s="349">
        <v>42621</v>
      </c>
      <c r="B167" s="240" t="s">
        <v>3127</v>
      </c>
      <c r="C167" s="240" t="s">
        <v>1096</v>
      </c>
      <c r="D167" s="240" t="s">
        <v>1097</v>
      </c>
      <c r="F167" s="240">
        <v>75015</v>
      </c>
      <c r="G167" s="240" t="s">
        <v>61</v>
      </c>
      <c r="H167" s="240" t="s">
        <v>1098</v>
      </c>
      <c r="J167" s="241">
        <v>74.92</v>
      </c>
      <c r="M167" s="240" t="s">
        <v>373</v>
      </c>
      <c r="N167" s="244" t="s">
        <v>3128</v>
      </c>
      <c r="O167" s="350">
        <v>42631</v>
      </c>
      <c r="V167" s="267" t="s">
        <v>3129</v>
      </c>
    </row>
    <row r="168" spans="1:22" ht="43.5">
      <c r="A168" s="349">
        <v>42621</v>
      </c>
      <c r="B168" s="240" t="s">
        <v>3130</v>
      </c>
      <c r="C168" s="240" t="s">
        <v>1099</v>
      </c>
      <c r="D168" s="240" t="s">
        <v>1100</v>
      </c>
      <c r="F168" s="240">
        <v>75015</v>
      </c>
      <c r="G168" s="240" t="s">
        <v>61</v>
      </c>
      <c r="H168" s="240" t="s">
        <v>1101</v>
      </c>
      <c r="J168" s="241">
        <v>203.95999374389649</v>
      </c>
      <c r="M168" s="240" t="s">
        <v>373</v>
      </c>
      <c r="N168" s="244" t="s">
        <v>3131</v>
      </c>
      <c r="O168" s="350">
        <v>42631</v>
      </c>
      <c r="V168" s="267" t="s">
        <v>3132</v>
      </c>
    </row>
    <row r="169" spans="1:22" ht="72.5">
      <c r="A169" s="349">
        <v>42621</v>
      </c>
      <c r="B169" s="240" t="s">
        <v>3133</v>
      </c>
      <c r="C169" s="240" t="s">
        <v>1091</v>
      </c>
      <c r="D169" s="240" t="s">
        <v>1090</v>
      </c>
      <c r="F169" s="240">
        <v>75015</v>
      </c>
      <c r="G169" s="240" t="s">
        <v>61</v>
      </c>
      <c r="H169" s="240" t="s">
        <v>1092</v>
      </c>
      <c r="J169" s="241">
        <v>272.95999374389646</v>
      </c>
      <c r="M169" s="240" t="s">
        <v>373</v>
      </c>
      <c r="N169" s="244" t="s">
        <v>3134</v>
      </c>
      <c r="O169" s="350">
        <v>42631</v>
      </c>
      <c r="V169" s="267" t="s">
        <v>3135</v>
      </c>
    </row>
    <row r="170" spans="1:22" ht="43.5">
      <c r="A170" s="349">
        <v>42621</v>
      </c>
      <c r="B170" s="240" t="s">
        <v>3136</v>
      </c>
      <c r="C170" s="240" t="s">
        <v>1094</v>
      </c>
      <c r="D170" s="240" t="s">
        <v>1093</v>
      </c>
      <c r="F170" s="240">
        <v>75015</v>
      </c>
      <c r="G170" s="240" t="s">
        <v>61</v>
      </c>
      <c r="H170" s="240" t="s">
        <v>1095</v>
      </c>
      <c r="J170" s="241">
        <v>62.239999389648439</v>
      </c>
      <c r="M170" s="240" t="s">
        <v>373</v>
      </c>
      <c r="N170" s="244" t="s">
        <v>3137</v>
      </c>
      <c r="O170" s="350">
        <v>42631</v>
      </c>
      <c r="V170" s="267" t="s">
        <v>3138</v>
      </c>
    </row>
    <row r="171" spans="1:22" ht="72.5">
      <c r="A171" s="349">
        <v>42647</v>
      </c>
      <c r="B171" s="240" t="s">
        <v>3213</v>
      </c>
      <c r="C171" s="240" t="s">
        <v>769</v>
      </c>
      <c r="D171" s="240" t="s">
        <v>770</v>
      </c>
      <c r="F171" s="240">
        <v>75017</v>
      </c>
      <c r="G171" s="240" t="s">
        <v>61</v>
      </c>
      <c r="H171" s="240" t="s">
        <v>771</v>
      </c>
      <c r="J171" s="241">
        <v>691.95998773574831</v>
      </c>
      <c r="M171" s="240" t="s">
        <v>378</v>
      </c>
      <c r="N171" s="244" t="s">
        <v>3214</v>
      </c>
      <c r="O171" s="350">
        <v>42657</v>
      </c>
      <c r="V171" s="267" t="s">
        <v>3215</v>
      </c>
    </row>
    <row r="172" spans="1:22" ht="29">
      <c r="A172" s="349">
        <v>42647</v>
      </c>
      <c r="B172" s="240" t="s">
        <v>3216</v>
      </c>
      <c r="C172" s="240" t="s">
        <v>496</v>
      </c>
      <c r="D172" s="240" t="s">
        <v>774</v>
      </c>
      <c r="F172" s="240">
        <v>75017</v>
      </c>
      <c r="G172" s="240" t="s">
        <v>61</v>
      </c>
      <c r="H172" s="240" t="s">
        <v>775</v>
      </c>
      <c r="J172" s="241">
        <v>399.27999172210696</v>
      </c>
      <c r="M172" s="240" t="s">
        <v>378</v>
      </c>
      <c r="N172" s="244" t="s">
        <v>3217</v>
      </c>
      <c r="O172" s="350">
        <v>42657</v>
      </c>
      <c r="V172" s="267" t="s">
        <v>3218</v>
      </c>
    </row>
    <row r="173" spans="1:22" ht="29">
      <c r="A173" s="349">
        <v>42647</v>
      </c>
      <c r="B173" s="240" t="s">
        <v>3219</v>
      </c>
      <c r="C173" s="240" t="s">
        <v>627</v>
      </c>
      <c r="D173" s="240" t="s">
        <v>787</v>
      </c>
      <c r="F173" s="240">
        <v>75017</v>
      </c>
      <c r="G173" s="240" t="s">
        <v>61</v>
      </c>
      <c r="H173" s="240" t="s">
        <v>788</v>
      </c>
      <c r="J173" s="241">
        <v>206.07999572753906</v>
      </c>
      <c r="M173" s="240" t="s">
        <v>378</v>
      </c>
      <c r="N173" s="244" t="s">
        <v>3220</v>
      </c>
      <c r="O173" s="350">
        <v>42657</v>
      </c>
      <c r="V173" s="267" t="s">
        <v>3221</v>
      </c>
    </row>
    <row r="174" spans="1:22" ht="58">
      <c r="A174" s="349">
        <v>42647</v>
      </c>
      <c r="B174" s="240" t="s">
        <v>3222</v>
      </c>
      <c r="C174" s="240" t="s">
        <v>1087</v>
      </c>
      <c r="D174" s="240" t="s">
        <v>1084</v>
      </c>
      <c r="F174" s="240">
        <v>75017</v>
      </c>
      <c r="G174" s="240" t="s">
        <v>61</v>
      </c>
      <c r="H174" s="240" t="s">
        <v>1353</v>
      </c>
      <c r="J174" s="241">
        <v>199.39999704360963</v>
      </c>
      <c r="M174" s="240" t="s">
        <v>378</v>
      </c>
      <c r="N174" s="244" t="s">
        <v>3223</v>
      </c>
      <c r="O174" s="350">
        <v>42657</v>
      </c>
      <c r="V174" s="267" t="s">
        <v>3224</v>
      </c>
    </row>
    <row r="175" spans="1:22" ht="29">
      <c r="A175" s="349">
        <v>42647</v>
      </c>
      <c r="B175" s="240" t="s">
        <v>3225</v>
      </c>
      <c r="C175" s="240" t="s">
        <v>784</v>
      </c>
      <c r="D175" s="240" t="s">
        <v>785</v>
      </c>
      <c r="F175" s="240">
        <v>75017</v>
      </c>
      <c r="G175" s="240" t="s">
        <v>61</v>
      </c>
      <c r="H175" s="240" t="s">
        <v>786</v>
      </c>
      <c r="J175" s="241">
        <v>769.11998405456541</v>
      </c>
      <c r="M175" s="240" t="s">
        <v>378</v>
      </c>
      <c r="N175" s="244" t="s">
        <v>3226</v>
      </c>
      <c r="O175" s="350">
        <v>42657</v>
      </c>
      <c r="V175" s="267" t="s">
        <v>3227</v>
      </c>
    </row>
    <row r="176" spans="1:22" ht="29">
      <c r="A176" s="349">
        <v>42647</v>
      </c>
      <c r="B176" s="240" t="s">
        <v>3228</v>
      </c>
      <c r="C176" s="240" t="s">
        <v>499</v>
      </c>
      <c r="D176" s="240" t="s">
        <v>782</v>
      </c>
      <c r="F176" s="240">
        <v>75017</v>
      </c>
      <c r="G176" s="240" t="s">
        <v>61</v>
      </c>
      <c r="H176" s="240" t="s">
        <v>783</v>
      </c>
      <c r="J176" s="241">
        <v>128.79999732971191</v>
      </c>
      <c r="M176" s="240" t="s">
        <v>378</v>
      </c>
      <c r="N176" s="244" t="s">
        <v>3229</v>
      </c>
      <c r="O176" s="350">
        <v>42657</v>
      </c>
      <c r="V176" s="267" t="s">
        <v>3230</v>
      </c>
    </row>
    <row r="177" spans="1:22" ht="29">
      <c r="A177" s="349">
        <v>42647</v>
      </c>
      <c r="B177" s="240" t="s">
        <v>3231</v>
      </c>
      <c r="C177" s="240" t="s">
        <v>495</v>
      </c>
      <c r="D177" s="240" t="s">
        <v>772</v>
      </c>
      <c r="F177" s="240">
        <v>75017</v>
      </c>
      <c r="G177" s="240" t="s">
        <v>61</v>
      </c>
      <c r="H177" s="240" t="s">
        <v>773</v>
      </c>
      <c r="J177" s="241">
        <v>54.239999999999995</v>
      </c>
      <c r="M177" s="240" t="s">
        <v>378</v>
      </c>
      <c r="N177" s="244" t="s">
        <v>3232</v>
      </c>
      <c r="O177" s="350">
        <v>42657</v>
      </c>
      <c r="V177" s="267" t="s">
        <v>3233</v>
      </c>
    </row>
    <row r="178" spans="1:22" ht="29">
      <c r="A178" s="349">
        <v>42647</v>
      </c>
      <c r="B178" s="240" t="s">
        <v>3234</v>
      </c>
      <c r="C178" s="240" t="s">
        <v>498</v>
      </c>
      <c r="D178" s="240" t="s">
        <v>780</v>
      </c>
      <c r="F178" s="240">
        <v>75017</v>
      </c>
      <c r="G178" s="240" t="s">
        <v>61</v>
      </c>
      <c r="H178" s="240" t="s">
        <v>781</v>
      </c>
      <c r="J178" s="241">
        <v>98.43999795913696</v>
      </c>
      <c r="M178" s="240" t="s">
        <v>378</v>
      </c>
      <c r="N178" s="244" t="s">
        <v>3235</v>
      </c>
      <c r="O178" s="350">
        <v>42657</v>
      </c>
      <c r="V178" s="267" t="s">
        <v>3236</v>
      </c>
    </row>
    <row r="179" spans="1:22" ht="29">
      <c r="A179" s="349">
        <v>42647</v>
      </c>
      <c r="B179" s="240" t="s">
        <v>3237</v>
      </c>
      <c r="C179" s="240" t="s">
        <v>624</v>
      </c>
      <c r="D179" s="240" t="s">
        <v>778</v>
      </c>
      <c r="F179" s="240">
        <v>75017</v>
      </c>
      <c r="G179" s="240" t="s">
        <v>61</v>
      </c>
      <c r="H179" s="240" t="s">
        <v>779</v>
      </c>
      <c r="J179" s="241">
        <v>182.15999629974363</v>
      </c>
      <c r="M179" s="240" t="s">
        <v>378</v>
      </c>
      <c r="N179" s="244" t="s">
        <v>3238</v>
      </c>
      <c r="O179" s="350">
        <v>42657</v>
      </c>
      <c r="V179" s="267" t="s">
        <v>3239</v>
      </c>
    </row>
    <row r="180" spans="1:22" ht="58">
      <c r="A180" s="349">
        <v>42647</v>
      </c>
      <c r="B180" s="240" t="s">
        <v>3240</v>
      </c>
      <c r="C180" s="240" t="s">
        <v>3241</v>
      </c>
      <c r="D180" s="240" t="s">
        <v>3243</v>
      </c>
      <c r="F180" s="240">
        <v>75017</v>
      </c>
      <c r="G180" s="240" t="s">
        <v>61</v>
      </c>
      <c r="H180" s="240" t="s">
        <v>3242</v>
      </c>
      <c r="J180" s="241">
        <v>1023.6799999999998</v>
      </c>
      <c r="M180" s="240" t="s">
        <v>378</v>
      </c>
      <c r="N180" s="244" t="s">
        <v>3244</v>
      </c>
      <c r="O180" s="350">
        <v>42657</v>
      </c>
      <c r="V180" s="267" t="s">
        <v>3245</v>
      </c>
    </row>
    <row r="181" spans="1:22" ht="101.5">
      <c r="A181" s="349">
        <v>42647</v>
      </c>
      <c r="B181" s="240" t="s">
        <v>3246</v>
      </c>
      <c r="C181" s="240" t="s">
        <v>917</v>
      </c>
      <c r="D181" s="240" t="s">
        <v>918</v>
      </c>
      <c r="F181" s="240">
        <v>75017</v>
      </c>
      <c r="G181" s="240" t="s">
        <v>61</v>
      </c>
      <c r="H181" s="240" t="s">
        <v>919</v>
      </c>
      <c r="J181" s="241">
        <v>609.27999582290647</v>
      </c>
      <c r="M181" s="240" t="s">
        <v>378</v>
      </c>
      <c r="N181" s="244" t="s">
        <v>3247</v>
      </c>
      <c r="O181" s="350">
        <v>42657</v>
      </c>
      <c r="V181" s="267" t="s">
        <v>3248</v>
      </c>
    </row>
    <row r="182" spans="1:22" ht="29">
      <c r="A182" s="349">
        <v>42647</v>
      </c>
      <c r="B182" s="240" t="s">
        <v>3250</v>
      </c>
      <c r="C182" s="240" t="s">
        <v>1191</v>
      </c>
      <c r="D182" s="240" t="s">
        <v>1151</v>
      </c>
      <c r="F182" s="240">
        <v>75018</v>
      </c>
      <c r="G182" s="240" t="s">
        <v>61</v>
      </c>
      <c r="J182" s="241">
        <v>85</v>
      </c>
      <c r="M182" s="240" t="s">
        <v>378</v>
      </c>
      <c r="N182" s="244" t="s">
        <v>3251</v>
      </c>
      <c r="O182" s="350">
        <v>42657</v>
      </c>
      <c r="V182" s="267" t="s">
        <v>3252</v>
      </c>
    </row>
    <row r="183" spans="1:22" ht="72.5">
      <c r="A183" s="349">
        <v>42647</v>
      </c>
      <c r="B183" s="240" t="s">
        <v>3253</v>
      </c>
      <c r="C183" s="240" t="s">
        <v>1091</v>
      </c>
      <c r="D183" s="240" t="s">
        <v>1090</v>
      </c>
      <c r="F183" s="240">
        <v>75015</v>
      </c>
      <c r="G183" s="240" t="s">
        <v>61</v>
      </c>
      <c r="H183" s="240" t="s">
        <v>1092</v>
      </c>
      <c r="J183" s="241">
        <v>631.83998866081242</v>
      </c>
      <c r="M183" s="240" t="s">
        <v>373</v>
      </c>
      <c r="N183" s="244" t="s">
        <v>3254</v>
      </c>
      <c r="O183" s="350">
        <v>42657</v>
      </c>
      <c r="V183" s="267" t="s">
        <v>3255</v>
      </c>
    </row>
    <row r="184" spans="1:22" ht="58">
      <c r="A184" s="349">
        <v>42647</v>
      </c>
      <c r="B184" s="240" t="s">
        <v>3256</v>
      </c>
      <c r="C184" s="240" t="s">
        <v>1096</v>
      </c>
      <c r="D184" s="240" t="s">
        <v>1097</v>
      </c>
      <c r="F184" s="240">
        <v>75015</v>
      </c>
      <c r="G184" s="240" t="s">
        <v>61</v>
      </c>
      <c r="H184" s="240" t="s">
        <v>1098</v>
      </c>
      <c r="J184" s="241">
        <v>201.39999532699585</v>
      </c>
      <c r="M184" s="240" t="s">
        <v>373</v>
      </c>
      <c r="N184" s="244" t="s">
        <v>3257</v>
      </c>
      <c r="O184" s="350">
        <v>42657</v>
      </c>
      <c r="V184" s="267" t="s">
        <v>3258</v>
      </c>
    </row>
    <row r="185" spans="1:22" ht="43.5">
      <c r="A185" s="349">
        <v>42647</v>
      </c>
      <c r="B185" s="240" t="s">
        <v>3259</v>
      </c>
      <c r="C185" s="240" t="s">
        <v>1099</v>
      </c>
      <c r="D185" s="240" t="s">
        <v>1100</v>
      </c>
      <c r="F185" s="240">
        <v>75015</v>
      </c>
      <c r="G185" s="240" t="s">
        <v>61</v>
      </c>
      <c r="H185" s="240" t="s">
        <v>1101</v>
      </c>
      <c r="J185" s="241">
        <v>257.55999193191531</v>
      </c>
      <c r="M185" s="240" t="s">
        <v>373</v>
      </c>
      <c r="N185" s="244" t="s">
        <v>3260</v>
      </c>
      <c r="O185" s="350">
        <v>42657</v>
      </c>
      <c r="V185" s="267" t="s">
        <v>3261</v>
      </c>
    </row>
    <row r="186" spans="1:22" ht="43.5">
      <c r="A186" s="349">
        <v>42647</v>
      </c>
      <c r="B186" s="240" t="s">
        <v>3262</v>
      </c>
      <c r="C186" s="240" t="s">
        <v>1094</v>
      </c>
      <c r="D186" s="240" t="s">
        <v>1093</v>
      </c>
      <c r="F186" s="240">
        <v>75015</v>
      </c>
      <c r="G186" s="240" t="s">
        <v>61</v>
      </c>
      <c r="H186" s="240" t="s">
        <v>1095</v>
      </c>
      <c r="J186" s="241">
        <v>238.71999740600583</v>
      </c>
      <c r="M186" s="240" t="s">
        <v>373</v>
      </c>
      <c r="N186" s="244" t="s">
        <v>3263</v>
      </c>
      <c r="O186" s="350">
        <v>42657</v>
      </c>
      <c r="V186" s="267" t="s">
        <v>3264</v>
      </c>
    </row>
    <row r="187" spans="1:22" ht="58">
      <c r="A187" s="349">
        <v>42647</v>
      </c>
      <c r="B187" s="240" t="s">
        <v>3265</v>
      </c>
      <c r="C187" s="240" t="s">
        <v>3241</v>
      </c>
      <c r="D187" s="240" t="s">
        <v>3243</v>
      </c>
      <c r="F187" s="240">
        <v>75017</v>
      </c>
      <c r="G187" s="240" t="s">
        <v>61</v>
      </c>
      <c r="H187" s="240" t="s">
        <v>3242</v>
      </c>
      <c r="J187" s="241">
        <v>659.983999885559</v>
      </c>
      <c r="M187" s="240" t="s">
        <v>378</v>
      </c>
      <c r="N187" s="244" t="s">
        <v>3266</v>
      </c>
      <c r="O187" s="350">
        <v>42657</v>
      </c>
      <c r="V187" s="267" t="s">
        <v>3267</v>
      </c>
    </row>
    <row r="188" spans="1:22" ht="87">
      <c r="A188" s="349">
        <v>42649</v>
      </c>
      <c r="B188" s="240" t="s">
        <v>3268</v>
      </c>
      <c r="C188" s="240" t="s">
        <v>498</v>
      </c>
      <c r="D188" s="240" t="s">
        <v>780</v>
      </c>
      <c r="F188" s="240">
        <v>75017</v>
      </c>
      <c r="G188" s="240" t="s">
        <v>61</v>
      </c>
      <c r="H188" s="240" t="s">
        <v>781</v>
      </c>
      <c r="J188" s="241">
        <v>177.09999744892116</v>
      </c>
      <c r="M188" s="240" t="s">
        <v>378</v>
      </c>
      <c r="N188" s="244" t="s">
        <v>3320</v>
      </c>
      <c r="O188" s="350">
        <v>42657</v>
      </c>
      <c r="V188" s="267" t="s">
        <v>3321</v>
      </c>
    </row>
    <row r="189" spans="1:22" ht="72.5">
      <c r="A189" s="349">
        <v>42663</v>
      </c>
      <c r="B189" s="240" t="s">
        <v>3322</v>
      </c>
      <c r="C189" s="240" t="s">
        <v>498</v>
      </c>
      <c r="D189" s="240" t="s">
        <v>780</v>
      </c>
      <c r="F189" s="240">
        <v>75017</v>
      </c>
      <c r="G189" s="240" t="s">
        <v>61</v>
      </c>
      <c r="H189" s="240" t="s">
        <v>781</v>
      </c>
      <c r="J189" s="241">
        <v>125.67999795913694</v>
      </c>
      <c r="M189" s="240" t="s">
        <v>378</v>
      </c>
      <c r="N189" s="244" t="s">
        <v>3324</v>
      </c>
      <c r="O189" s="350">
        <v>42673</v>
      </c>
      <c r="V189" s="267" t="s">
        <v>3323</v>
      </c>
    </row>
    <row r="190" spans="1:22" ht="29">
      <c r="A190" s="349">
        <v>42677</v>
      </c>
      <c r="B190" s="240" t="s">
        <v>3355</v>
      </c>
      <c r="C190" s="240" t="s">
        <v>790</v>
      </c>
      <c r="D190" s="240" t="s">
        <v>789</v>
      </c>
      <c r="F190" s="240">
        <v>75017</v>
      </c>
      <c r="G190" s="240" t="s">
        <v>61</v>
      </c>
      <c r="J190" s="241">
        <v>1020.4799842834474</v>
      </c>
      <c r="M190" s="240" t="s">
        <v>378</v>
      </c>
      <c r="N190" s="244" t="s">
        <v>3356</v>
      </c>
      <c r="O190" s="350">
        <v>42684</v>
      </c>
      <c r="V190" s="267" t="s">
        <v>3357</v>
      </c>
    </row>
    <row r="191" spans="1:22" ht="72.5">
      <c r="A191" s="349">
        <v>42677</v>
      </c>
      <c r="B191" s="240" t="s">
        <v>3358</v>
      </c>
      <c r="C191" s="240" t="s">
        <v>769</v>
      </c>
      <c r="D191" s="240" t="s">
        <v>770</v>
      </c>
      <c r="F191" s="240">
        <v>75017</v>
      </c>
      <c r="G191" s="240" t="s">
        <v>61</v>
      </c>
      <c r="H191" s="240" t="s">
        <v>771</v>
      </c>
      <c r="J191" s="241">
        <v>711.11998705863971</v>
      </c>
      <c r="M191" s="240" t="s">
        <v>378</v>
      </c>
      <c r="N191" s="244" t="s">
        <v>3359</v>
      </c>
      <c r="O191" s="350">
        <v>42684</v>
      </c>
      <c r="V191" s="267" t="s">
        <v>3360</v>
      </c>
    </row>
    <row r="192" spans="1:22" ht="29">
      <c r="A192" s="349">
        <v>42677</v>
      </c>
      <c r="B192" s="240" t="s">
        <v>3361</v>
      </c>
      <c r="C192" s="240" t="s">
        <v>496</v>
      </c>
      <c r="D192" s="240" t="s">
        <v>774</v>
      </c>
      <c r="F192" s="240">
        <v>75017</v>
      </c>
      <c r="G192" s="240" t="s">
        <v>61</v>
      </c>
      <c r="H192" s="240" t="s">
        <v>775</v>
      </c>
      <c r="J192" s="241">
        <v>363.3999924659729</v>
      </c>
      <c r="M192" s="240" t="s">
        <v>378</v>
      </c>
      <c r="N192" s="244" t="s">
        <v>3362</v>
      </c>
      <c r="O192" s="350">
        <v>42684</v>
      </c>
      <c r="V192" s="267" t="s">
        <v>3363</v>
      </c>
    </row>
    <row r="193" spans="1:22" ht="29">
      <c r="A193" s="349">
        <v>42677</v>
      </c>
      <c r="B193" s="240" t="s">
        <v>3364</v>
      </c>
      <c r="C193" s="240" t="s">
        <v>627</v>
      </c>
      <c r="D193" s="240" t="s">
        <v>787</v>
      </c>
      <c r="F193" s="240">
        <v>75017</v>
      </c>
      <c r="G193" s="240" t="s">
        <v>61</v>
      </c>
      <c r="H193" s="240" t="s">
        <v>788</v>
      </c>
      <c r="J193" s="241">
        <v>175.71999635696412</v>
      </c>
      <c r="M193" s="240" t="s">
        <v>378</v>
      </c>
      <c r="N193" s="244" t="s">
        <v>3365</v>
      </c>
      <c r="O193" s="350">
        <v>42684</v>
      </c>
      <c r="V193" s="267" t="s">
        <v>3366</v>
      </c>
    </row>
    <row r="194" spans="1:22" ht="43.5">
      <c r="A194" s="349">
        <v>42677</v>
      </c>
      <c r="B194" s="240" t="s">
        <v>3367</v>
      </c>
      <c r="C194" s="240" t="s">
        <v>784</v>
      </c>
      <c r="D194" s="240" t="s">
        <v>785</v>
      </c>
      <c r="F194" s="240">
        <v>75017</v>
      </c>
      <c r="G194" s="240" t="s">
        <v>61</v>
      </c>
      <c r="H194" s="240" t="s">
        <v>786</v>
      </c>
      <c r="J194" s="241">
        <v>728.6399851989745</v>
      </c>
      <c r="M194" s="240" t="s">
        <v>378</v>
      </c>
      <c r="N194" s="244" t="s">
        <v>3368</v>
      </c>
      <c r="O194" s="350">
        <v>42684</v>
      </c>
      <c r="V194" s="267" t="s">
        <v>3369</v>
      </c>
    </row>
    <row r="195" spans="1:22" ht="29">
      <c r="A195" s="349">
        <v>42677</v>
      </c>
      <c r="B195" s="240" t="s">
        <v>3370</v>
      </c>
      <c r="C195" s="240" t="s">
        <v>499</v>
      </c>
      <c r="D195" s="240" t="s">
        <v>782</v>
      </c>
      <c r="F195" s="240">
        <v>75017</v>
      </c>
      <c r="G195" s="240" t="s">
        <v>61</v>
      </c>
      <c r="H195" s="240" t="s">
        <v>783</v>
      </c>
      <c r="J195" s="241">
        <v>130.63999729156492</v>
      </c>
      <c r="M195" s="240" t="s">
        <v>378</v>
      </c>
      <c r="N195" s="244" t="s">
        <v>2922</v>
      </c>
      <c r="O195" s="350">
        <v>42684</v>
      </c>
      <c r="V195" s="267" t="s">
        <v>3371</v>
      </c>
    </row>
    <row r="196" spans="1:22" ht="29">
      <c r="A196" s="349">
        <v>42677</v>
      </c>
      <c r="B196" s="240" t="s">
        <v>3372</v>
      </c>
      <c r="C196" s="240" t="s">
        <v>495</v>
      </c>
      <c r="D196" s="240" t="s">
        <v>772</v>
      </c>
      <c r="F196" s="240">
        <v>75017</v>
      </c>
      <c r="G196" s="240" t="s">
        <v>61</v>
      </c>
      <c r="H196" s="240" t="s">
        <v>773</v>
      </c>
      <c r="J196" s="241">
        <v>48.719999694824217</v>
      </c>
      <c r="M196" s="240" t="s">
        <v>378</v>
      </c>
      <c r="N196" s="244" t="s">
        <v>3373</v>
      </c>
      <c r="O196" s="350">
        <v>42684</v>
      </c>
      <c r="V196" s="267" t="s">
        <v>3374</v>
      </c>
    </row>
    <row r="197" spans="1:22" ht="29">
      <c r="A197" s="349">
        <v>42677</v>
      </c>
      <c r="B197" s="240" t="s">
        <v>3375</v>
      </c>
      <c r="C197" s="240" t="s">
        <v>624</v>
      </c>
      <c r="D197" s="240" t="s">
        <v>778</v>
      </c>
      <c r="F197" s="240">
        <v>75017</v>
      </c>
      <c r="G197" s="240" t="s">
        <v>61</v>
      </c>
      <c r="H197" s="240" t="s">
        <v>779</v>
      </c>
      <c r="J197" s="241">
        <v>196.91999616622925</v>
      </c>
      <c r="M197" s="240" t="s">
        <v>378</v>
      </c>
      <c r="N197" s="244" t="s">
        <v>3376</v>
      </c>
      <c r="O197" s="350">
        <v>42684</v>
      </c>
      <c r="V197" s="267" t="s">
        <v>3377</v>
      </c>
    </row>
    <row r="198" spans="1:22" ht="72.5">
      <c r="A198" s="349">
        <v>42677</v>
      </c>
      <c r="B198" s="240" t="s">
        <v>3378</v>
      </c>
      <c r="C198" s="240" t="s">
        <v>1087</v>
      </c>
      <c r="D198" s="240" t="s">
        <v>1084</v>
      </c>
      <c r="F198" s="240">
        <v>75017</v>
      </c>
      <c r="G198" s="240" t="s">
        <v>61</v>
      </c>
      <c r="H198" s="240" t="s">
        <v>1353</v>
      </c>
      <c r="J198" s="241">
        <v>186.51999736785885</v>
      </c>
      <c r="M198" s="240" t="s">
        <v>378</v>
      </c>
      <c r="N198" s="244" t="s">
        <v>3379</v>
      </c>
      <c r="O198" s="350">
        <v>42684</v>
      </c>
      <c r="V198" s="267" t="s">
        <v>3380</v>
      </c>
    </row>
    <row r="199" spans="1:22" ht="58">
      <c r="A199" s="349">
        <v>42677</v>
      </c>
      <c r="B199" s="240" t="s">
        <v>3381</v>
      </c>
      <c r="C199" s="240" t="s">
        <v>3241</v>
      </c>
      <c r="D199" s="240" t="s">
        <v>3243</v>
      </c>
      <c r="F199" s="240">
        <v>75017</v>
      </c>
      <c r="G199" s="240" t="s">
        <v>61</v>
      </c>
      <c r="H199" s="240" t="s">
        <v>3242</v>
      </c>
      <c r="J199" s="241">
        <v>840.74999999999989</v>
      </c>
      <c r="M199" s="240" t="s">
        <v>378</v>
      </c>
      <c r="N199" s="244" t="s">
        <v>3383</v>
      </c>
      <c r="O199" s="350">
        <v>42684</v>
      </c>
      <c r="V199" s="267" t="s">
        <v>3382</v>
      </c>
    </row>
    <row r="200" spans="1:22" ht="29">
      <c r="A200" s="349">
        <v>42677</v>
      </c>
      <c r="B200" s="240" t="s">
        <v>3384</v>
      </c>
      <c r="C200" s="240" t="s">
        <v>3385</v>
      </c>
      <c r="F200" s="240">
        <v>75017</v>
      </c>
      <c r="G200" s="240" t="s">
        <v>61</v>
      </c>
      <c r="J200" s="241">
        <v>393.76</v>
      </c>
      <c r="M200" s="240" t="s">
        <v>378</v>
      </c>
      <c r="N200" s="244" t="s">
        <v>3386</v>
      </c>
      <c r="O200" s="350">
        <v>42684</v>
      </c>
      <c r="V200" s="267" t="s">
        <v>3387</v>
      </c>
    </row>
    <row r="201" spans="1:22" ht="101.5">
      <c r="A201" s="349">
        <v>42677</v>
      </c>
      <c r="B201" s="240" t="s">
        <v>3388</v>
      </c>
      <c r="C201" s="240" t="s">
        <v>917</v>
      </c>
      <c r="D201" s="240" t="s">
        <v>918</v>
      </c>
      <c r="F201" s="240">
        <v>75017</v>
      </c>
      <c r="G201" s="240" t="s">
        <v>61</v>
      </c>
      <c r="H201" s="240" t="s">
        <v>919</v>
      </c>
      <c r="J201" s="241">
        <v>658.83999557495122</v>
      </c>
      <c r="M201" s="240" t="s">
        <v>378</v>
      </c>
      <c r="N201" s="244" t="s">
        <v>3389</v>
      </c>
      <c r="O201" s="350">
        <v>42684</v>
      </c>
      <c r="V201" s="267" t="s">
        <v>3390</v>
      </c>
    </row>
    <row r="202" spans="1:22" ht="87">
      <c r="A202" s="349">
        <v>42677</v>
      </c>
      <c r="B202" s="240" t="s">
        <v>3391</v>
      </c>
      <c r="C202" s="240" t="s">
        <v>1091</v>
      </c>
      <c r="D202" s="240" t="s">
        <v>1090</v>
      </c>
      <c r="F202" s="240">
        <v>75015</v>
      </c>
      <c r="G202" s="240" t="s">
        <v>61</v>
      </c>
      <c r="H202" s="240" t="s">
        <v>1092</v>
      </c>
      <c r="J202" s="241">
        <v>514.07999331474309</v>
      </c>
      <c r="M202" s="240" t="s">
        <v>373</v>
      </c>
      <c r="N202" s="244" t="s">
        <v>3392</v>
      </c>
      <c r="O202" s="350">
        <v>42684</v>
      </c>
      <c r="V202" s="267" t="s">
        <v>3393</v>
      </c>
    </row>
    <row r="203" spans="1:22" ht="58">
      <c r="A203" s="349">
        <v>42677</v>
      </c>
      <c r="B203" s="240" t="s">
        <v>3394</v>
      </c>
      <c r="C203" s="240" t="s">
        <v>1094</v>
      </c>
      <c r="D203" s="240" t="s">
        <v>1093</v>
      </c>
      <c r="F203" s="240">
        <v>75015</v>
      </c>
      <c r="G203" s="240" t="s">
        <v>61</v>
      </c>
      <c r="H203" s="240" t="s">
        <v>1095</v>
      </c>
      <c r="J203" s="241">
        <v>302.87999725341803</v>
      </c>
      <c r="M203" s="240" t="s">
        <v>373</v>
      </c>
      <c r="N203" s="244" t="s">
        <v>3395</v>
      </c>
      <c r="O203" s="350">
        <v>42684</v>
      </c>
      <c r="V203" s="267" t="s">
        <v>3396</v>
      </c>
    </row>
    <row r="204" spans="1:22" ht="58">
      <c r="A204" s="349">
        <v>42677</v>
      </c>
      <c r="B204" s="240" t="s">
        <v>3397</v>
      </c>
      <c r="C204" s="240" t="s">
        <v>1096</v>
      </c>
      <c r="D204" s="240" t="s">
        <v>1097</v>
      </c>
      <c r="F204" s="240">
        <v>75015</v>
      </c>
      <c r="G204" s="240" t="s">
        <v>61</v>
      </c>
      <c r="H204" s="240" t="s">
        <v>1098</v>
      </c>
      <c r="J204" s="241">
        <v>150.59999608993527</v>
      </c>
      <c r="M204" s="240" t="s">
        <v>373</v>
      </c>
      <c r="N204" s="244" t="s">
        <v>3398</v>
      </c>
      <c r="O204" s="350">
        <v>42684</v>
      </c>
      <c r="V204" s="267" t="s">
        <v>3399</v>
      </c>
    </row>
    <row r="205" spans="1:22" ht="29">
      <c r="A205" s="349">
        <v>42706</v>
      </c>
      <c r="B205" s="240" t="s">
        <v>3400</v>
      </c>
      <c r="C205" s="240" t="s">
        <v>496</v>
      </c>
      <c r="D205" s="240" t="s">
        <v>774</v>
      </c>
      <c r="F205" s="240">
        <v>75017</v>
      </c>
      <c r="G205" s="240" t="s">
        <v>61</v>
      </c>
      <c r="H205" s="240" t="s">
        <v>775</v>
      </c>
      <c r="J205" s="241">
        <v>425.95999116897582</v>
      </c>
      <c r="M205" s="240" t="s">
        <v>378</v>
      </c>
      <c r="N205" s="244" t="s">
        <v>3432</v>
      </c>
      <c r="O205" s="350">
        <v>42714</v>
      </c>
      <c r="V205" s="267" t="s">
        <v>3433</v>
      </c>
    </row>
    <row r="206" spans="1:22" ht="29">
      <c r="A206" s="349">
        <v>42706</v>
      </c>
      <c r="B206" s="240" t="s">
        <v>3434</v>
      </c>
      <c r="C206" s="240" t="s">
        <v>627</v>
      </c>
      <c r="D206" s="240" t="s">
        <v>787</v>
      </c>
      <c r="F206" s="240">
        <v>75017</v>
      </c>
      <c r="G206" s="240" t="s">
        <v>61</v>
      </c>
      <c r="H206" s="240" t="s">
        <v>788</v>
      </c>
      <c r="J206" s="241">
        <v>185.83999614715577</v>
      </c>
      <c r="M206" s="240" t="s">
        <v>378</v>
      </c>
      <c r="N206" s="244" t="s">
        <v>3435</v>
      </c>
      <c r="O206" s="350">
        <v>42714</v>
      </c>
      <c r="V206" s="267" t="s">
        <v>3436</v>
      </c>
    </row>
    <row r="207" spans="1:22" ht="29">
      <c r="A207" s="349">
        <v>42706</v>
      </c>
      <c r="B207" s="240" t="s">
        <v>3437</v>
      </c>
      <c r="C207" s="240" t="s">
        <v>784</v>
      </c>
      <c r="D207" s="240" t="s">
        <v>785</v>
      </c>
      <c r="F207" s="240">
        <v>75017</v>
      </c>
      <c r="G207" s="240" t="s">
        <v>61</v>
      </c>
      <c r="H207" s="240" t="s">
        <v>786</v>
      </c>
      <c r="J207" s="241">
        <v>601.67998752593985</v>
      </c>
      <c r="M207" s="240" t="s">
        <v>378</v>
      </c>
      <c r="N207" s="244" t="s">
        <v>3438</v>
      </c>
      <c r="O207" s="350">
        <v>42714</v>
      </c>
      <c r="V207" s="267" t="s">
        <v>3439</v>
      </c>
    </row>
    <row r="208" spans="1:22" ht="58">
      <c r="A208" s="349">
        <v>42706</v>
      </c>
      <c r="B208" s="240" t="s">
        <v>3440</v>
      </c>
      <c r="C208" s="240" t="s">
        <v>1087</v>
      </c>
      <c r="D208" s="240" t="s">
        <v>1084</v>
      </c>
      <c r="F208" s="240">
        <v>75017</v>
      </c>
      <c r="G208" s="240" t="s">
        <v>61</v>
      </c>
      <c r="H208" s="240" t="s">
        <v>1353</v>
      </c>
      <c r="J208" s="241">
        <v>193.03999681472777</v>
      </c>
      <c r="M208" s="240" t="s">
        <v>378</v>
      </c>
      <c r="N208" s="244" t="s">
        <v>3441</v>
      </c>
      <c r="O208" s="350">
        <v>42714</v>
      </c>
      <c r="V208" s="267" t="s">
        <v>3442</v>
      </c>
    </row>
    <row r="209" spans="1:22" ht="29">
      <c r="A209" s="349">
        <v>42706</v>
      </c>
      <c r="B209" s="240" t="s">
        <v>3443</v>
      </c>
      <c r="C209" s="240" t="s">
        <v>499</v>
      </c>
      <c r="D209" s="240" t="s">
        <v>782</v>
      </c>
      <c r="F209" s="240">
        <v>75017</v>
      </c>
      <c r="G209" s="240" t="s">
        <v>61</v>
      </c>
      <c r="H209" s="240" t="s">
        <v>783</v>
      </c>
      <c r="J209" s="241">
        <v>110.39999771118164</v>
      </c>
      <c r="M209" s="240" t="s">
        <v>378</v>
      </c>
      <c r="N209" s="244" t="s">
        <v>3444</v>
      </c>
      <c r="O209" s="350">
        <v>42714</v>
      </c>
      <c r="V209" s="267" t="s">
        <v>3445</v>
      </c>
    </row>
    <row r="210" spans="1:22" ht="29">
      <c r="A210" s="349">
        <v>42706</v>
      </c>
      <c r="B210" s="240" t="s">
        <v>3446</v>
      </c>
      <c r="C210" s="240" t="s">
        <v>495</v>
      </c>
      <c r="D210" s="240" t="s">
        <v>772</v>
      </c>
      <c r="F210" s="240">
        <v>75017</v>
      </c>
      <c r="G210" s="240" t="s">
        <v>61</v>
      </c>
      <c r="H210" s="240" t="s">
        <v>773</v>
      </c>
      <c r="J210" s="241">
        <v>45.959999752044673</v>
      </c>
      <c r="M210" s="240" t="s">
        <v>378</v>
      </c>
      <c r="N210" s="244" t="s">
        <v>3447</v>
      </c>
      <c r="O210" s="350">
        <v>42714</v>
      </c>
      <c r="V210" s="267" t="s">
        <v>3448</v>
      </c>
    </row>
    <row r="211" spans="1:22" ht="29">
      <c r="A211" s="349">
        <v>42706</v>
      </c>
      <c r="B211" s="240" t="s">
        <v>3449</v>
      </c>
      <c r="C211" s="240" t="s">
        <v>3385</v>
      </c>
      <c r="F211" s="240">
        <v>75017</v>
      </c>
      <c r="G211" s="240" t="s">
        <v>61</v>
      </c>
      <c r="J211" s="241">
        <v>312.79999351501465</v>
      </c>
      <c r="M211" s="240" t="s">
        <v>378</v>
      </c>
      <c r="N211" s="244" t="s">
        <v>3450</v>
      </c>
      <c r="O211" s="350">
        <v>42714</v>
      </c>
      <c r="V211" s="267" t="s">
        <v>3451</v>
      </c>
    </row>
    <row r="212" spans="1:22" ht="87">
      <c r="A212" s="349">
        <v>42706</v>
      </c>
      <c r="B212" s="240" t="s">
        <v>3452</v>
      </c>
      <c r="C212" s="240" t="s">
        <v>790</v>
      </c>
      <c r="D212" s="240" t="s">
        <v>789</v>
      </c>
      <c r="F212" s="240">
        <v>75017</v>
      </c>
      <c r="G212" s="240" t="s">
        <v>61</v>
      </c>
      <c r="J212" s="241">
        <v>639.4799999999999</v>
      </c>
      <c r="M212" s="240" t="s">
        <v>378</v>
      </c>
      <c r="N212" s="244" t="s">
        <v>3453</v>
      </c>
      <c r="O212" s="350">
        <v>42714</v>
      </c>
      <c r="V212" s="267" t="s">
        <v>3454</v>
      </c>
    </row>
    <row r="213" spans="1:22" ht="72.5">
      <c r="A213" s="349">
        <v>42706</v>
      </c>
      <c r="B213" s="240" t="s">
        <v>3455</v>
      </c>
      <c r="C213" s="240" t="s">
        <v>769</v>
      </c>
      <c r="D213" s="240" t="s">
        <v>770</v>
      </c>
      <c r="F213" s="240">
        <v>75017</v>
      </c>
      <c r="G213" s="240" t="s">
        <v>61</v>
      </c>
      <c r="H213" s="240" t="s">
        <v>771</v>
      </c>
      <c r="J213" s="241">
        <v>593.87998867034912</v>
      </c>
      <c r="M213" s="240" t="s">
        <v>378</v>
      </c>
      <c r="N213" s="244" t="s">
        <v>3456</v>
      </c>
      <c r="O213" s="350">
        <v>42714</v>
      </c>
      <c r="V213" s="267" t="s">
        <v>3457</v>
      </c>
    </row>
    <row r="214" spans="1:22" ht="58">
      <c r="A214" s="349">
        <v>42706</v>
      </c>
      <c r="B214" s="240" t="s">
        <v>3458</v>
      </c>
      <c r="C214" s="240" t="s">
        <v>3241</v>
      </c>
      <c r="D214" s="240" t="s">
        <v>3243</v>
      </c>
      <c r="F214" s="240">
        <v>75017</v>
      </c>
      <c r="G214" s="240" t="s">
        <v>61</v>
      </c>
      <c r="H214" s="240" t="s">
        <v>3242</v>
      </c>
      <c r="J214" s="241">
        <v>625.09999990463245</v>
      </c>
      <c r="M214" s="240" t="s">
        <v>378</v>
      </c>
      <c r="N214" s="244" t="s">
        <v>3459</v>
      </c>
      <c r="O214" s="350">
        <v>42714</v>
      </c>
      <c r="V214" s="267" t="s">
        <v>3460</v>
      </c>
    </row>
    <row r="215" spans="1:22" ht="101.5">
      <c r="A215" s="349">
        <v>42716</v>
      </c>
      <c r="B215" s="240" t="s">
        <v>3461</v>
      </c>
      <c r="C215" s="240" t="s">
        <v>917</v>
      </c>
      <c r="D215" s="240" t="s">
        <v>918</v>
      </c>
      <c r="F215" s="240">
        <v>75017</v>
      </c>
      <c r="G215" s="240" t="s">
        <v>61</v>
      </c>
      <c r="H215" s="240" t="s">
        <v>919</v>
      </c>
      <c r="J215" s="241">
        <v>637.15000355243683</v>
      </c>
      <c r="M215" s="240" t="s">
        <v>378</v>
      </c>
      <c r="N215" s="244" t="s">
        <v>3462</v>
      </c>
      <c r="O215" s="350">
        <v>42721</v>
      </c>
      <c r="V215" s="267" t="s">
        <v>3463</v>
      </c>
    </row>
  </sheetData>
  <autoFilter ref="A1:V1"/>
  <hyperlinks>
    <hyperlink ref="V2" r:id="rId1"/>
    <hyperlink ref="V3" r:id="rId2"/>
    <hyperlink ref="V4" r:id="rId3"/>
    <hyperlink ref="V5" r:id="rId4"/>
    <hyperlink ref="V6" r:id="rId5"/>
    <hyperlink ref="V7" r:id="rId6"/>
    <hyperlink ref="V8" r:id="rId7"/>
    <hyperlink ref="V9" r:id="rId8"/>
    <hyperlink ref="V10" r:id="rId9"/>
    <hyperlink ref="V11" r:id="rId10"/>
    <hyperlink ref="V12" r:id="rId11"/>
    <hyperlink ref="V13" r:id="rId12"/>
    <hyperlink ref="V14" r:id="rId13"/>
    <hyperlink ref="V15" r:id="rId14"/>
    <hyperlink ref="V16" r:id="rId15"/>
    <hyperlink ref="V17" r:id="rId16"/>
    <hyperlink ref="V18" r:id="rId17"/>
    <hyperlink ref="V19" r:id="rId18"/>
    <hyperlink ref="V20" r:id="rId19"/>
    <hyperlink ref="V21" r:id="rId20"/>
    <hyperlink ref="V22" r:id="rId21"/>
    <hyperlink ref="V23" r:id="rId22"/>
    <hyperlink ref="V24" r:id="rId23"/>
    <hyperlink ref="V25" r:id="rId24"/>
    <hyperlink ref="V26" r:id="rId25"/>
    <hyperlink ref="V27" r:id="rId26"/>
    <hyperlink ref="V28" r:id="rId27"/>
    <hyperlink ref="V29" r:id="rId28"/>
    <hyperlink ref="V30" r:id="rId29"/>
    <hyperlink ref="V31" r:id="rId30"/>
    <hyperlink ref="V33" r:id="rId31"/>
    <hyperlink ref="V34" r:id="rId32"/>
    <hyperlink ref="V32" r:id="rId33"/>
    <hyperlink ref="V36" r:id="rId34"/>
    <hyperlink ref="V37" r:id="rId35"/>
    <hyperlink ref="V38" r:id="rId36"/>
    <hyperlink ref="V39" r:id="rId37"/>
    <hyperlink ref="V40" r:id="rId38"/>
    <hyperlink ref="V41" r:id="rId39"/>
    <hyperlink ref="V42" r:id="rId40"/>
    <hyperlink ref="V43" r:id="rId41"/>
    <hyperlink ref="V44" r:id="rId42"/>
    <hyperlink ref="V45" r:id="rId43"/>
    <hyperlink ref="V46" r:id="rId44"/>
    <hyperlink ref="V47" r:id="rId45"/>
    <hyperlink ref="V48" r:id="rId46"/>
    <hyperlink ref="V49" r:id="rId47"/>
    <hyperlink ref="V50" r:id="rId48"/>
    <hyperlink ref="V51" r:id="rId49"/>
    <hyperlink ref="V52" r:id="rId50"/>
    <hyperlink ref="V53" r:id="rId51"/>
    <hyperlink ref="V54" r:id="rId52"/>
    <hyperlink ref="V55" r:id="rId53"/>
    <hyperlink ref="V56" r:id="rId54"/>
    <hyperlink ref="V57" r:id="rId55"/>
    <hyperlink ref="V58" r:id="rId56"/>
    <hyperlink ref="V59" r:id="rId57"/>
    <hyperlink ref="V60" r:id="rId58"/>
    <hyperlink ref="V61" r:id="rId59"/>
    <hyperlink ref="V62" r:id="rId60"/>
    <hyperlink ref="V63" r:id="rId61"/>
    <hyperlink ref="V64" r:id="rId62"/>
    <hyperlink ref="V65" r:id="rId63"/>
    <hyperlink ref="V66" r:id="rId64"/>
    <hyperlink ref="V67" r:id="rId65"/>
    <hyperlink ref="V68" r:id="rId66"/>
    <hyperlink ref="V69" r:id="rId67"/>
    <hyperlink ref="V70" r:id="rId68"/>
    <hyperlink ref="V71" r:id="rId69"/>
    <hyperlink ref="V72" r:id="rId70"/>
    <hyperlink ref="V73" r:id="rId71"/>
    <hyperlink ref="V74" r:id="rId72"/>
    <hyperlink ref="V75" r:id="rId73"/>
    <hyperlink ref="V76" r:id="rId74"/>
    <hyperlink ref="V77" r:id="rId75"/>
    <hyperlink ref="V78" r:id="rId76"/>
    <hyperlink ref="V79" r:id="rId77"/>
    <hyperlink ref="V80" r:id="rId78"/>
    <hyperlink ref="V81" r:id="rId79"/>
    <hyperlink ref="V82" r:id="rId80"/>
    <hyperlink ref="V83" r:id="rId81"/>
    <hyperlink ref="V84" r:id="rId82"/>
    <hyperlink ref="V85" r:id="rId83"/>
    <hyperlink ref="V86" r:id="rId84"/>
    <hyperlink ref="V87" r:id="rId85"/>
    <hyperlink ref="V88" r:id="rId86"/>
    <hyperlink ref="V89" r:id="rId87"/>
    <hyperlink ref="V90" r:id="rId88"/>
    <hyperlink ref="V91" r:id="rId89"/>
    <hyperlink ref="V92" r:id="rId90"/>
    <hyperlink ref="V93" r:id="rId91"/>
    <hyperlink ref="V94" r:id="rId92"/>
    <hyperlink ref="V95" r:id="rId93"/>
    <hyperlink ref="V96" r:id="rId94"/>
    <hyperlink ref="V97" r:id="rId95"/>
    <hyperlink ref="V98" r:id="rId96"/>
    <hyperlink ref="V99" r:id="rId97"/>
    <hyperlink ref="V100" r:id="rId98"/>
    <hyperlink ref="V101" r:id="rId99"/>
    <hyperlink ref="V102" r:id="rId100"/>
    <hyperlink ref="V103" r:id="rId101"/>
    <hyperlink ref="V104" r:id="rId102"/>
    <hyperlink ref="V105" r:id="rId103"/>
    <hyperlink ref="V106" r:id="rId104"/>
    <hyperlink ref="V107" r:id="rId105"/>
    <hyperlink ref="V108" r:id="rId106"/>
    <hyperlink ref="V109" r:id="rId107"/>
    <hyperlink ref="V110" r:id="rId108"/>
    <hyperlink ref="V111" r:id="rId109"/>
    <hyperlink ref="V112" r:id="rId110"/>
    <hyperlink ref="V113" r:id="rId111"/>
    <hyperlink ref="V114" r:id="rId112"/>
    <hyperlink ref="V115" r:id="rId113"/>
    <hyperlink ref="V116" r:id="rId114"/>
    <hyperlink ref="V117" r:id="rId115"/>
    <hyperlink ref="V118" r:id="rId116"/>
    <hyperlink ref="V119" r:id="rId117"/>
    <hyperlink ref="V120" r:id="rId118"/>
    <hyperlink ref="V121" r:id="rId119"/>
    <hyperlink ref="V122" r:id="rId120"/>
    <hyperlink ref="V123" r:id="rId121"/>
    <hyperlink ref="V124" r:id="rId122"/>
    <hyperlink ref="V125" r:id="rId123"/>
    <hyperlink ref="V126" r:id="rId124"/>
    <hyperlink ref="V127" r:id="rId125"/>
    <hyperlink ref="V128" r:id="rId126"/>
    <hyperlink ref="V129" r:id="rId127"/>
    <hyperlink ref="V130" r:id="rId128"/>
    <hyperlink ref="V131" r:id="rId129"/>
    <hyperlink ref="V132" r:id="rId130"/>
    <hyperlink ref="V133" r:id="rId131"/>
    <hyperlink ref="V134" r:id="rId132"/>
    <hyperlink ref="V135" r:id="rId133"/>
    <hyperlink ref="V136" r:id="rId134"/>
    <hyperlink ref="V137" r:id="rId135"/>
    <hyperlink ref="V138" r:id="rId136"/>
    <hyperlink ref="V139" r:id="rId137"/>
    <hyperlink ref="V140" r:id="rId138"/>
    <hyperlink ref="V141" r:id="rId139"/>
    <hyperlink ref="V142" r:id="rId140"/>
    <hyperlink ref="V143" r:id="rId141"/>
    <hyperlink ref="V144" r:id="rId142"/>
    <hyperlink ref="V145" r:id="rId143"/>
    <hyperlink ref="V146" r:id="rId144"/>
    <hyperlink ref="V147" r:id="rId145"/>
    <hyperlink ref="V148" r:id="rId146"/>
    <hyperlink ref="V149" r:id="rId147"/>
    <hyperlink ref="V150" r:id="rId148"/>
    <hyperlink ref="V151" r:id="rId149"/>
    <hyperlink ref="V152" r:id="rId150"/>
    <hyperlink ref="V153" r:id="rId151"/>
    <hyperlink ref="V154" r:id="rId152"/>
    <hyperlink ref="V155" r:id="rId153"/>
    <hyperlink ref="V156" r:id="rId154"/>
    <hyperlink ref="V157" r:id="rId155"/>
    <hyperlink ref="V158" r:id="rId156"/>
    <hyperlink ref="V159" r:id="rId157"/>
    <hyperlink ref="V160" r:id="rId158"/>
    <hyperlink ref="V161" r:id="rId159"/>
    <hyperlink ref="V162" r:id="rId160"/>
    <hyperlink ref="V163" r:id="rId161"/>
    <hyperlink ref="V164" r:id="rId162"/>
    <hyperlink ref="V165" r:id="rId163"/>
    <hyperlink ref="V166" r:id="rId164"/>
    <hyperlink ref="V167" r:id="rId165"/>
    <hyperlink ref="V168" r:id="rId166"/>
    <hyperlink ref="V169" r:id="rId167"/>
    <hyperlink ref="V170" r:id="rId168"/>
    <hyperlink ref="V171" r:id="rId169"/>
    <hyperlink ref="V172" r:id="rId170"/>
    <hyperlink ref="V173" r:id="rId171"/>
    <hyperlink ref="V174" r:id="rId172"/>
    <hyperlink ref="V175" r:id="rId173"/>
    <hyperlink ref="V176" r:id="rId174"/>
    <hyperlink ref="V177" r:id="rId175"/>
    <hyperlink ref="V178" r:id="rId176"/>
    <hyperlink ref="V179" r:id="rId177"/>
    <hyperlink ref="V180" r:id="rId178"/>
    <hyperlink ref="V181" r:id="rId179"/>
    <hyperlink ref="V182" r:id="rId180"/>
    <hyperlink ref="V183" r:id="rId181"/>
    <hyperlink ref="V184" r:id="rId182"/>
    <hyperlink ref="V185" r:id="rId183"/>
    <hyperlink ref="V186" r:id="rId184"/>
    <hyperlink ref="V187" r:id="rId185"/>
    <hyperlink ref="V188" r:id="rId186"/>
    <hyperlink ref="V189" r:id="rId187"/>
    <hyperlink ref="V190" r:id="rId188"/>
    <hyperlink ref="V191" r:id="rId189"/>
    <hyperlink ref="V192" r:id="rId190"/>
    <hyperlink ref="V193" r:id="rId191"/>
    <hyperlink ref="V194" r:id="rId192"/>
    <hyperlink ref="V195" r:id="rId193"/>
    <hyperlink ref="V196" r:id="rId194"/>
    <hyperlink ref="V197" r:id="rId195"/>
    <hyperlink ref="V198" r:id="rId196"/>
    <hyperlink ref="V199" r:id="rId197"/>
    <hyperlink ref="V200" r:id="rId198"/>
    <hyperlink ref="V201" r:id="rId199"/>
    <hyperlink ref="V202" r:id="rId200"/>
    <hyperlink ref="V203" r:id="rId201"/>
    <hyperlink ref="V204" r:id="rId202"/>
    <hyperlink ref="V205" r:id="rId203"/>
    <hyperlink ref="V206" r:id="rId204"/>
    <hyperlink ref="V207" r:id="rId205"/>
    <hyperlink ref="V208" r:id="rId206"/>
    <hyperlink ref="V209" r:id="rId207"/>
    <hyperlink ref="V210" r:id="rId208"/>
    <hyperlink ref="V211" r:id="rId209"/>
    <hyperlink ref="V212" r:id="rId210"/>
    <hyperlink ref="V213" r:id="rId211"/>
    <hyperlink ref="V214" r:id="rId212"/>
    <hyperlink ref="V215" r:id="rId213"/>
  </hyperlinks>
  <pageMargins left="0.7" right="0.7" top="0.75" bottom="0.75" header="0.3" footer="0.3"/>
  <pageSetup paperSize="9" orientation="portrait" r:id="rId214"/>
  <legacyDrawing r:id="rId215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L64877"/>
  <sheetViews>
    <sheetView zoomScaleNormal="100" workbookViewId="0">
      <pane ySplit="1" topLeftCell="A856" activePane="bottomLeft" state="frozen"/>
      <selection pane="bottomLeft" activeCell="J1167" sqref="J1167"/>
    </sheetView>
  </sheetViews>
  <sheetFormatPr baseColWidth="10" defaultColWidth="11.453125" defaultRowHeight="14.5"/>
  <cols>
    <col min="1" max="1" width="13.81640625" style="136" customWidth="1"/>
    <col min="2" max="2" width="13.81640625" style="307" customWidth="1"/>
    <col min="3" max="3" width="18.453125" style="137" customWidth="1"/>
    <col min="4" max="5" width="14.1796875" style="138" bestFit="1" customWidth="1"/>
    <col min="6" max="6" width="14.54296875" style="139" bestFit="1" customWidth="1"/>
    <col min="7" max="7" width="6.81640625" style="308" customWidth="1"/>
    <col min="8" max="8" width="11.26953125" style="137" customWidth="1"/>
    <col min="9" max="9" width="11.26953125" style="138" customWidth="1"/>
    <col min="10" max="10" width="26.81640625" style="137" bestFit="1" customWidth="1"/>
    <col min="11" max="11" width="14.1796875" style="138" bestFit="1" customWidth="1"/>
    <col min="12" max="12" width="21.453125" style="137" customWidth="1"/>
    <col min="13" max="16384" width="11.453125" style="18"/>
  </cols>
  <sheetData>
    <row r="1" spans="1:12" s="315" customFormat="1" ht="31.5" customHeight="1">
      <c r="A1" s="316" t="s">
        <v>332</v>
      </c>
      <c r="B1" s="317" t="s">
        <v>368</v>
      </c>
      <c r="C1" s="311" t="s">
        <v>333</v>
      </c>
      <c r="D1" s="314" t="s">
        <v>180</v>
      </c>
      <c r="E1" s="314" t="s">
        <v>370</v>
      </c>
      <c r="F1" s="312" t="s">
        <v>371</v>
      </c>
      <c r="G1" s="313" t="s">
        <v>331</v>
      </c>
      <c r="H1" s="311" t="s">
        <v>376</v>
      </c>
      <c r="I1" s="314" t="s">
        <v>377</v>
      </c>
      <c r="J1" s="311" t="s">
        <v>375</v>
      </c>
      <c r="K1" s="314" t="s">
        <v>374</v>
      </c>
      <c r="L1" s="311" t="s">
        <v>334</v>
      </c>
    </row>
    <row r="2" spans="1:12" ht="15" customHeight="1">
      <c r="A2" s="136">
        <v>42248</v>
      </c>
      <c r="B2" s="307">
        <v>14024697</v>
      </c>
      <c r="C2" s="137" t="s">
        <v>67</v>
      </c>
      <c r="D2" s="138">
        <v>331.91</v>
      </c>
      <c r="E2" s="138">
        <v>17.3</v>
      </c>
      <c r="G2" s="308" t="s">
        <v>373</v>
      </c>
      <c r="I2" s="138">
        <v>331.91</v>
      </c>
      <c r="J2" s="137" t="s">
        <v>1540</v>
      </c>
      <c r="K2" s="138">
        <f t="shared" ref="K2:K33" si="0">IF(D2&lt;&gt;"",D2-I2,"")</f>
        <v>0</v>
      </c>
    </row>
    <row r="3" spans="1:12" ht="15" customHeight="1">
      <c r="A3" s="136">
        <v>42248</v>
      </c>
      <c r="B3" s="307">
        <v>20154846</v>
      </c>
      <c r="C3" s="137" t="s">
        <v>68</v>
      </c>
      <c r="D3" s="138">
        <v>26.11</v>
      </c>
      <c r="E3" s="138">
        <v>1.36</v>
      </c>
      <c r="G3" s="308" t="s">
        <v>71</v>
      </c>
      <c r="I3" s="138">
        <v>26.11</v>
      </c>
      <c r="J3" s="137" t="s">
        <v>2276</v>
      </c>
      <c r="K3" s="138">
        <f t="shared" si="0"/>
        <v>0</v>
      </c>
    </row>
    <row r="4" spans="1:12" ht="15" customHeight="1">
      <c r="A4" s="136">
        <v>42249</v>
      </c>
      <c r="B4" s="307">
        <v>20154880</v>
      </c>
      <c r="C4" s="137" t="s">
        <v>68</v>
      </c>
      <c r="D4" s="138">
        <v>31.67</v>
      </c>
      <c r="E4" s="138">
        <v>1.65</v>
      </c>
      <c r="G4" s="308" t="s">
        <v>71</v>
      </c>
      <c r="I4" s="138">
        <v>31.67</v>
      </c>
      <c r="K4" s="138">
        <f t="shared" si="0"/>
        <v>0</v>
      </c>
    </row>
    <row r="5" spans="1:12">
      <c r="A5" s="136">
        <v>42250</v>
      </c>
      <c r="B5" s="307">
        <v>15006408</v>
      </c>
      <c r="C5" s="137" t="s">
        <v>69</v>
      </c>
      <c r="D5" s="138">
        <v>1036.31</v>
      </c>
      <c r="E5" s="138">
        <v>50.63</v>
      </c>
      <c r="G5" s="308" t="s">
        <v>373</v>
      </c>
      <c r="I5" s="138">
        <v>1036.31</v>
      </c>
      <c r="J5" s="310" t="s">
        <v>886</v>
      </c>
      <c r="K5" s="138">
        <f t="shared" si="0"/>
        <v>0</v>
      </c>
    </row>
    <row r="6" spans="1:12" ht="15" customHeight="1">
      <c r="A6" s="136">
        <v>42250</v>
      </c>
      <c r="B6" s="307">
        <v>20154907</v>
      </c>
      <c r="C6" s="137" t="s">
        <v>68</v>
      </c>
      <c r="D6" s="138">
        <v>28.58</v>
      </c>
      <c r="E6" s="138">
        <v>1.49</v>
      </c>
      <c r="G6" s="308" t="s">
        <v>71</v>
      </c>
      <c r="I6" s="138">
        <v>28.58</v>
      </c>
      <c r="K6" s="138">
        <f t="shared" si="0"/>
        <v>0</v>
      </c>
    </row>
    <row r="7" spans="1:12" ht="15" customHeight="1">
      <c r="A7" s="136">
        <v>42251</v>
      </c>
      <c r="B7" s="307">
        <v>15027005</v>
      </c>
      <c r="C7" s="137" t="s">
        <v>70</v>
      </c>
      <c r="D7" s="138">
        <v>18.82</v>
      </c>
      <c r="G7" s="308" t="s">
        <v>373</v>
      </c>
      <c r="I7" s="138">
        <v>18.82</v>
      </c>
      <c r="K7" s="138">
        <f t="shared" si="0"/>
        <v>0</v>
      </c>
    </row>
    <row r="8" spans="1:12" ht="15" customHeight="1">
      <c r="A8" s="136">
        <v>42251</v>
      </c>
      <c r="B8" s="307">
        <v>20154941</v>
      </c>
      <c r="C8" s="137" t="s">
        <v>68</v>
      </c>
      <c r="D8" s="138">
        <v>26.11</v>
      </c>
      <c r="E8" s="138">
        <v>1.36</v>
      </c>
      <c r="G8" s="308" t="s">
        <v>71</v>
      </c>
      <c r="I8" s="138">
        <v>26.11</v>
      </c>
      <c r="K8" s="138">
        <f t="shared" si="0"/>
        <v>0</v>
      </c>
    </row>
    <row r="9" spans="1:12" ht="15" customHeight="1">
      <c r="A9" s="136">
        <v>42251</v>
      </c>
      <c r="B9" s="307" t="s">
        <v>899</v>
      </c>
      <c r="C9" s="137" t="s">
        <v>70</v>
      </c>
      <c r="D9" s="138">
        <v>630.77</v>
      </c>
      <c r="G9" s="308" t="s">
        <v>373</v>
      </c>
      <c r="I9" s="138">
        <v>630.77</v>
      </c>
      <c r="K9" s="138">
        <f t="shared" si="0"/>
        <v>0</v>
      </c>
    </row>
    <row r="10" spans="1:12" ht="15" customHeight="1">
      <c r="A10" s="136">
        <v>42254</v>
      </c>
      <c r="B10" s="307">
        <v>20154986</v>
      </c>
      <c r="C10" s="137" t="s">
        <v>68</v>
      </c>
      <c r="D10" s="138">
        <v>57.19</v>
      </c>
      <c r="E10" s="138">
        <v>2.98</v>
      </c>
      <c r="G10" s="308" t="s">
        <v>71</v>
      </c>
      <c r="I10" s="138">
        <v>57.19</v>
      </c>
      <c r="K10" s="138">
        <f t="shared" si="0"/>
        <v>0</v>
      </c>
    </row>
    <row r="11" spans="1:12" ht="15" customHeight="1">
      <c r="A11" s="136">
        <v>42255</v>
      </c>
      <c r="B11" s="307">
        <v>14024900</v>
      </c>
      <c r="C11" s="137" t="s">
        <v>67</v>
      </c>
      <c r="D11" s="138">
        <v>350.27</v>
      </c>
      <c r="E11" s="138">
        <v>18.260000000000002</v>
      </c>
      <c r="G11" s="308" t="s">
        <v>373</v>
      </c>
      <c r="I11" s="138">
        <v>350.27</v>
      </c>
      <c r="J11" s="137" t="s">
        <v>1540</v>
      </c>
      <c r="K11" s="138">
        <f t="shared" si="0"/>
        <v>0</v>
      </c>
    </row>
    <row r="12" spans="1:12">
      <c r="A12" s="136">
        <v>42255</v>
      </c>
      <c r="B12" s="307">
        <v>15008184</v>
      </c>
      <c r="C12" s="310" t="s">
        <v>69</v>
      </c>
      <c r="D12" s="138">
        <v>2181.9499999999998</v>
      </c>
      <c r="E12" s="138">
        <v>220.21</v>
      </c>
      <c r="F12" s="364"/>
      <c r="G12" s="365" t="s">
        <v>72</v>
      </c>
      <c r="H12" s="310"/>
      <c r="I12" s="138">
        <v>2181.9499999999998</v>
      </c>
      <c r="J12" s="310" t="s">
        <v>886</v>
      </c>
      <c r="K12" s="138">
        <f t="shared" si="0"/>
        <v>0</v>
      </c>
      <c r="L12" s="310"/>
    </row>
    <row r="13" spans="1:12" ht="15" customHeight="1">
      <c r="A13" s="136">
        <v>42255</v>
      </c>
      <c r="B13" s="307">
        <v>20155026</v>
      </c>
      <c r="C13" s="137" t="s">
        <v>68</v>
      </c>
      <c r="D13" s="138">
        <v>23.02</v>
      </c>
      <c r="E13" s="138">
        <v>1.2</v>
      </c>
      <c r="G13" s="308" t="s">
        <v>71</v>
      </c>
      <c r="I13" s="138">
        <v>23.02</v>
      </c>
      <c r="K13" s="138">
        <f t="shared" si="0"/>
        <v>0</v>
      </c>
    </row>
    <row r="14" spans="1:12" ht="15" customHeight="1">
      <c r="A14" s="136">
        <v>42256</v>
      </c>
      <c r="B14" s="307">
        <v>20155062</v>
      </c>
      <c r="C14" s="137" t="s">
        <v>68</v>
      </c>
      <c r="D14" s="138">
        <v>22.48</v>
      </c>
      <c r="E14" s="138">
        <v>1.17</v>
      </c>
      <c r="G14" s="308" t="s">
        <v>71</v>
      </c>
      <c r="I14" s="138">
        <v>22.48</v>
      </c>
      <c r="K14" s="138">
        <f t="shared" si="0"/>
        <v>0</v>
      </c>
    </row>
    <row r="15" spans="1:12" ht="15" customHeight="1">
      <c r="A15" s="136">
        <v>42257</v>
      </c>
      <c r="B15" s="307">
        <v>297303</v>
      </c>
      <c r="C15" s="310" t="s">
        <v>56</v>
      </c>
      <c r="D15" s="138">
        <v>32.82</v>
      </c>
      <c r="E15" s="138">
        <v>5.47</v>
      </c>
      <c r="G15" s="365" t="s">
        <v>50</v>
      </c>
      <c r="I15" s="138">
        <v>32.82</v>
      </c>
      <c r="K15" s="138">
        <f t="shared" si="0"/>
        <v>0</v>
      </c>
    </row>
    <row r="16" spans="1:12" ht="15" customHeight="1">
      <c r="A16" s="136">
        <v>42257</v>
      </c>
      <c r="B16" s="307">
        <v>15006604</v>
      </c>
      <c r="C16" s="137" t="s">
        <v>69</v>
      </c>
      <c r="D16" s="138">
        <v>622.77</v>
      </c>
      <c r="E16" s="138">
        <v>47.32</v>
      </c>
      <c r="G16" s="365" t="s">
        <v>71</v>
      </c>
      <c r="I16" s="138">
        <v>622.77</v>
      </c>
      <c r="K16" s="138">
        <f t="shared" si="0"/>
        <v>0</v>
      </c>
    </row>
    <row r="17" spans="1:12" ht="15" customHeight="1">
      <c r="A17" s="136">
        <v>42257</v>
      </c>
      <c r="B17" s="307">
        <v>15006636</v>
      </c>
      <c r="C17" s="310" t="s">
        <v>69</v>
      </c>
      <c r="D17" s="138">
        <v>1025.19</v>
      </c>
      <c r="E17" s="138">
        <v>53.45</v>
      </c>
      <c r="F17" s="364"/>
      <c r="G17" s="365" t="s">
        <v>72</v>
      </c>
      <c r="H17" s="310"/>
      <c r="I17" s="138">
        <v>1025.19</v>
      </c>
      <c r="J17" s="310"/>
      <c r="K17" s="138">
        <f t="shared" si="0"/>
        <v>0</v>
      </c>
      <c r="L17" s="310"/>
    </row>
    <row r="18" spans="1:12" ht="15" customHeight="1">
      <c r="A18" s="136">
        <v>42257</v>
      </c>
      <c r="B18" s="307">
        <v>15027440</v>
      </c>
      <c r="C18" s="137" t="s">
        <v>70</v>
      </c>
      <c r="D18" s="138">
        <v>24.56</v>
      </c>
      <c r="G18" s="308" t="s">
        <v>373</v>
      </c>
      <c r="I18" s="138">
        <v>24.56</v>
      </c>
      <c r="K18" s="138">
        <f t="shared" si="0"/>
        <v>0</v>
      </c>
    </row>
    <row r="19" spans="1:12" ht="15" customHeight="1">
      <c r="A19" s="136">
        <v>42257</v>
      </c>
      <c r="B19" s="307">
        <v>20155074</v>
      </c>
      <c r="C19" s="137" t="s">
        <v>68</v>
      </c>
      <c r="D19" s="138">
        <v>23.48</v>
      </c>
      <c r="E19" s="138">
        <v>1.22</v>
      </c>
      <c r="G19" s="308" t="s">
        <v>71</v>
      </c>
      <c r="I19" s="138">
        <v>23.48</v>
      </c>
      <c r="K19" s="138">
        <f t="shared" si="0"/>
        <v>0</v>
      </c>
    </row>
    <row r="20" spans="1:12" ht="15" customHeight="1">
      <c r="A20" s="136">
        <v>42257</v>
      </c>
      <c r="B20" s="307">
        <v>20155083</v>
      </c>
      <c r="C20" s="137" t="s">
        <v>68</v>
      </c>
      <c r="D20" s="138">
        <v>193.93</v>
      </c>
      <c r="E20" s="138">
        <v>10.11</v>
      </c>
      <c r="G20" s="308" t="s">
        <v>72</v>
      </c>
      <c r="I20" s="138">
        <v>193.93</v>
      </c>
      <c r="K20" s="138">
        <f t="shared" si="0"/>
        <v>0</v>
      </c>
    </row>
    <row r="21" spans="1:12" ht="15" customHeight="1">
      <c r="A21" s="136">
        <v>42257</v>
      </c>
      <c r="B21" s="307">
        <v>3350906147</v>
      </c>
      <c r="C21" s="310" t="s">
        <v>73</v>
      </c>
      <c r="D21" s="138">
        <v>569.14</v>
      </c>
      <c r="E21" s="138">
        <v>33.42</v>
      </c>
      <c r="F21" s="364"/>
      <c r="G21" s="365" t="s">
        <v>72</v>
      </c>
      <c r="H21" s="310"/>
      <c r="I21" s="138">
        <v>569.14</v>
      </c>
      <c r="J21" s="310" t="s">
        <v>861</v>
      </c>
      <c r="K21" s="138">
        <f t="shared" si="0"/>
        <v>0</v>
      </c>
      <c r="L21" s="310"/>
    </row>
    <row r="22" spans="1:12" ht="15" customHeight="1">
      <c r="A22" s="136">
        <v>42258</v>
      </c>
      <c r="B22" s="307">
        <v>15027794</v>
      </c>
      <c r="C22" s="137" t="s">
        <v>70</v>
      </c>
      <c r="D22" s="138">
        <v>366.75</v>
      </c>
      <c r="G22" s="308" t="s">
        <v>373</v>
      </c>
      <c r="I22" s="138">
        <v>366.75</v>
      </c>
      <c r="K22" s="138">
        <f t="shared" si="0"/>
        <v>0</v>
      </c>
    </row>
    <row r="23" spans="1:12" ht="15" customHeight="1">
      <c r="A23" s="136">
        <v>42258</v>
      </c>
      <c r="B23" s="307">
        <v>15027866</v>
      </c>
      <c r="C23" s="137" t="s">
        <v>70</v>
      </c>
      <c r="D23" s="138">
        <v>38.01</v>
      </c>
      <c r="G23" s="308" t="s">
        <v>373</v>
      </c>
      <c r="I23" s="138">
        <v>38.01</v>
      </c>
      <c r="K23" s="138">
        <f t="shared" si="0"/>
        <v>0</v>
      </c>
    </row>
    <row r="24" spans="1:12" ht="15" customHeight="1">
      <c r="A24" s="136">
        <v>42258</v>
      </c>
      <c r="B24" s="307">
        <v>20155101</v>
      </c>
      <c r="C24" s="137" t="s">
        <v>68</v>
      </c>
      <c r="D24" s="138">
        <v>19.190000000000001</v>
      </c>
      <c r="E24" s="138">
        <v>1</v>
      </c>
      <c r="G24" s="308" t="s">
        <v>71</v>
      </c>
      <c r="I24" s="138">
        <v>19.190000000000001</v>
      </c>
      <c r="K24" s="138">
        <f t="shared" si="0"/>
        <v>0</v>
      </c>
    </row>
    <row r="25" spans="1:12" ht="15" customHeight="1">
      <c r="A25" s="136">
        <v>42259</v>
      </c>
      <c r="B25" s="307">
        <v>20155133</v>
      </c>
      <c r="C25" s="137" t="s">
        <v>68</v>
      </c>
      <c r="D25" s="138">
        <v>27.27</v>
      </c>
      <c r="E25" s="138">
        <v>1.42</v>
      </c>
      <c r="G25" s="308" t="s">
        <v>373</v>
      </c>
      <c r="I25" s="138">
        <v>27.27</v>
      </c>
      <c r="K25" s="138">
        <f t="shared" si="0"/>
        <v>0</v>
      </c>
    </row>
    <row r="26" spans="1:12" ht="15" customHeight="1">
      <c r="A26" s="136">
        <v>42259</v>
      </c>
      <c r="B26" s="307">
        <v>20155137</v>
      </c>
      <c r="C26" s="137" t="s">
        <v>68</v>
      </c>
      <c r="D26" s="138">
        <v>93.18</v>
      </c>
      <c r="E26" s="138">
        <v>4.8600000000000003</v>
      </c>
      <c r="G26" s="308" t="s">
        <v>72</v>
      </c>
      <c r="I26" s="138">
        <v>93.18</v>
      </c>
      <c r="K26" s="138">
        <f t="shared" si="0"/>
        <v>0</v>
      </c>
    </row>
    <row r="27" spans="1:12" ht="15" customHeight="1">
      <c r="A27" s="136">
        <v>42261</v>
      </c>
      <c r="B27" s="307">
        <v>14025033</v>
      </c>
      <c r="C27" s="310" t="s">
        <v>67</v>
      </c>
      <c r="D27" s="138">
        <v>563.17999999999995</v>
      </c>
      <c r="E27" s="138">
        <v>29.36</v>
      </c>
      <c r="F27" s="364"/>
      <c r="G27" s="365" t="s">
        <v>71</v>
      </c>
      <c r="H27" s="310"/>
      <c r="I27" s="366">
        <v>563.17999999999995</v>
      </c>
      <c r="J27" s="310" t="s">
        <v>1540</v>
      </c>
      <c r="K27" s="138">
        <f t="shared" si="0"/>
        <v>0</v>
      </c>
      <c r="L27" s="310"/>
    </row>
    <row r="28" spans="1:12" ht="15" customHeight="1">
      <c r="A28" s="136">
        <v>42261</v>
      </c>
      <c r="B28" s="307">
        <v>20155161</v>
      </c>
      <c r="C28" s="137" t="s">
        <v>68</v>
      </c>
      <c r="D28" s="138">
        <v>66.19</v>
      </c>
      <c r="E28" s="138">
        <v>3.45</v>
      </c>
      <c r="G28" s="308" t="s">
        <v>72</v>
      </c>
      <c r="I28" s="138">
        <v>66.19</v>
      </c>
      <c r="K28" s="138">
        <f t="shared" si="0"/>
        <v>0</v>
      </c>
    </row>
    <row r="29" spans="1:12" ht="15" customHeight="1">
      <c r="A29" s="136">
        <v>42261</v>
      </c>
      <c r="B29" s="307">
        <v>20155175</v>
      </c>
      <c r="C29" s="310" t="s">
        <v>68</v>
      </c>
      <c r="D29" s="138">
        <v>11.87</v>
      </c>
      <c r="E29" s="138">
        <v>0.62</v>
      </c>
      <c r="F29" s="364"/>
      <c r="G29" s="365" t="s">
        <v>72</v>
      </c>
      <c r="H29" s="310"/>
      <c r="I29" s="366">
        <v>11.87</v>
      </c>
      <c r="J29" s="310"/>
      <c r="K29" s="138">
        <f t="shared" si="0"/>
        <v>0</v>
      </c>
      <c r="L29" s="310"/>
    </row>
    <row r="30" spans="1:12" ht="15" customHeight="1">
      <c r="A30" s="136">
        <v>42261</v>
      </c>
      <c r="B30" s="307">
        <v>20155178</v>
      </c>
      <c r="C30" s="137" t="s">
        <v>68</v>
      </c>
      <c r="D30" s="138">
        <v>28.98</v>
      </c>
      <c r="E30" s="138">
        <v>1.51</v>
      </c>
      <c r="G30" s="308" t="s">
        <v>373</v>
      </c>
      <c r="I30" s="138">
        <v>28.98</v>
      </c>
      <c r="K30" s="138">
        <f t="shared" si="0"/>
        <v>0</v>
      </c>
    </row>
    <row r="31" spans="1:12" ht="15" customHeight="1">
      <c r="A31" s="136">
        <v>42261</v>
      </c>
      <c r="B31" s="307">
        <v>3350907969</v>
      </c>
      <c r="C31" s="310" t="s">
        <v>73</v>
      </c>
      <c r="D31" s="138">
        <v>1914.1</v>
      </c>
      <c r="E31" s="138">
        <v>101.68</v>
      </c>
      <c r="G31" s="365" t="s">
        <v>72</v>
      </c>
      <c r="I31" s="138">
        <v>1914.1</v>
      </c>
      <c r="J31" s="137" t="s">
        <v>861</v>
      </c>
      <c r="K31" s="138">
        <f t="shared" si="0"/>
        <v>0</v>
      </c>
    </row>
    <row r="32" spans="1:12" ht="15" customHeight="1">
      <c r="A32" s="136">
        <v>42262</v>
      </c>
      <c r="B32" s="307">
        <v>297822</v>
      </c>
      <c r="C32" s="310" t="s">
        <v>56</v>
      </c>
      <c r="D32" s="138">
        <v>10.39</v>
      </c>
      <c r="E32" s="138">
        <v>1.73</v>
      </c>
      <c r="G32" s="365" t="s">
        <v>50</v>
      </c>
      <c r="I32" s="138">
        <v>10.39</v>
      </c>
      <c r="K32" s="138">
        <f t="shared" si="0"/>
        <v>0</v>
      </c>
    </row>
    <row r="33" spans="1:12" ht="15" customHeight="1">
      <c r="A33" s="136">
        <v>42262</v>
      </c>
      <c r="B33" s="307">
        <v>4704951</v>
      </c>
      <c r="C33" s="137" t="s">
        <v>74</v>
      </c>
      <c r="D33" s="138">
        <v>240.15</v>
      </c>
      <c r="E33" s="138">
        <v>12.52</v>
      </c>
      <c r="G33" s="308" t="s">
        <v>373</v>
      </c>
      <c r="I33" s="138">
        <v>240.15</v>
      </c>
      <c r="J33" s="137" t="s">
        <v>1530</v>
      </c>
      <c r="K33" s="138">
        <f t="shared" si="0"/>
        <v>0</v>
      </c>
    </row>
    <row r="34" spans="1:12" ht="15" customHeight="1">
      <c r="A34" s="136">
        <v>42262</v>
      </c>
      <c r="B34" s="307">
        <v>20155210</v>
      </c>
      <c r="C34" s="310" t="s">
        <v>68</v>
      </c>
      <c r="D34" s="138">
        <v>39.770000000000003</v>
      </c>
      <c r="E34" s="138">
        <v>2.0699999999999998</v>
      </c>
      <c r="G34" s="365" t="s">
        <v>72</v>
      </c>
      <c r="I34" s="138">
        <v>39.770000000000003</v>
      </c>
      <c r="K34" s="138">
        <f t="shared" ref="K34:K65" si="1">IF(D34&lt;&gt;"",D34-I34,"")</f>
        <v>0</v>
      </c>
    </row>
    <row r="35" spans="1:12" ht="15" customHeight="1">
      <c r="A35" s="136">
        <v>42262</v>
      </c>
      <c r="B35" s="307">
        <v>20155224</v>
      </c>
      <c r="C35" s="137" t="s">
        <v>68</v>
      </c>
      <c r="D35" s="138">
        <v>23.95</v>
      </c>
      <c r="E35" s="138">
        <v>1.25</v>
      </c>
      <c r="G35" s="308" t="s">
        <v>373</v>
      </c>
      <c r="I35" s="138">
        <v>23.95</v>
      </c>
      <c r="K35" s="138">
        <f t="shared" si="1"/>
        <v>0</v>
      </c>
    </row>
    <row r="36" spans="1:12">
      <c r="A36" s="136">
        <v>42263</v>
      </c>
      <c r="B36" s="307">
        <v>15006804</v>
      </c>
      <c r="C36" s="310" t="s">
        <v>69</v>
      </c>
      <c r="D36" s="138">
        <v>1897.51</v>
      </c>
      <c r="E36" s="138">
        <v>144.37</v>
      </c>
      <c r="F36" s="364"/>
      <c r="G36" s="365" t="s">
        <v>72</v>
      </c>
      <c r="H36" s="310"/>
      <c r="I36" s="138">
        <v>1897.51</v>
      </c>
      <c r="J36" s="310" t="s">
        <v>892</v>
      </c>
      <c r="K36" s="138">
        <f t="shared" si="1"/>
        <v>0</v>
      </c>
      <c r="L36" s="310"/>
    </row>
    <row r="37" spans="1:12" ht="15" customHeight="1">
      <c r="A37" s="136">
        <v>42263</v>
      </c>
      <c r="B37" s="307">
        <v>20155228</v>
      </c>
      <c r="C37" s="137" t="s">
        <v>68</v>
      </c>
      <c r="D37" s="138">
        <v>28.6</v>
      </c>
      <c r="E37" s="138">
        <v>1.49</v>
      </c>
      <c r="G37" s="308" t="s">
        <v>373</v>
      </c>
      <c r="I37" s="138">
        <v>28.6</v>
      </c>
      <c r="K37" s="138">
        <f t="shared" si="1"/>
        <v>0</v>
      </c>
    </row>
    <row r="38" spans="1:12">
      <c r="A38" s="136">
        <v>42264</v>
      </c>
      <c r="B38" s="307">
        <v>15006808</v>
      </c>
      <c r="C38" s="137" t="s">
        <v>69</v>
      </c>
      <c r="D38" s="138">
        <v>996.96</v>
      </c>
      <c r="E38" s="138">
        <v>78.260000000000005</v>
      </c>
      <c r="G38" s="365" t="s">
        <v>71</v>
      </c>
      <c r="I38" s="138">
        <v>996.96</v>
      </c>
      <c r="J38" s="137" t="s">
        <v>893</v>
      </c>
      <c r="K38" s="138">
        <f t="shared" si="1"/>
        <v>0</v>
      </c>
    </row>
    <row r="39" spans="1:12" ht="15" customHeight="1">
      <c r="A39" s="136">
        <v>42264</v>
      </c>
      <c r="B39" s="307">
        <v>20155272</v>
      </c>
      <c r="C39" s="137" t="s">
        <v>68</v>
      </c>
      <c r="D39" s="138">
        <v>25.71</v>
      </c>
      <c r="E39" s="138">
        <v>1.34</v>
      </c>
      <c r="G39" s="308" t="s">
        <v>71</v>
      </c>
      <c r="I39" s="138">
        <v>25.71</v>
      </c>
      <c r="K39" s="138">
        <f t="shared" si="1"/>
        <v>0</v>
      </c>
    </row>
    <row r="40" spans="1:12" ht="15" customHeight="1">
      <c r="A40" s="136">
        <v>42264</v>
      </c>
      <c r="B40" s="307">
        <v>20155276</v>
      </c>
      <c r="C40" s="310" t="s">
        <v>68</v>
      </c>
      <c r="D40" s="138">
        <v>83.25</v>
      </c>
      <c r="E40" s="138">
        <v>4.34</v>
      </c>
      <c r="G40" s="365" t="s">
        <v>72</v>
      </c>
      <c r="I40" s="138">
        <v>83.25</v>
      </c>
      <c r="K40" s="138">
        <f t="shared" si="1"/>
        <v>0</v>
      </c>
    </row>
    <row r="41" spans="1:12" ht="15" customHeight="1">
      <c r="A41" s="136">
        <v>42264</v>
      </c>
      <c r="B41" s="307">
        <v>3350910612</v>
      </c>
      <c r="C41" s="310" t="s">
        <v>73</v>
      </c>
      <c r="D41" s="138">
        <v>991.69</v>
      </c>
      <c r="E41" s="138">
        <v>51.7</v>
      </c>
      <c r="G41" s="365" t="s">
        <v>72</v>
      </c>
      <c r="I41" s="138">
        <v>991.69</v>
      </c>
      <c r="J41" s="137" t="s">
        <v>861</v>
      </c>
      <c r="K41" s="138">
        <f t="shared" si="1"/>
        <v>0</v>
      </c>
    </row>
    <row r="42" spans="1:12" ht="15" customHeight="1">
      <c r="A42" s="136">
        <v>42264</v>
      </c>
      <c r="B42" s="307">
        <v>3350911290</v>
      </c>
      <c r="C42" s="310" t="s">
        <v>73</v>
      </c>
      <c r="D42" s="138">
        <v>565.54</v>
      </c>
      <c r="E42" s="138">
        <v>32.82</v>
      </c>
      <c r="F42" s="364"/>
      <c r="G42" s="365" t="s">
        <v>72</v>
      </c>
      <c r="H42" s="310"/>
      <c r="I42" s="138">
        <v>565.54</v>
      </c>
      <c r="J42" s="310" t="s">
        <v>861</v>
      </c>
      <c r="K42" s="138">
        <f t="shared" si="1"/>
        <v>0</v>
      </c>
      <c r="L42" s="310"/>
    </row>
    <row r="43" spans="1:12" ht="15" customHeight="1">
      <c r="A43" s="136">
        <v>42264</v>
      </c>
      <c r="B43" s="307">
        <v>3350911309</v>
      </c>
      <c r="C43" s="310" t="s">
        <v>73</v>
      </c>
      <c r="D43" s="138">
        <v>0</v>
      </c>
      <c r="E43" s="138">
        <v>0</v>
      </c>
      <c r="G43" s="365" t="s">
        <v>72</v>
      </c>
      <c r="I43" s="138">
        <v>0</v>
      </c>
      <c r="J43" s="137" t="s">
        <v>861</v>
      </c>
      <c r="K43" s="138">
        <f t="shared" si="1"/>
        <v>0</v>
      </c>
      <c r="L43" s="137" t="s">
        <v>75</v>
      </c>
    </row>
    <row r="44" spans="1:12" ht="15" customHeight="1">
      <c r="A44" s="136">
        <v>42265</v>
      </c>
      <c r="B44" s="307">
        <v>52831</v>
      </c>
      <c r="C44" s="310" t="s">
        <v>78</v>
      </c>
      <c r="D44" s="138">
        <v>171.94</v>
      </c>
      <c r="E44" s="138">
        <v>28.66</v>
      </c>
      <c r="G44" s="365" t="s">
        <v>72</v>
      </c>
      <c r="I44" s="138">
        <v>171.94</v>
      </c>
      <c r="K44" s="138">
        <f t="shared" si="1"/>
        <v>0</v>
      </c>
    </row>
    <row r="45" spans="1:12" ht="15" customHeight="1">
      <c r="A45" s="136">
        <v>42265</v>
      </c>
      <c r="B45" s="307">
        <v>15028706</v>
      </c>
      <c r="C45" s="137" t="s">
        <v>70</v>
      </c>
      <c r="D45" s="138">
        <v>263.14999999999998</v>
      </c>
      <c r="G45" s="308" t="s">
        <v>373</v>
      </c>
      <c r="I45" s="138">
        <v>263.14999999999998</v>
      </c>
      <c r="K45" s="138">
        <f t="shared" si="1"/>
        <v>0</v>
      </c>
    </row>
    <row r="46" spans="1:12" ht="15" customHeight="1">
      <c r="A46" s="136">
        <v>42265</v>
      </c>
      <c r="B46" s="307">
        <v>20155288</v>
      </c>
      <c r="C46" s="137" t="s">
        <v>68</v>
      </c>
      <c r="D46" s="138">
        <v>19.61</v>
      </c>
      <c r="E46" s="138">
        <v>1.02</v>
      </c>
      <c r="G46" s="308" t="s">
        <v>71</v>
      </c>
      <c r="I46" s="138">
        <v>19.61</v>
      </c>
      <c r="K46" s="138">
        <f t="shared" si="1"/>
        <v>0</v>
      </c>
    </row>
    <row r="47" spans="1:12" ht="15" customHeight="1">
      <c r="A47" s="136">
        <v>42265</v>
      </c>
      <c r="B47" s="307">
        <v>20155304</v>
      </c>
      <c r="C47" s="310" t="s">
        <v>68</v>
      </c>
      <c r="D47" s="138">
        <v>78.72</v>
      </c>
      <c r="E47" s="138">
        <v>4.0999999999999996</v>
      </c>
      <c r="G47" s="365" t="s">
        <v>72</v>
      </c>
      <c r="I47" s="138">
        <v>78.72</v>
      </c>
      <c r="K47" s="138">
        <f t="shared" si="1"/>
        <v>0</v>
      </c>
    </row>
    <row r="48" spans="1:12" ht="15" customHeight="1">
      <c r="A48" s="136">
        <v>42266</v>
      </c>
      <c r="B48" s="307">
        <v>20155219</v>
      </c>
      <c r="C48" s="310" t="s">
        <v>68</v>
      </c>
      <c r="D48" s="138">
        <v>98.7</v>
      </c>
      <c r="E48" s="138">
        <v>5.15</v>
      </c>
      <c r="G48" s="365" t="s">
        <v>72</v>
      </c>
      <c r="I48" s="138">
        <v>98.7</v>
      </c>
      <c r="K48" s="138">
        <f t="shared" si="1"/>
        <v>0</v>
      </c>
    </row>
    <row r="49" spans="1:12" ht="15" customHeight="1">
      <c r="A49" s="136">
        <v>42268</v>
      </c>
      <c r="B49" s="307">
        <v>4716890</v>
      </c>
      <c r="C49" s="137" t="s">
        <v>74</v>
      </c>
      <c r="D49" s="138">
        <v>110.26</v>
      </c>
      <c r="E49" s="138">
        <v>5.75</v>
      </c>
      <c r="G49" s="308" t="s">
        <v>373</v>
      </c>
      <c r="I49" s="138">
        <v>110.26</v>
      </c>
      <c r="J49" s="137" t="s">
        <v>1530</v>
      </c>
      <c r="K49" s="138">
        <f t="shared" si="1"/>
        <v>0</v>
      </c>
    </row>
    <row r="50" spans="1:12" ht="15" customHeight="1">
      <c r="A50" s="136">
        <v>42268</v>
      </c>
      <c r="B50" s="307">
        <v>20155338</v>
      </c>
      <c r="C50" s="137" t="s">
        <v>68</v>
      </c>
      <c r="D50" s="138">
        <v>25.34</v>
      </c>
      <c r="E50" s="138">
        <v>1.32</v>
      </c>
      <c r="G50" s="308" t="s">
        <v>71</v>
      </c>
      <c r="I50" s="138">
        <v>25.34</v>
      </c>
      <c r="K50" s="138">
        <f t="shared" si="1"/>
        <v>0</v>
      </c>
    </row>
    <row r="51" spans="1:12" ht="15" customHeight="1">
      <c r="A51" s="136">
        <v>42268</v>
      </c>
      <c r="B51" s="307">
        <v>20155340</v>
      </c>
      <c r="C51" s="310" t="s">
        <v>68</v>
      </c>
      <c r="D51" s="138">
        <v>94.29</v>
      </c>
      <c r="E51" s="138">
        <v>4.92</v>
      </c>
      <c r="G51" s="365" t="s">
        <v>72</v>
      </c>
      <c r="I51" s="138">
        <v>94.29</v>
      </c>
      <c r="K51" s="138">
        <f t="shared" si="1"/>
        <v>0</v>
      </c>
    </row>
    <row r="52" spans="1:12" ht="15" customHeight="1">
      <c r="A52" s="136">
        <v>42268</v>
      </c>
      <c r="B52" s="307">
        <v>3350912425</v>
      </c>
      <c r="C52" s="137" t="s">
        <v>73</v>
      </c>
      <c r="D52" s="138">
        <v>388.77</v>
      </c>
      <c r="E52" s="138">
        <v>26.34</v>
      </c>
      <c r="G52" s="308" t="s">
        <v>71</v>
      </c>
      <c r="I52" s="138">
        <v>388.77</v>
      </c>
      <c r="J52" s="137" t="s">
        <v>1176</v>
      </c>
      <c r="K52" s="138">
        <f t="shared" si="1"/>
        <v>0</v>
      </c>
    </row>
    <row r="53" spans="1:12" ht="15" customHeight="1">
      <c r="A53" s="136">
        <v>42269</v>
      </c>
      <c r="B53" s="307">
        <v>15006940</v>
      </c>
      <c r="C53" s="310" t="s">
        <v>69</v>
      </c>
      <c r="D53" s="138">
        <v>2009.04</v>
      </c>
      <c r="E53" s="138">
        <v>131.26</v>
      </c>
      <c r="F53" s="364"/>
      <c r="G53" s="365" t="s">
        <v>72</v>
      </c>
      <c r="H53" s="310"/>
      <c r="I53" s="366">
        <v>2009.04</v>
      </c>
      <c r="J53" s="310" t="s">
        <v>1177</v>
      </c>
      <c r="K53" s="138">
        <f t="shared" si="1"/>
        <v>0</v>
      </c>
      <c r="L53" s="310"/>
    </row>
    <row r="54" spans="1:12" ht="15" customHeight="1">
      <c r="A54" s="136">
        <v>42269</v>
      </c>
      <c r="B54" s="307">
        <v>20155371</v>
      </c>
      <c r="C54" s="310" t="s">
        <v>68</v>
      </c>
      <c r="D54" s="138">
        <v>48.48</v>
      </c>
      <c r="E54" s="138">
        <v>2.5299999999999998</v>
      </c>
      <c r="G54" s="365" t="s">
        <v>72</v>
      </c>
      <c r="I54" s="138">
        <v>48.48</v>
      </c>
      <c r="K54" s="138">
        <f t="shared" si="1"/>
        <v>0</v>
      </c>
    </row>
    <row r="55" spans="1:12" ht="15" customHeight="1">
      <c r="A55" s="136">
        <v>42269</v>
      </c>
      <c r="B55" s="307">
        <v>20155387</v>
      </c>
      <c r="C55" s="137" t="s">
        <v>68</v>
      </c>
      <c r="D55" s="138">
        <v>58.07</v>
      </c>
      <c r="E55" s="138">
        <v>3.03</v>
      </c>
      <c r="G55" s="308" t="s">
        <v>373</v>
      </c>
      <c r="I55" s="138">
        <v>58.07</v>
      </c>
      <c r="K55" s="138">
        <f t="shared" si="1"/>
        <v>0</v>
      </c>
    </row>
    <row r="56" spans="1:12" ht="15" customHeight="1">
      <c r="A56" s="136">
        <v>42269</v>
      </c>
      <c r="B56" s="307">
        <v>3350913494</v>
      </c>
      <c r="C56" s="137" t="s">
        <v>73</v>
      </c>
      <c r="D56" s="138">
        <v>234.95</v>
      </c>
      <c r="E56" s="138">
        <v>12.25</v>
      </c>
      <c r="G56" s="308" t="s">
        <v>72</v>
      </c>
      <c r="I56" s="138">
        <v>234.95</v>
      </c>
      <c r="J56" s="137" t="s">
        <v>861</v>
      </c>
      <c r="K56" s="138">
        <f t="shared" si="1"/>
        <v>0</v>
      </c>
      <c r="L56" s="137" t="s">
        <v>76</v>
      </c>
    </row>
    <row r="57" spans="1:12" ht="15" customHeight="1">
      <c r="A57" s="136">
        <v>42269</v>
      </c>
      <c r="B57" s="307">
        <v>3350913889</v>
      </c>
      <c r="C57" s="137" t="s">
        <v>73</v>
      </c>
      <c r="D57" s="138">
        <v>0</v>
      </c>
      <c r="E57" s="138">
        <v>0</v>
      </c>
      <c r="G57" s="308" t="s">
        <v>72</v>
      </c>
      <c r="I57" s="138">
        <v>0</v>
      </c>
      <c r="J57" s="137" t="s">
        <v>861</v>
      </c>
      <c r="K57" s="138">
        <f t="shared" si="1"/>
        <v>0</v>
      </c>
    </row>
    <row r="58" spans="1:12" ht="15" customHeight="1">
      <c r="A58" s="136">
        <v>42270</v>
      </c>
      <c r="B58" s="307">
        <v>20155404</v>
      </c>
      <c r="C58" s="137" t="s">
        <v>68</v>
      </c>
      <c r="D58" s="138">
        <v>6.61</v>
      </c>
      <c r="E58" s="138">
        <v>0.34</v>
      </c>
      <c r="G58" s="308" t="s">
        <v>71</v>
      </c>
      <c r="I58" s="138">
        <v>6.61</v>
      </c>
      <c r="K58" s="138">
        <f t="shared" si="1"/>
        <v>0</v>
      </c>
    </row>
    <row r="59" spans="1:12" ht="15" customHeight="1">
      <c r="A59" s="136">
        <v>42270</v>
      </c>
      <c r="B59" s="307">
        <v>3350914728</v>
      </c>
      <c r="C59" s="137" t="s">
        <v>73</v>
      </c>
      <c r="D59" s="138">
        <v>135.09</v>
      </c>
      <c r="E59" s="138">
        <v>7.04</v>
      </c>
      <c r="G59" s="308" t="s">
        <v>72</v>
      </c>
      <c r="I59" s="138">
        <v>135.09</v>
      </c>
      <c r="J59" s="137" t="s">
        <v>861</v>
      </c>
      <c r="K59" s="138">
        <f t="shared" si="1"/>
        <v>0</v>
      </c>
    </row>
    <row r="60" spans="1:12" ht="15" customHeight="1">
      <c r="A60" s="136">
        <v>42270</v>
      </c>
      <c r="B60" s="307">
        <v>3350914807</v>
      </c>
      <c r="C60" s="137" t="s">
        <v>73</v>
      </c>
      <c r="D60" s="138">
        <v>0</v>
      </c>
      <c r="E60" s="138">
        <v>0</v>
      </c>
      <c r="G60" s="308" t="s">
        <v>72</v>
      </c>
      <c r="I60" s="138">
        <v>0</v>
      </c>
      <c r="J60" s="137" t="s">
        <v>861</v>
      </c>
      <c r="K60" s="138">
        <f t="shared" si="1"/>
        <v>0</v>
      </c>
      <c r="L60" s="139" t="s">
        <v>77</v>
      </c>
    </row>
    <row r="61" spans="1:12" ht="15" customHeight="1">
      <c r="A61" s="136">
        <v>42271</v>
      </c>
      <c r="B61" s="307">
        <v>15007011</v>
      </c>
      <c r="C61" s="137" t="s">
        <v>69</v>
      </c>
      <c r="D61" s="138">
        <v>1106.8800000000001</v>
      </c>
      <c r="E61" s="138">
        <v>0</v>
      </c>
      <c r="G61" s="365" t="s">
        <v>71</v>
      </c>
      <c r="I61" s="138">
        <v>1106.8800000000001</v>
      </c>
      <c r="J61" s="137" t="s">
        <v>1178</v>
      </c>
      <c r="K61" s="138">
        <f t="shared" si="1"/>
        <v>0</v>
      </c>
    </row>
    <row r="62" spans="1:12" ht="15" customHeight="1">
      <c r="A62" s="136">
        <v>42271</v>
      </c>
      <c r="B62" s="307">
        <v>20155446</v>
      </c>
      <c r="C62" s="137" t="s">
        <v>68</v>
      </c>
      <c r="D62" s="138">
        <v>25.34</v>
      </c>
      <c r="E62" s="138">
        <v>1.32</v>
      </c>
      <c r="G62" s="308" t="s">
        <v>71</v>
      </c>
      <c r="I62" s="138">
        <v>25.34</v>
      </c>
      <c r="K62" s="138">
        <f t="shared" si="1"/>
        <v>0</v>
      </c>
    </row>
    <row r="63" spans="1:12" ht="15" customHeight="1">
      <c r="A63" s="136">
        <v>42271</v>
      </c>
      <c r="B63" s="307">
        <v>20155457</v>
      </c>
      <c r="C63" s="310" t="s">
        <v>68</v>
      </c>
      <c r="D63" s="138">
        <v>89.89</v>
      </c>
      <c r="E63" s="138">
        <v>4.6900000000000004</v>
      </c>
      <c r="G63" s="365" t="s">
        <v>72</v>
      </c>
      <c r="I63" s="138">
        <v>89.89</v>
      </c>
      <c r="K63" s="138">
        <f t="shared" si="1"/>
        <v>0</v>
      </c>
    </row>
    <row r="64" spans="1:12" ht="15" customHeight="1">
      <c r="A64" s="136">
        <v>42271</v>
      </c>
      <c r="B64" s="307">
        <v>20155462</v>
      </c>
      <c r="C64" s="310" t="s">
        <v>68</v>
      </c>
      <c r="D64" s="138">
        <v>2.5299999999999998</v>
      </c>
      <c r="E64" s="138">
        <v>0.13</v>
      </c>
      <c r="G64" s="365" t="s">
        <v>72</v>
      </c>
      <c r="I64" s="138">
        <v>2.5299999999999998</v>
      </c>
      <c r="K64" s="138">
        <f t="shared" si="1"/>
        <v>0</v>
      </c>
    </row>
    <row r="65" spans="1:12" ht="15" customHeight="1">
      <c r="A65" s="136">
        <v>42271</v>
      </c>
      <c r="B65" s="307">
        <v>3350914874</v>
      </c>
      <c r="C65" s="137" t="s">
        <v>73</v>
      </c>
      <c r="D65" s="138">
        <v>2006.07</v>
      </c>
      <c r="E65" s="138">
        <v>115.03</v>
      </c>
      <c r="G65" s="308" t="s">
        <v>72</v>
      </c>
      <c r="I65" s="138">
        <v>2006.07</v>
      </c>
      <c r="J65" s="137" t="s">
        <v>861</v>
      </c>
      <c r="K65" s="138">
        <f t="shared" si="1"/>
        <v>0</v>
      </c>
    </row>
    <row r="66" spans="1:12" ht="15" customHeight="1">
      <c r="A66" s="136">
        <v>42272</v>
      </c>
      <c r="B66" s="307">
        <v>53260</v>
      </c>
      <c r="C66" s="137" t="s">
        <v>78</v>
      </c>
      <c r="D66" s="138">
        <v>641.1</v>
      </c>
      <c r="E66" s="138">
        <v>41.45</v>
      </c>
      <c r="G66" s="308" t="s">
        <v>373</v>
      </c>
      <c r="I66" s="138">
        <v>641.1</v>
      </c>
      <c r="K66" s="138">
        <f t="shared" ref="K66:K97" si="2">IF(D66&lt;&gt;"",D66-I66,"")</f>
        <v>0</v>
      </c>
    </row>
    <row r="67" spans="1:12" ht="15" customHeight="1">
      <c r="A67" s="136">
        <v>42272</v>
      </c>
      <c r="B67" s="307">
        <v>53285</v>
      </c>
      <c r="C67" s="310" t="s">
        <v>78</v>
      </c>
      <c r="D67" s="138">
        <v>1096.99</v>
      </c>
      <c r="E67" s="138">
        <v>75.44</v>
      </c>
      <c r="G67" s="365" t="s">
        <v>72</v>
      </c>
      <c r="I67" s="138">
        <v>1096.99</v>
      </c>
      <c r="K67" s="138">
        <f t="shared" si="2"/>
        <v>0</v>
      </c>
    </row>
    <row r="68" spans="1:12" ht="15" customHeight="1">
      <c r="A68" s="136">
        <v>42272</v>
      </c>
      <c r="B68" s="307">
        <v>15029398</v>
      </c>
      <c r="C68" s="137" t="s">
        <v>70</v>
      </c>
      <c r="D68" s="138">
        <v>199.45</v>
      </c>
      <c r="E68" s="138">
        <v>17.63</v>
      </c>
      <c r="G68" s="308" t="s">
        <v>373</v>
      </c>
      <c r="I68" s="138">
        <v>199.45</v>
      </c>
      <c r="K68" s="138">
        <f t="shared" si="2"/>
        <v>0</v>
      </c>
    </row>
    <row r="69" spans="1:12" ht="15" customHeight="1">
      <c r="A69" s="136">
        <v>42272</v>
      </c>
      <c r="B69" s="307">
        <v>15029585</v>
      </c>
      <c r="C69" s="137" t="s">
        <v>70</v>
      </c>
      <c r="D69" s="138">
        <v>19.809999999999999</v>
      </c>
      <c r="E69" s="138">
        <v>1.03</v>
      </c>
      <c r="G69" s="308" t="s">
        <v>373</v>
      </c>
      <c r="I69" s="138">
        <v>19.809999999999999</v>
      </c>
      <c r="K69" s="138">
        <f t="shared" si="2"/>
        <v>0</v>
      </c>
    </row>
    <row r="70" spans="1:12" ht="15" customHeight="1">
      <c r="A70" s="136">
        <v>42272</v>
      </c>
      <c r="B70" s="307">
        <v>20155468</v>
      </c>
      <c r="C70" s="310" t="s">
        <v>68</v>
      </c>
      <c r="D70" s="138">
        <v>88.66</v>
      </c>
      <c r="E70" s="138">
        <v>4.62</v>
      </c>
      <c r="G70" s="365" t="s">
        <v>72</v>
      </c>
      <c r="I70" s="138">
        <v>88.66</v>
      </c>
      <c r="K70" s="138">
        <f t="shared" si="2"/>
        <v>0</v>
      </c>
    </row>
    <row r="71" spans="1:12" ht="15" customHeight="1">
      <c r="A71" s="136">
        <v>42272</v>
      </c>
      <c r="B71" s="307">
        <v>20155487</v>
      </c>
      <c r="C71" s="137" t="s">
        <v>68</v>
      </c>
      <c r="D71" s="138">
        <v>22.33</v>
      </c>
      <c r="E71" s="138">
        <v>1.1599999999999999</v>
      </c>
      <c r="G71" s="308" t="s">
        <v>71</v>
      </c>
      <c r="I71" s="138">
        <v>22.33</v>
      </c>
      <c r="K71" s="138">
        <f t="shared" si="2"/>
        <v>0</v>
      </c>
    </row>
    <row r="72" spans="1:12" ht="15" customHeight="1">
      <c r="A72" s="136">
        <v>42272</v>
      </c>
      <c r="B72" s="307">
        <v>3350916528</v>
      </c>
      <c r="C72" s="137" t="s">
        <v>73</v>
      </c>
      <c r="D72" s="138">
        <v>57.24</v>
      </c>
      <c r="E72" s="138">
        <v>9.5399999999999991</v>
      </c>
      <c r="G72" s="308" t="s">
        <v>72</v>
      </c>
      <c r="I72" s="138">
        <v>57.24</v>
      </c>
      <c r="J72" s="137" t="s">
        <v>861</v>
      </c>
      <c r="K72" s="138">
        <f t="shared" si="2"/>
        <v>0</v>
      </c>
    </row>
    <row r="73" spans="1:12" ht="15" customHeight="1">
      <c r="A73" s="136">
        <v>42275</v>
      </c>
      <c r="B73" s="307">
        <v>3350916995</v>
      </c>
      <c r="C73" s="137" t="s">
        <v>73</v>
      </c>
      <c r="D73" s="138">
        <v>750.38</v>
      </c>
      <c r="E73" s="138">
        <v>39.119999999999997</v>
      </c>
      <c r="G73" s="308" t="s">
        <v>373</v>
      </c>
      <c r="I73" s="138">
        <v>750.38</v>
      </c>
      <c r="J73" s="137" t="s">
        <v>1176</v>
      </c>
      <c r="K73" s="138">
        <f t="shared" si="2"/>
        <v>0</v>
      </c>
    </row>
    <row r="74" spans="1:12" ht="15" customHeight="1">
      <c r="A74" s="136">
        <v>42276</v>
      </c>
      <c r="B74" s="307">
        <v>15007147</v>
      </c>
      <c r="C74" s="310" t="s">
        <v>69</v>
      </c>
      <c r="D74" s="138">
        <v>1884.39</v>
      </c>
      <c r="E74" s="138">
        <v>151.4</v>
      </c>
      <c r="F74" s="364"/>
      <c r="G74" s="365" t="s">
        <v>72</v>
      </c>
      <c r="H74" s="310"/>
      <c r="I74" s="366">
        <v>1884.39</v>
      </c>
      <c r="J74" s="310" t="s">
        <v>1179</v>
      </c>
      <c r="K74" s="138">
        <f t="shared" si="2"/>
        <v>0</v>
      </c>
      <c r="L74" s="310"/>
    </row>
    <row r="75" spans="1:12" ht="15" customHeight="1">
      <c r="A75" s="136">
        <v>42276</v>
      </c>
      <c r="B75" s="307">
        <v>15029773</v>
      </c>
      <c r="C75" s="310" t="s">
        <v>70</v>
      </c>
      <c r="D75" s="138">
        <v>1118.3599999999999</v>
      </c>
      <c r="E75" s="138">
        <v>73.47</v>
      </c>
      <c r="F75" s="364"/>
      <c r="G75" s="365" t="s">
        <v>72</v>
      </c>
      <c r="H75" s="310"/>
      <c r="I75" s="366">
        <v>1118.3599999999999</v>
      </c>
      <c r="J75" s="310" t="s">
        <v>1180</v>
      </c>
      <c r="K75" s="138">
        <f t="shared" si="2"/>
        <v>0</v>
      </c>
      <c r="L75" s="310"/>
    </row>
    <row r="76" spans="1:12" ht="15" customHeight="1">
      <c r="A76" s="136">
        <v>42276</v>
      </c>
      <c r="B76" s="307">
        <v>20155510</v>
      </c>
      <c r="C76" s="310" t="s">
        <v>68</v>
      </c>
      <c r="D76" s="138">
        <v>95.41</v>
      </c>
      <c r="E76" s="138">
        <v>4.97</v>
      </c>
      <c r="F76" s="364"/>
      <c r="G76" s="365" t="s">
        <v>72</v>
      </c>
      <c r="H76" s="310"/>
      <c r="I76" s="366">
        <v>95.41</v>
      </c>
      <c r="J76" s="310"/>
      <c r="K76" s="138">
        <f t="shared" si="2"/>
        <v>0</v>
      </c>
      <c r="L76" s="310"/>
    </row>
    <row r="77" spans="1:12" ht="15" customHeight="1">
      <c r="A77" s="136">
        <v>42276</v>
      </c>
      <c r="B77" s="307">
        <v>20155511</v>
      </c>
      <c r="C77" s="137" t="s">
        <v>68</v>
      </c>
      <c r="D77" s="138">
        <v>23.71</v>
      </c>
      <c r="E77" s="138">
        <v>1.24</v>
      </c>
      <c r="G77" s="308" t="s">
        <v>71</v>
      </c>
      <c r="I77" s="138">
        <v>23.71</v>
      </c>
      <c r="K77" s="138">
        <f t="shared" si="2"/>
        <v>0</v>
      </c>
    </row>
    <row r="78" spans="1:12" ht="15" customHeight="1">
      <c r="A78" s="136">
        <v>42277</v>
      </c>
      <c r="B78" s="307">
        <v>79658</v>
      </c>
      <c r="C78" s="137" t="s">
        <v>53</v>
      </c>
      <c r="D78" s="138">
        <v>873.02</v>
      </c>
      <c r="E78" s="138">
        <v>145.5</v>
      </c>
      <c r="G78" s="308" t="s">
        <v>54</v>
      </c>
      <c r="K78" s="138">
        <f t="shared" si="2"/>
        <v>873.02</v>
      </c>
    </row>
    <row r="79" spans="1:12" ht="15" customHeight="1">
      <c r="A79" s="136">
        <v>42277</v>
      </c>
      <c r="B79" s="307">
        <v>15007217</v>
      </c>
      <c r="C79" s="137" t="s">
        <v>69</v>
      </c>
      <c r="D79" s="138">
        <v>770.91</v>
      </c>
      <c r="E79" s="138">
        <v>54.54</v>
      </c>
      <c r="G79" s="308" t="s">
        <v>373</v>
      </c>
      <c r="I79" s="138">
        <v>770.91</v>
      </c>
      <c r="J79" s="310" t="s">
        <v>1179</v>
      </c>
      <c r="K79" s="138">
        <f t="shared" si="2"/>
        <v>0</v>
      </c>
    </row>
    <row r="80" spans="1:12" ht="15" customHeight="1">
      <c r="A80" s="136">
        <v>42277</v>
      </c>
      <c r="B80" s="307">
        <v>20155552</v>
      </c>
      <c r="C80" s="137" t="s">
        <v>68</v>
      </c>
      <c r="D80" s="138">
        <v>23.71</v>
      </c>
      <c r="E80" s="138">
        <v>1.24</v>
      </c>
      <c r="G80" s="308" t="s">
        <v>71</v>
      </c>
      <c r="I80" s="138">
        <v>23.71</v>
      </c>
      <c r="K80" s="138">
        <f t="shared" si="2"/>
        <v>0</v>
      </c>
    </row>
    <row r="81" spans="1:12" ht="15" customHeight="1">
      <c r="A81" s="136">
        <v>42277</v>
      </c>
      <c r="B81" s="307">
        <v>20155562</v>
      </c>
      <c r="C81" s="310" t="s">
        <v>68</v>
      </c>
      <c r="D81" s="138">
        <v>97.6</v>
      </c>
      <c r="E81" s="138">
        <v>5.09</v>
      </c>
      <c r="F81" s="364"/>
      <c r="G81" s="365" t="s">
        <v>72</v>
      </c>
      <c r="H81" s="310"/>
      <c r="I81" s="366">
        <v>97.6</v>
      </c>
      <c r="J81" s="310"/>
      <c r="K81" s="138">
        <f t="shared" si="2"/>
        <v>0</v>
      </c>
      <c r="L81" s="310"/>
    </row>
    <row r="82" spans="1:12" ht="15" customHeight="1">
      <c r="A82" s="136">
        <v>42277</v>
      </c>
      <c r="B82" s="307">
        <v>20155565</v>
      </c>
      <c r="C82" s="137" t="s">
        <v>68</v>
      </c>
      <c r="D82" s="138">
        <v>28.03</v>
      </c>
      <c r="E82" s="138">
        <v>1.46</v>
      </c>
      <c r="G82" s="308" t="s">
        <v>71</v>
      </c>
      <c r="I82" s="138">
        <v>28.03</v>
      </c>
      <c r="K82" s="138">
        <f t="shared" si="2"/>
        <v>0</v>
      </c>
    </row>
    <row r="83" spans="1:12" ht="15" customHeight="1">
      <c r="A83" s="136">
        <v>42277</v>
      </c>
      <c r="B83" s="307">
        <v>20155583</v>
      </c>
      <c r="C83" s="310" t="s">
        <v>68</v>
      </c>
      <c r="D83" s="138">
        <v>170.76</v>
      </c>
      <c r="E83" s="138">
        <v>8.9</v>
      </c>
      <c r="G83" s="365" t="s">
        <v>72</v>
      </c>
      <c r="I83" s="138">
        <v>170.76</v>
      </c>
      <c r="K83" s="138">
        <f t="shared" si="2"/>
        <v>0</v>
      </c>
    </row>
    <row r="84" spans="1:12" ht="15" customHeight="1">
      <c r="A84" s="136">
        <v>42277</v>
      </c>
      <c r="B84" s="307">
        <v>3350918537</v>
      </c>
      <c r="C84" s="137" t="s">
        <v>73</v>
      </c>
      <c r="D84" s="138">
        <v>727.43</v>
      </c>
      <c r="E84" s="138">
        <v>37.92</v>
      </c>
      <c r="G84" s="308" t="s">
        <v>72</v>
      </c>
      <c r="I84" s="138">
        <v>727.43</v>
      </c>
      <c r="J84" s="137" t="s">
        <v>861</v>
      </c>
      <c r="K84" s="138">
        <f t="shared" si="2"/>
        <v>0</v>
      </c>
    </row>
    <row r="85" spans="1:12" ht="15" customHeight="1">
      <c r="A85" s="136">
        <v>42278</v>
      </c>
      <c r="B85" s="307">
        <v>53654</v>
      </c>
      <c r="C85" s="137" t="s">
        <v>78</v>
      </c>
      <c r="D85" s="138">
        <v>948.78</v>
      </c>
      <c r="E85" s="138">
        <v>75.959999999999994</v>
      </c>
      <c r="G85" s="308" t="s">
        <v>72</v>
      </c>
      <c r="I85" s="138">
        <v>948.78</v>
      </c>
      <c r="K85" s="138">
        <f t="shared" si="2"/>
        <v>0</v>
      </c>
    </row>
    <row r="86" spans="1:12" ht="15" customHeight="1">
      <c r="A86" s="136">
        <v>42278</v>
      </c>
      <c r="B86" s="307">
        <v>20155623</v>
      </c>
      <c r="C86" s="137" t="s">
        <v>68</v>
      </c>
      <c r="D86" s="138">
        <v>24.72</v>
      </c>
      <c r="E86" s="138">
        <v>1.29</v>
      </c>
      <c r="G86" s="308" t="s">
        <v>373</v>
      </c>
      <c r="I86" s="138">
        <v>24.72</v>
      </c>
      <c r="K86" s="138">
        <f t="shared" si="2"/>
        <v>0</v>
      </c>
    </row>
    <row r="87" spans="1:12" ht="15" customHeight="1">
      <c r="A87" s="136">
        <v>42278</v>
      </c>
      <c r="B87" s="307">
        <v>3351000133</v>
      </c>
      <c r="C87" s="137" t="s">
        <v>73</v>
      </c>
      <c r="D87" s="138">
        <v>478.85</v>
      </c>
      <c r="E87" s="138">
        <v>24.96</v>
      </c>
      <c r="G87" s="308" t="s">
        <v>72</v>
      </c>
      <c r="I87" s="138">
        <v>478.85</v>
      </c>
      <c r="J87" s="137" t="s">
        <v>861</v>
      </c>
      <c r="K87" s="138">
        <f t="shared" si="2"/>
        <v>0</v>
      </c>
    </row>
    <row r="88" spans="1:12" ht="15" customHeight="1">
      <c r="A88" s="136">
        <v>42279</v>
      </c>
      <c r="B88" s="307">
        <v>53745</v>
      </c>
      <c r="C88" s="137" t="s">
        <v>78</v>
      </c>
      <c r="D88" s="138">
        <v>691.85</v>
      </c>
      <c r="E88" s="138">
        <v>39.700000000000003</v>
      </c>
      <c r="G88" s="308" t="s">
        <v>373</v>
      </c>
      <c r="I88" s="138">
        <v>691.85</v>
      </c>
      <c r="K88" s="138">
        <f t="shared" si="2"/>
        <v>0</v>
      </c>
    </row>
    <row r="89" spans="1:12" ht="15" customHeight="1">
      <c r="A89" s="136">
        <v>42279</v>
      </c>
      <c r="B89" s="307">
        <v>15030312</v>
      </c>
      <c r="C89" s="137" t="s">
        <v>70</v>
      </c>
      <c r="D89" s="138">
        <v>1553.12</v>
      </c>
      <c r="E89" s="138">
        <v>119.06</v>
      </c>
      <c r="G89" s="308" t="s">
        <v>72</v>
      </c>
      <c r="I89" s="138">
        <v>1553.12</v>
      </c>
      <c r="J89" s="137" t="s">
        <v>1181</v>
      </c>
      <c r="K89" s="138">
        <f t="shared" si="2"/>
        <v>0</v>
      </c>
    </row>
    <row r="90" spans="1:12" ht="15" customHeight="1">
      <c r="A90" s="136">
        <v>42279</v>
      </c>
      <c r="B90" s="307">
        <v>15030459</v>
      </c>
      <c r="C90" s="137" t="s">
        <v>70</v>
      </c>
      <c r="D90" s="138">
        <v>119.85</v>
      </c>
      <c r="E90" s="138">
        <v>9.09</v>
      </c>
      <c r="G90" s="308" t="s">
        <v>373</v>
      </c>
      <c r="I90" s="138">
        <v>119.85</v>
      </c>
      <c r="J90" s="137" t="s">
        <v>1180</v>
      </c>
      <c r="K90" s="138">
        <f t="shared" si="2"/>
        <v>0</v>
      </c>
    </row>
    <row r="91" spans="1:12" ht="15" customHeight="1">
      <c r="A91" s="136">
        <v>42279</v>
      </c>
      <c r="B91" s="307">
        <v>20155636</v>
      </c>
      <c r="C91" s="137" t="s">
        <v>68</v>
      </c>
      <c r="D91" s="138">
        <v>72.709999999999994</v>
      </c>
      <c r="E91" s="138">
        <v>3.79</v>
      </c>
      <c r="G91" s="365" t="s">
        <v>72</v>
      </c>
      <c r="I91" s="138">
        <v>72.709999999999994</v>
      </c>
      <c r="K91" s="138">
        <f t="shared" si="2"/>
        <v>0</v>
      </c>
    </row>
    <row r="92" spans="1:12" ht="15" customHeight="1">
      <c r="A92" s="136">
        <v>42280</v>
      </c>
      <c r="B92" s="307">
        <v>20155650</v>
      </c>
      <c r="C92" s="137" t="s">
        <v>68</v>
      </c>
      <c r="D92" s="138">
        <v>92.28</v>
      </c>
      <c r="E92" s="138">
        <v>4.8099999999999996</v>
      </c>
      <c r="G92" s="308" t="s">
        <v>72</v>
      </c>
      <c r="I92" s="138">
        <v>92.28</v>
      </c>
      <c r="K92" s="138">
        <f t="shared" si="2"/>
        <v>0</v>
      </c>
    </row>
    <row r="93" spans="1:12" ht="15" customHeight="1">
      <c r="A93" s="136">
        <v>42280</v>
      </c>
      <c r="B93" s="307">
        <v>20155673</v>
      </c>
      <c r="C93" s="137" t="s">
        <v>68</v>
      </c>
      <c r="D93" s="138">
        <v>16.52</v>
      </c>
      <c r="E93" s="138">
        <v>0.86</v>
      </c>
      <c r="G93" s="308" t="s">
        <v>71</v>
      </c>
      <c r="I93" s="138">
        <v>16.52</v>
      </c>
      <c r="K93" s="138">
        <f t="shared" si="2"/>
        <v>0</v>
      </c>
    </row>
    <row r="94" spans="1:12" ht="15" customHeight="1">
      <c r="A94" s="136">
        <v>42282</v>
      </c>
      <c r="B94" s="307">
        <v>14025553</v>
      </c>
      <c r="C94" s="137" t="s">
        <v>67</v>
      </c>
      <c r="D94" s="138">
        <v>475.36</v>
      </c>
      <c r="E94" s="138">
        <v>24.78</v>
      </c>
      <c r="G94" s="308" t="s">
        <v>373</v>
      </c>
      <c r="I94" s="138">
        <v>475.36</v>
      </c>
      <c r="J94" s="137" t="s">
        <v>1540</v>
      </c>
      <c r="K94" s="138">
        <f t="shared" si="2"/>
        <v>0</v>
      </c>
    </row>
    <row r="95" spans="1:12" ht="15" customHeight="1">
      <c r="A95" s="136">
        <v>42282</v>
      </c>
      <c r="B95" s="307">
        <v>20155692</v>
      </c>
      <c r="C95" s="137" t="s">
        <v>68</v>
      </c>
      <c r="D95" s="138">
        <v>24.72</v>
      </c>
      <c r="E95" s="138">
        <v>1.29</v>
      </c>
      <c r="G95" s="308" t="s">
        <v>373</v>
      </c>
      <c r="I95" s="138">
        <v>24.72</v>
      </c>
      <c r="K95" s="138">
        <f t="shared" si="2"/>
        <v>0</v>
      </c>
    </row>
    <row r="96" spans="1:12" ht="15" customHeight="1">
      <c r="A96" s="136">
        <v>42282</v>
      </c>
      <c r="B96" s="307">
        <v>20155696</v>
      </c>
      <c r="C96" s="137" t="s">
        <v>68</v>
      </c>
      <c r="D96" s="138">
        <v>99.94</v>
      </c>
      <c r="E96" s="138">
        <v>5.21</v>
      </c>
      <c r="G96" s="308" t="s">
        <v>72</v>
      </c>
      <c r="I96" s="138">
        <v>99.94</v>
      </c>
      <c r="K96" s="138">
        <f t="shared" si="2"/>
        <v>0</v>
      </c>
    </row>
    <row r="97" spans="1:11" ht="15" customHeight="1">
      <c r="A97" s="136">
        <v>42283</v>
      </c>
      <c r="B97" s="307">
        <v>15007358</v>
      </c>
      <c r="C97" s="137" t="s">
        <v>69</v>
      </c>
      <c r="D97" s="138">
        <v>1903.94</v>
      </c>
      <c r="G97" s="308" t="s">
        <v>72</v>
      </c>
      <c r="I97" s="138">
        <v>1903.94</v>
      </c>
      <c r="J97" s="137" t="s">
        <v>1330</v>
      </c>
      <c r="K97" s="138">
        <f t="shared" si="2"/>
        <v>0</v>
      </c>
    </row>
    <row r="98" spans="1:11" ht="15" customHeight="1">
      <c r="A98" s="136">
        <v>42283</v>
      </c>
      <c r="B98" s="307">
        <v>20155725</v>
      </c>
      <c r="C98" s="137" t="s">
        <v>68</v>
      </c>
      <c r="D98" s="138">
        <v>51.95</v>
      </c>
      <c r="E98" s="138">
        <v>2.71</v>
      </c>
      <c r="G98" s="308" t="s">
        <v>72</v>
      </c>
      <c r="I98" s="138">
        <v>51.95</v>
      </c>
      <c r="K98" s="138">
        <f t="shared" ref="K98:K129" si="3">IF(D98&lt;&gt;"",D98-I98,"")</f>
        <v>0</v>
      </c>
    </row>
    <row r="99" spans="1:11" ht="15" customHeight="1">
      <c r="A99" s="136">
        <v>42283</v>
      </c>
      <c r="B99" s="307">
        <v>20155730</v>
      </c>
      <c r="C99" s="137" t="s">
        <v>68</v>
      </c>
      <c r="D99" s="138">
        <v>24.72</v>
      </c>
      <c r="E99" s="138">
        <v>1.29</v>
      </c>
      <c r="G99" s="308" t="s">
        <v>373</v>
      </c>
      <c r="I99" s="138">
        <v>24.72</v>
      </c>
      <c r="K99" s="138">
        <f t="shared" si="3"/>
        <v>0</v>
      </c>
    </row>
    <row r="100" spans="1:11" ht="15" customHeight="1">
      <c r="A100" s="136">
        <v>42283</v>
      </c>
      <c r="B100" s="307">
        <v>3351003128</v>
      </c>
      <c r="C100" s="137" t="s">
        <v>73</v>
      </c>
      <c r="D100" s="138">
        <v>852.46</v>
      </c>
      <c r="E100" s="138">
        <v>65.28</v>
      </c>
      <c r="G100" s="308" t="s">
        <v>373</v>
      </c>
      <c r="I100" s="138">
        <v>852.46</v>
      </c>
      <c r="J100" s="137" t="s">
        <v>1176</v>
      </c>
      <c r="K100" s="138">
        <f t="shared" si="3"/>
        <v>0</v>
      </c>
    </row>
    <row r="101" spans="1:11" ht="15" customHeight="1">
      <c r="A101" s="136">
        <v>42284</v>
      </c>
      <c r="B101" s="307">
        <v>53964</v>
      </c>
      <c r="C101" s="137" t="s">
        <v>78</v>
      </c>
      <c r="D101" s="138">
        <v>1439.81</v>
      </c>
      <c r="E101" s="138">
        <v>85.51</v>
      </c>
      <c r="G101" s="308" t="s">
        <v>72</v>
      </c>
      <c r="I101" s="138">
        <v>1439.81</v>
      </c>
      <c r="K101" s="138">
        <f t="shared" si="3"/>
        <v>0</v>
      </c>
    </row>
    <row r="102" spans="1:11" ht="15" customHeight="1">
      <c r="A102" s="136">
        <v>42284</v>
      </c>
      <c r="B102" s="307">
        <v>20155756</v>
      </c>
      <c r="C102" s="137" t="s">
        <v>68</v>
      </c>
      <c r="D102" s="138">
        <v>27.03</v>
      </c>
      <c r="E102" s="138">
        <v>1.41</v>
      </c>
      <c r="G102" s="365" t="s">
        <v>71</v>
      </c>
      <c r="I102" s="138">
        <v>27.03</v>
      </c>
      <c r="K102" s="138">
        <f t="shared" si="3"/>
        <v>0</v>
      </c>
    </row>
    <row r="103" spans="1:11" ht="15" customHeight="1">
      <c r="A103" s="136">
        <v>42285</v>
      </c>
      <c r="B103" s="307" t="s">
        <v>2006</v>
      </c>
      <c r="C103" s="137" t="s">
        <v>69</v>
      </c>
      <c r="D103" s="138">
        <v>619.32000000000005</v>
      </c>
      <c r="E103" s="138">
        <v>50.63</v>
      </c>
      <c r="G103" s="308" t="s">
        <v>373</v>
      </c>
      <c r="I103" s="138">
        <v>619.32000000000005</v>
      </c>
      <c r="J103" s="137" t="s">
        <v>1329</v>
      </c>
      <c r="K103" s="138">
        <f t="shared" si="3"/>
        <v>0</v>
      </c>
    </row>
    <row r="104" spans="1:11" ht="15" customHeight="1">
      <c r="A104" s="136">
        <v>42285</v>
      </c>
      <c r="B104" s="307">
        <v>20155793</v>
      </c>
      <c r="C104" s="137" t="s">
        <v>68</v>
      </c>
      <c r="D104" s="138">
        <v>24.18</v>
      </c>
      <c r="E104" s="138">
        <v>1.26</v>
      </c>
      <c r="G104" s="308" t="s">
        <v>373</v>
      </c>
      <c r="I104" s="138">
        <v>24.18</v>
      </c>
      <c r="K104" s="138">
        <f t="shared" si="3"/>
        <v>0</v>
      </c>
    </row>
    <row r="105" spans="1:11" ht="15" customHeight="1">
      <c r="A105" s="136">
        <v>42285</v>
      </c>
      <c r="B105" s="307">
        <v>20155808</v>
      </c>
      <c r="C105" s="137" t="s">
        <v>68</v>
      </c>
      <c r="D105" s="138">
        <v>100.37</v>
      </c>
      <c r="E105" s="138">
        <v>5.23</v>
      </c>
      <c r="G105" s="308" t="s">
        <v>72</v>
      </c>
      <c r="I105" s="138">
        <v>100.37</v>
      </c>
      <c r="K105" s="138">
        <f t="shared" si="3"/>
        <v>0</v>
      </c>
    </row>
    <row r="106" spans="1:11" ht="15" customHeight="1">
      <c r="A106" s="136">
        <v>42285</v>
      </c>
      <c r="B106" s="307">
        <v>3351005128</v>
      </c>
      <c r="C106" s="137" t="s">
        <v>73</v>
      </c>
      <c r="D106" s="138">
        <v>1364.96</v>
      </c>
      <c r="E106" s="138">
        <v>90.22</v>
      </c>
      <c r="G106" s="308" t="s">
        <v>72</v>
      </c>
      <c r="I106" s="138">
        <v>1364.96</v>
      </c>
      <c r="J106" s="137" t="s">
        <v>861</v>
      </c>
      <c r="K106" s="138">
        <f t="shared" si="3"/>
        <v>0</v>
      </c>
    </row>
    <row r="107" spans="1:11" ht="15" customHeight="1">
      <c r="A107" s="136">
        <v>42286</v>
      </c>
      <c r="B107" s="307">
        <v>54120</v>
      </c>
      <c r="C107" s="137" t="s">
        <v>78</v>
      </c>
      <c r="D107" s="138">
        <v>662.15</v>
      </c>
      <c r="E107" s="138">
        <v>44.75</v>
      </c>
      <c r="G107" s="308" t="s">
        <v>373</v>
      </c>
      <c r="I107" s="138">
        <v>662.15</v>
      </c>
      <c r="J107" s="137" t="s">
        <v>1176</v>
      </c>
      <c r="K107" s="138">
        <f t="shared" si="3"/>
        <v>0</v>
      </c>
    </row>
    <row r="108" spans="1:11" ht="15" customHeight="1">
      <c r="A108" s="136">
        <v>42286</v>
      </c>
      <c r="B108" s="307">
        <v>15031203</v>
      </c>
      <c r="C108" s="137" t="s">
        <v>70</v>
      </c>
      <c r="D108" s="138">
        <v>628.20000000000005</v>
      </c>
      <c r="E108" s="138">
        <v>45.2</v>
      </c>
      <c r="G108" s="308" t="s">
        <v>72</v>
      </c>
      <c r="I108" s="138">
        <v>628.20000000000005</v>
      </c>
      <c r="J108" s="137" t="s">
        <v>1181</v>
      </c>
      <c r="K108" s="138">
        <f t="shared" si="3"/>
        <v>0</v>
      </c>
    </row>
    <row r="109" spans="1:11" ht="15" customHeight="1">
      <c r="A109" s="136">
        <v>42286</v>
      </c>
      <c r="B109" s="307">
        <v>15031217</v>
      </c>
      <c r="C109" s="137" t="s">
        <v>70</v>
      </c>
      <c r="D109" s="138">
        <v>171.17</v>
      </c>
      <c r="E109" s="138">
        <v>9.75</v>
      </c>
      <c r="G109" s="308" t="s">
        <v>373</v>
      </c>
      <c r="I109" s="138">
        <v>171.17</v>
      </c>
      <c r="J109" s="137" t="s">
        <v>1182</v>
      </c>
      <c r="K109" s="138">
        <f t="shared" si="3"/>
        <v>0</v>
      </c>
    </row>
    <row r="110" spans="1:11" ht="15" customHeight="1">
      <c r="A110" s="136">
        <v>42286</v>
      </c>
      <c r="B110" s="307">
        <v>20155816</v>
      </c>
      <c r="C110" s="137" t="s">
        <v>68</v>
      </c>
      <c r="D110" s="138">
        <v>14.15</v>
      </c>
      <c r="E110" s="138">
        <v>0.74</v>
      </c>
      <c r="G110" s="308" t="s">
        <v>373</v>
      </c>
      <c r="I110" s="138">
        <v>14.15</v>
      </c>
      <c r="K110" s="138">
        <f t="shared" si="3"/>
        <v>0</v>
      </c>
    </row>
    <row r="111" spans="1:11" ht="15" customHeight="1">
      <c r="A111" s="136">
        <v>42286</v>
      </c>
      <c r="B111" s="307">
        <v>20155823</v>
      </c>
      <c r="C111" s="137" t="s">
        <v>68</v>
      </c>
      <c r="D111" s="138">
        <v>97.42</v>
      </c>
      <c r="E111" s="138">
        <v>5.08</v>
      </c>
      <c r="G111" s="308" t="s">
        <v>72</v>
      </c>
      <c r="I111" s="138">
        <v>97.42</v>
      </c>
      <c r="K111" s="138">
        <f t="shared" si="3"/>
        <v>0</v>
      </c>
    </row>
    <row r="112" spans="1:11" ht="15" customHeight="1">
      <c r="A112" s="136">
        <v>42289</v>
      </c>
      <c r="B112" s="307">
        <v>2595195</v>
      </c>
      <c r="C112" s="137" t="s">
        <v>79</v>
      </c>
      <c r="D112" s="138">
        <v>887.15</v>
      </c>
      <c r="E112" s="138">
        <v>46.25</v>
      </c>
      <c r="G112" s="365" t="s">
        <v>72</v>
      </c>
      <c r="I112" s="138">
        <v>887.15</v>
      </c>
      <c r="J112" s="137" t="s">
        <v>1328</v>
      </c>
      <c r="K112" s="138">
        <f t="shared" si="3"/>
        <v>0</v>
      </c>
    </row>
    <row r="113" spans="1:11" ht="15" customHeight="1">
      <c r="A113" s="136">
        <v>42289</v>
      </c>
      <c r="B113" s="307">
        <v>20155859</v>
      </c>
      <c r="C113" s="137" t="s">
        <v>68</v>
      </c>
      <c r="D113" s="138">
        <v>47.24</v>
      </c>
      <c r="E113" s="138">
        <v>2.46</v>
      </c>
      <c r="G113" s="308" t="s">
        <v>72</v>
      </c>
      <c r="I113" s="138">
        <v>47.24</v>
      </c>
      <c r="K113" s="138">
        <f t="shared" si="3"/>
        <v>0</v>
      </c>
    </row>
    <row r="114" spans="1:11" ht="15" customHeight="1">
      <c r="A114" s="136">
        <v>42289</v>
      </c>
      <c r="B114" s="307">
        <v>20155864</v>
      </c>
      <c r="C114" s="137" t="s">
        <v>68</v>
      </c>
      <c r="D114" s="138">
        <v>25.13</v>
      </c>
      <c r="E114" s="138">
        <v>1.31</v>
      </c>
      <c r="G114" s="308" t="s">
        <v>373</v>
      </c>
      <c r="I114" s="138">
        <v>25.13</v>
      </c>
      <c r="K114" s="138">
        <f t="shared" si="3"/>
        <v>0</v>
      </c>
    </row>
    <row r="115" spans="1:11" ht="15" customHeight="1">
      <c r="A115" s="136">
        <v>42289</v>
      </c>
      <c r="B115" s="307">
        <v>20155876</v>
      </c>
      <c r="C115" s="137" t="s">
        <v>68</v>
      </c>
      <c r="D115" s="138">
        <v>132.52000000000001</v>
      </c>
      <c r="E115" s="138">
        <v>6.91</v>
      </c>
      <c r="G115" s="308" t="s">
        <v>72</v>
      </c>
      <c r="I115" s="138">
        <v>132.52000000000001</v>
      </c>
      <c r="K115" s="138">
        <f t="shared" si="3"/>
        <v>0</v>
      </c>
    </row>
    <row r="116" spans="1:11" ht="15" customHeight="1">
      <c r="A116" s="136">
        <v>42290</v>
      </c>
      <c r="B116" s="307">
        <v>15007565</v>
      </c>
      <c r="C116" s="137" t="s">
        <v>69</v>
      </c>
      <c r="D116" s="138">
        <v>1938.38</v>
      </c>
      <c r="E116" s="138">
        <v>144.35</v>
      </c>
      <c r="G116" s="308" t="s">
        <v>72</v>
      </c>
      <c r="I116" s="138">
        <v>1938.38</v>
      </c>
      <c r="J116" s="137" t="s">
        <v>1330</v>
      </c>
      <c r="K116" s="138">
        <f t="shared" si="3"/>
        <v>0</v>
      </c>
    </row>
    <row r="117" spans="1:11" ht="15" customHeight="1">
      <c r="A117" s="136">
        <v>42290</v>
      </c>
      <c r="B117" s="307">
        <v>20155910</v>
      </c>
      <c r="C117" s="137" t="s">
        <v>68</v>
      </c>
      <c r="D117" s="138">
        <v>27.32</v>
      </c>
      <c r="E117" s="138">
        <v>1.42</v>
      </c>
      <c r="G117" s="308" t="s">
        <v>373</v>
      </c>
      <c r="I117" s="138">
        <v>27.32</v>
      </c>
      <c r="K117" s="138">
        <f t="shared" si="3"/>
        <v>0</v>
      </c>
    </row>
    <row r="118" spans="1:11" ht="15" customHeight="1">
      <c r="A118" s="136">
        <v>42290</v>
      </c>
      <c r="B118" s="307">
        <v>20155916</v>
      </c>
      <c r="C118" s="137" t="s">
        <v>68</v>
      </c>
      <c r="D118" s="138">
        <v>45.76</v>
      </c>
      <c r="E118" s="138">
        <v>2.39</v>
      </c>
      <c r="G118" s="308" t="s">
        <v>72</v>
      </c>
      <c r="I118" s="138">
        <v>45.76</v>
      </c>
      <c r="K118" s="138">
        <f t="shared" si="3"/>
        <v>0</v>
      </c>
    </row>
    <row r="119" spans="1:11" ht="15" customHeight="1">
      <c r="A119" s="136">
        <v>42290</v>
      </c>
      <c r="B119" s="307">
        <v>3351007581</v>
      </c>
      <c r="C119" s="137" t="s">
        <v>73</v>
      </c>
      <c r="D119" s="138">
        <v>968.47</v>
      </c>
      <c r="E119" s="138">
        <v>53.86</v>
      </c>
      <c r="G119" s="308" t="s">
        <v>373</v>
      </c>
      <c r="I119" s="138">
        <v>968.47</v>
      </c>
      <c r="J119" s="137" t="s">
        <v>1183</v>
      </c>
      <c r="K119" s="138">
        <f t="shared" si="3"/>
        <v>0</v>
      </c>
    </row>
    <row r="120" spans="1:11" ht="15" customHeight="1">
      <c r="A120" s="136">
        <v>42291</v>
      </c>
      <c r="B120" s="307">
        <v>54423</v>
      </c>
      <c r="C120" s="137" t="s">
        <v>78</v>
      </c>
      <c r="D120" s="138">
        <v>508.63</v>
      </c>
      <c r="E120" s="138">
        <v>84.77</v>
      </c>
      <c r="G120" s="308" t="s">
        <v>72</v>
      </c>
      <c r="I120" s="138">
        <v>508.63</v>
      </c>
      <c r="K120" s="138">
        <f t="shared" si="3"/>
        <v>0</v>
      </c>
    </row>
    <row r="121" spans="1:11" ht="15" customHeight="1">
      <c r="A121" s="136">
        <v>42291</v>
      </c>
      <c r="B121" s="307">
        <v>20155944</v>
      </c>
      <c r="C121" s="137" t="s">
        <v>68</v>
      </c>
      <c r="D121" s="138">
        <v>24.62</v>
      </c>
      <c r="E121" s="138">
        <v>1.28</v>
      </c>
      <c r="G121" s="308" t="s">
        <v>373</v>
      </c>
      <c r="I121" s="138">
        <v>24.62</v>
      </c>
      <c r="K121" s="138">
        <f t="shared" si="3"/>
        <v>0</v>
      </c>
    </row>
    <row r="122" spans="1:11" ht="15" customHeight="1">
      <c r="A122" s="136">
        <v>42291</v>
      </c>
      <c r="B122" s="307">
        <v>20155982</v>
      </c>
      <c r="C122" s="137" t="s">
        <v>68</v>
      </c>
      <c r="D122" s="138">
        <v>24.62</v>
      </c>
      <c r="E122" s="138">
        <v>1.28</v>
      </c>
      <c r="G122" s="308" t="s">
        <v>373</v>
      </c>
      <c r="I122" s="138">
        <v>24.62</v>
      </c>
      <c r="K122" s="138">
        <f t="shared" si="3"/>
        <v>0</v>
      </c>
    </row>
    <row r="123" spans="1:11" ht="15" customHeight="1">
      <c r="A123" s="136">
        <v>42292</v>
      </c>
      <c r="B123" s="307">
        <v>54510</v>
      </c>
      <c r="C123" s="137" t="s">
        <v>78</v>
      </c>
      <c r="D123" s="138">
        <v>878.09</v>
      </c>
      <c r="E123" s="138">
        <v>65.61</v>
      </c>
      <c r="G123" s="308" t="s">
        <v>373</v>
      </c>
      <c r="I123" s="138">
        <v>878.09</v>
      </c>
      <c r="J123" s="137" t="s">
        <v>1176</v>
      </c>
      <c r="K123" s="138">
        <f t="shared" si="3"/>
        <v>0</v>
      </c>
    </row>
    <row r="124" spans="1:11" ht="15" customHeight="1">
      <c r="A124" s="136">
        <v>42292</v>
      </c>
      <c r="B124" s="307">
        <v>54532</v>
      </c>
      <c r="C124" s="137" t="s">
        <v>78</v>
      </c>
      <c r="D124" s="138">
        <v>1314.22</v>
      </c>
      <c r="E124" s="138">
        <v>79.62</v>
      </c>
      <c r="G124" s="308" t="s">
        <v>72</v>
      </c>
      <c r="I124" s="138">
        <v>1314.22</v>
      </c>
      <c r="K124" s="138">
        <f t="shared" si="3"/>
        <v>0</v>
      </c>
    </row>
    <row r="125" spans="1:11" ht="15" customHeight="1">
      <c r="A125" s="136">
        <v>42292</v>
      </c>
      <c r="B125" s="307">
        <v>4783264</v>
      </c>
      <c r="C125" s="137" t="s">
        <v>74</v>
      </c>
      <c r="D125" s="138">
        <v>42.2</v>
      </c>
      <c r="E125" s="138">
        <v>2.2000000000000002</v>
      </c>
      <c r="G125" s="308" t="s">
        <v>373</v>
      </c>
      <c r="I125" s="138">
        <v>42.2</v>
      </c>
      <c r="J125" s="137" t="s">
        <v>1184</v>
      </c>
      <c r="K125" s="138">
        <f t="shared" si="3"/>
        <v>0</v>
      </c>
    </row>
    <row r="126" spans="1:11" ht="15" customHeight="1">
      <c r="A126" s="136">
        <v>42292</v>
      </c>
      <c r="B126" s="307">
        <v>15007633</v>
      </c>
      <c r="C126" s="137" t="s">
        <v>69</v>
      </c>
      <c r="D126" s="138">
        <v>695.75</v>
      </c>
      <c r="E126" s="138">
        <v>0</v>
      </c>
      <c r="G126" s="365" t="s">
        <v>71</v>
      </c>
      <c r="I126" s="138">
        <v>695.75</v>
      </c>
      <c r="J126" s="137" t="s">
        <v>1329</v>
      </c>
      <c r="K126" s="138">
        <f t="shared" si="3"/>
        <v>0</v>
      </c>
    </row>
    <row r="127" spans="1:11" ht="15" customHeight="1">
      <c r="A127" s="136">
        <v>42292</v>
      </c>
      <c r="B127" s="307">
        <v>20155971</v>
      </c>
      <c r="C127" s="137" t="s">
        <v>68</v>
      </c>
      <c r="D127" s="138">
        <v>57.02</v>
      </c>
      <c r="E127" s="138">
        <v>2.97</v>
      </c>
      <c r="G127" s="308" t="s">
        <v>72</v>
      </c>
      <c r="I127" s="138">
        <v>57.02</v>
      </c>
      <c r="K127" s="138">
        <f t="shared" si="3"/>
        <v>0</v>
      </c>
    </row>
    <row r="128" spans="1:11" ht="15" customHeight="1">
      <c r="A128" s="136">
        <v>42292</v>
      </c>
      <c r="B128" s="307">
        <v>3351009646</v>
      </c>
      <c r="C128" s="137" t="s">
        <v>73</v>
      </c>
      <c r="D128" s="138">
        <v>1855.09</v>
      </c>
      <c r="E128" s="138">
        <v>118.56</v>
      </c>
      <c r="G128" s="308" t="s">
        <v>72</v>
      </c>
      <c r="I128" s="138">
        <v>1855.09</v>
      </c>
      <c r="J128" s="137" t="s">
        <v>861</v>
      </c>
      <c r="K128" s="138">
        <f t="shared" si="3"/>
        <v>0</v>
      </c>
    </row>
    <row r="129" spans="1:11" ht="15" customHeight="1">
      <c r="A129" s="136">
        <v>42292</v>
      </c>
      <c r="B129" s="307">
        <v>3351009647</v>
      </c>
      <c r="C129" s="137" t="s">
        <v>73</v>
      </c>
      <c r="D129" s="138">
        <v>163.53</v>
      </c>
      <c r="E129" s="138">
        <v>8.5299999999999994</v>
      </c>
      <c r="G129" s="308" t="s">
        <v>72</v>
      </c>
      <c r="I129" s="138">
        <v>163.53</v>
      </c>
      <c r="J129" s="137" t="s">
        <v>861</v>
      </c>
      <c r="K129" s="138">
        <f t="shared" si="3"/>
        <v>0</v>
      </c>
    </row>
    <row r="130" spans="1:11" ht="15" customHeight="1">
      <c r="A130" s="136">
        <v>42293</v>
      </c>
      <c r="B130" s="307">
        <v>54638</v>
      </c>
      <c r="C130" s="137" t="s">
        <v>78</v>
      </c>
      <c r="D130" s="138">
        <v>466.98</v>
      </c>
      <c r="E130" s="138">
        <v>77.83</v>
      </c>
      <c r="G130" s="308" t="s">
        <v>72</v>
      </c>
      <c r="I130" s="138">
        <v>466.98</v>
      </c>
      <c r="K130" s="138">
        <f t="shared" ref="K130:K161" si="4">IF(D130&lt;&gt;"",D130-I130,"")</f>
        <v>0</v>
      </c>
    </row>
    <row r="131" spans="1:11" ht="15" customHeight="1">
      <c r="A131" s="136">
        <v>42293</v>
      </c>
      <c r="B131" s="307">
        <v>15032118</v>
      </c>
      <c r="C131" s="137" t="s">
        <v>70</v>
      </c>
      <c r="D131" s="138">
        <v>233.72</v>
      </c>
      <c r="E131" s="138">
        <v>14.69</v>
      </c>
      <c r="G131" s="308" t="s">
        <v>373</v>
      </c>
      <c r="I131" s="138">
        <v>233.72</v>
      </c>
      <c r="J131" s="137" t="s">
        <v>1182</v>
      </c>
      <c r="K131" s="138">
        <f t="shared" si="4"/>
        <v>0</v>
      </c>
    </row>
    <row r="132" spans="1:11" ht="15" customHeight="1">
      <c r="A132" s="136">
        <v>42293</v>
      </c>
      <c r="B132" s="307">
        <v>15032177</v>
      </c>
      <c r="C132" s="137" t="s">
        <v>70</v>
      </c>
      <c r="D132" s="138">
        <v>521.16</v>
      </c>
      <c r="E132" s="138">
        <v>35.880000000000003</v>
      </c>
      <c r="G132" s="308" t="s">
        <v>72</v>
      </c>
      <c r="I132" s="138">
        <v>521.16</v>
      </c>
      <c r="J132" s="137" t="s">
        <v>1278</v>
      </c>
      <c r="K132" s="138">
        <f t="shared" si="4"/>
        <v>0</v>
      </c>
    </row>
    <row r="133" spans="1:11">
      <c r="A133" s="136">
        <v>42293</v>
      </c>
      <c r="B133" s="307">
        <v>20156011</v>
      </c>
      <c r="C133" s="137" t="s">
        <v>68</v>
      </c>
      <c r="D133" s="138">
        <v>13.29</v>
      </c>
      <c r="E133" s="138">
        <v>0.69</v>
      </c>
      <c r="G133" s="308" t="s">
        <v>373</v>
      </c>
      <c r="I133" s="138">
        <v>13.29</v>
      </c>
      <c r="K133" s="138">
        <f t="shared" si="4"/>
        <v>0</v>
      </c>
    </row>
    <row r="134" spans="1:11">
      <c r="A134" s="136">
        <v>42294</v>
      </c>
      <c r="B134" s="307">
        <v>20156016</v>
      </c>
      <c r="C134" s="137" t="s">
        <v>68</v>
      </c>
      <c r="D134" s="138">
        <v>133.63</v>
      </c>
      <c r="E134" s="138">
        <v>6.97</v>
      </c>
      <c r="G134" s="308" t="s">
        <v>72</v>
      </c>
      <c r="I134" s="138">
        <v>133.63</v>
      </c>
      <c r="K134" s="138">
        <f t="shared" si="4"/>
        <v>0</v>
      </c>
    </row>
    <row r="135" spans="1:11">
      <c r="A135" s="136">
        <v>42296</v>
      </c>
      <c r="B135" s="307">
        <v>20156037</v>
      </c>
      <c r="C135" s="137" t="s">
        <v>68</v>
      </c>
      <c r="D135" s="138">
        <v>29.76</v>
      </c>
      <c r="E135" s="138">
        <v>1.55</v>
      </c>
      <c r="G135" s="308" t="s">
        <v>373</v>
      </c>
      <c r="I135" s="138">
        <v>29.76</v>
      </c>
      <c r="K135" s="138">
        <f t="shared" si="4"/>
        <v>0</v>
      </c>
    </row>
    <row r="136" spans="1:11">
      <c r="A136" s="136">
        <v>42296</v>
      </c>
      <c r="B136" s="307">
        <v>20156039</v>
      </c>
      <c r="C136" s="137" t="s">
        <v>68</v>
      </c>
      <c r="D136" s="138">
        <v>43.55</v>
      </c>
      <c r="E136" s="138">
        <v>2.27</v>
      </c>
      <c r="G136" s="308" t="s">
        <v>72</v>
      </c>
      <c r="I136" s="138">
        <v>43.55</v>
      </c>
      <c r="K136" s="138">
        <f t="shared" si="4"/>
        <v>0</v>
      </c>
    </row>
    <row r="137" spans="1:11" ht="15" customHeight="1">
      <c r="A137" s="136">
        <v>42297</v>
      </c>
      <c r="B137" s="307">
        <v>15007767</v>
      </c>
      <c r="C137" s="137" t="s">
        <v>69</v>
      </c>
      <c r="D137" s="138">
        <v>2041.12</v>
      </c>
      <c r="E137" s="138">
        <v>135.36000000000001</v>
      </c>
      <c r="G137" s="308" t="s">
        <v>72</v>
      </c>
      <c r="I137" s="138">
        <v>2041.12</v>
      </c>
      <c r="J137" s="137" t="s">
        <v>1333</v>
      </c>
      <c r="K137" s="138">
        <f t="shared" si="4"/>
        <v>0</v>
      </c>
    </row>
    <row r="138" spans="1:11" ht="15" customHeight="1">
      <c r="A138" s="136">
        <v>42297</v>
      </c>
      <c r="B138" s="307">
        <v>20156066</v>
      </c>
      <c r="C138" s="137" t="s">
        <v>68</v>
      </c>
      <c r="D138" s="138">
        <v>20.13</v>
      </c>
      <c r="E138" s="138">
        <v>1.05</v>
      </c>
      <c r="G138" s="308" t="s">
        <v>373</v>
      </c>
      <c r="I138" s="138">
        <v>20.13</v>
      </c>
      <c r="K138" s="138">
        <f t="shared" si="4"/>
        <v>0</v>
      </c>
    </row>
    <row r="139" spans="1:11" ht="15" customHeight="1">
      <c r="A139" s="136">
        <v>42297</v>
      </c>
      <c r="B139" s="307">
        <v>3351012333</v>
      </c>
      <c r="C139" s="137" t="s">
        <v>73</v>
      </c>
      <c r="D139" s="138">
        <v>1011.28</v>
      </c>
      <c r="E139" s="138">
        <v>63.29</v>
      </c>
      <c r="G139" s="308" t="s">
        <v>373</v>
      </c>
      <c r="I139" s="138">
        <v>1011.28</v>
      </c>
      <c r="J139" s="137" t="s">
        <v>1183</v>
      </c>
      <c r="K139" s="138">
        <f t="shared" si="4"/>
        <v>0</v>
      </c>
    </row>
    <row r="140" spans="1:11" ht="15" customHeight="1">
      <c r="A140" s="136">
        <v>42298</v>
      </c>
      <c r="B140" s="307">
        <v>2612311</v>
      </c>
      <c r="C140" s="137" t="s">
        <v>79</v>
      </c>
      <c r="D140" s="138">
        <v>887.15</v>
      </c>
      <c r="E140" s="138">
        <v>46.25</v>
      </c>
      <c r="G140" s="365" t="s">
        <v>72</v>
      </c>
      <c r="I140" s="138">
        <v>887.15</v>
      </c>
      <c r="J140" s="137" t="s">
        <v>1516</v>
      </c>
      <c r="K140" s="138">
        <f t="shared" si="4"/>
        <v>0</v>
      </c>
    </row>
    <row r="141" spans="1:11" ht="15" customHeight="1">
      <c r="A141" s="136">
        <v>42298</v>
      </c>
      <c r="B141" s="307">
        <v>20156096</v>
      </c>
      <c r="C141" s="137" t="s">
        <v>68</v>
      </c>
      <c r="D141" s="138">
        <v>65.64</v>
      </c>
      <c r="E141" s="138">
        <v>3.42</v>
      </c>
      <c r="G141" s="308" t="s">
        <v>373</v>
      </c>
      <c r="I141" s="138">
        <v>65.64</v>
      </c>
      <c r="K141" s="138">
        <f t="shared" si="4"/>
        <v>0</v>
      </c>
    </row>
    <row r="142" spans="1:11" ht="15" customHeight="1">
      <c r="A142" s="136">
        <v>42298</v>
      </c>
      <c r="B142" s="307">
        <v>20156118</v>
      </c>
      <c r="C142" s="137" t="s">
        <v>68</v>
      </c>
      <c r="D142" s="138">
        <v>69.31</v>
      </c>
      <c r="E142" s="138">
        <v>3.61</v>
      </c>
      <c r="G142" s="308" t="s">
        <v>72</v>
      </c>
      <c r="I142" s="138">
        <v>69.31</v>
      </c>
      <c r="K142" s="138">
        <f t="shared" si="4"/>
        <v>0</v>
      </c>
    </row>
    <row r="143" spans="1:11" ht="15" customHeight="1">
      <c r="A143" s="136">
        <v>42298</v>
      </c>
      <c r="B143" s="307">
        <v>20156322</v>
      </c>
      <c r="C143" s="137" t="s">
        <v>68</v>
      </c>
      <c r="D143" s="138">
        <v>23.08</v>
      </c>
      <c r="E143" s="138">
        <v>1.2</v>
      </c>
      <c r="G143" s="308" t="s">
        <v>373</v>
      </c>
      <c r="I143" s="138">
        <v>23.08</v>
      </c>
      <c r="K143" s="138">
        <f t="shared" si="4"/>
        <v>0</v>
      </c>
    </row>
    <row r="144" spans="1:11" ht="15" customHeight="1">
      <c r="A144" s="136">
        <v>42299</v>
      </c>
      <c r="B144" s="307">
        <v>2614222</v>
      </c>
      <c r="C144" s="137" t="s">
        <v>79</v>
      </c>
      <c r="D144" s="138">
        <v>492.14</v>
      </c>
      <c r="E144" s="138">
        <v>25.66</v>
      </c>
      <c r="G144" s="365" t="s">
        <v>72</v>
      </c>
      <c r="I144" s="138">
        <v>492.14</v>
      </c>
      <c r="J144" s="137" t="s">
        <v>1516</v>
      </c>
      <c r="K144" s="138">
        <f t="shared" si="4"/>
        <v>0</v>
      </c>
    </row>
    <row r="145" spans="1:11" ht="15" customHeight="1">
      <c r="A145" s="136">
        <v>42299</v>
      </c>
      <c r="B145" s="307">
        <v>15007836</v>
      </c>
      <c r="C145" s="137" t="s">
        <v>69</v>
      </c>
      <c r="D145" s="138">
        <v>500.7</v>
      </c>
      <c r="E145" s="138">
        <v>0</v>
      </c>
      <c r="G145" s="365" t="s">
        <v>71</v>
      </c>
      <c r="I145" s="138">
        <v>500.7</v>
      </c>
      <c r="J145" s="137" t="s">
        <v>1329</v>
      </c>
      <c r="K145" s="138">
        <f t="shared" si="4"/>
        <v>0</v>
      </c>
    </row>
    <row r="146" spans="1:11" ht="15" customHeight="1">
      <c r="A146" s="136">
        <v>42299</v>
      </c>
      <c r="B146" s="307">
        <v>20156322</v>
      </c>
      <c r="C146" s="137" t="s">
        <v>68</v>
      </c>
      <c r="D146" s="138">
        <v>23.7</v>
      </c>
      <c r="E146" s="138">
        <v>1.24</v>
      </c>
      <c r="G146" s="308" t="s">
        <v>373</v>
      </c>
      <c r="I146" s="138">
        <v>23.7</v>
      </c>
      <c r="K146" s="138">
        <f t="shared" si="4"/>
        <v>0</v>
      </c>
    </row>
    <row r="147" spans="1:11" ht="15" customHeight="1">
      <c r="A147" s="136">
        <v>42299</v>
      </c>
      <c r="B147" s="307">
        <v>3351014546</v>
      </c>
      <c r="C147" s="137" t="s">
        <v>73</v>
      </c>
      <c r="D147" s="138">
        <v>957.02</v>
      </c>
      <c r="E147" s="138">
        <v>83.96</v>
      </c>
      <c r="G147" s="308" t="s">
        <v>72</v>
      </c>
      <c r="I147" s="138">
        <v>957.02</v>
      </c>
      <c r="J147" s="137" t="s">
        <v>861</v>
      </c>
      <c r="K147" s="138">
        <f t="shared" si="4"/>
        <v>0</v>
      </c>
    </row>
    <row r="148" spans="1:11" ht="15" customHeight="1">
      <c r="A148" s="136">
        <v>42300</v>
      </c>
      <c r="B148" s="307">
        <v>55041</v>
      </c>
      <c r="C148" s="137" t="s">
        <v>78</v>
      </c>
      <c r="D148" s="138">
        <v>691.1</v>
      </c>
      <c r="E148" s="138">
        <v>48.45</v>
      </c>
      <c r="G148" s="308" t="s">
        <v>373</v>
      </c>
      <c r="I148" s="138">
        <v>691.1</v>
      </c>
      <c r="J148" s="137" t="s">
        <v>1176</v>
      </c>
      <c r="K148" s="138">
        <f t="shared" si="4"/>
        <v>0</v>
      </c>
    </row>
    <row r="149" spans="1:11" ht="15" customHeight="1">
      <c r="A149" s="136">
        <v>42300</v>
      </c>
      <c r="B149" s="307">
        <v>55064</v>
      </c>
      <c r="C149" s="137" t="s">
        <v>78</v>
      </c>
      <c r="D149" s="138">
        <v>1157.8900000000001</v>
      </c>
      <c r="E149" s="138">
        <v>63.99</v>
      </c>
      <c r="G149" s="308" t="s">
        <v>72</v>
      </c>
      <c r="I149" s="138">
        <v>1157.8900000000001</v>
      </c>
      <c r="K149" s="138">
        <f t="shared" si="4"/>
        <v>0</v>
      </c>
    </row>
    <row r="150" spans="1:11" ht="15" customHeight="1">
      <c r="A150" s="136">
        <v>42300</v>
      </c>
      <c r="B150" s="307">
        <v>15032924</v>
      </c>
      <c r="C150" s="137" t="s">
        <v>70</v>
      </c>
      <c r="D150" s="138">
        <v>162.16999999999999</v>
      </c>
      <c r="E150" s="138">
        <v>8.4499999999999993</v>
      </c>
      <c r="G150" s="308" t="s">
        <v>373</v>
      </c>
      <c r="I150" s="138">
        <v>162.16999999999999</v>
      </c>
      <c r="J150" s="137" t="s">
        <v>1182</v>
      </c>
      <c r="K150" s="138">
        <f t="shared" si="4"/>
        <v>0</v>
      </c>
    </row>
    <row r="151" spans="1:11" ht="15" customHeight="1">
      <c r="A151" s="136">
        <v>42300</v>
      </c>
      <c r="B151" s="307">
        <v>15033008</v>
      </c>
      <c r="C151" s="137" t="s">
        <v>70</v>
      </c>
      <c r="D151" s="138">
        <v>687.95</v>
      </c>
      <c r="E151" s="138">
        <v>37.380000000000003</v>
      </c>
      <c r="G151" s="308" t="s">
        <v>72</v>
      </c>
      <c r="I151" s="378">
        <v>687.95</v>
      </c>
      <c r="J151" s="137" t="s">
        <v>1278</v>
      </c>
      <c r="K151" s="138">
        <f t="shared" si="4"/>
        <v>0</v>
      </c>
    </row>
    <row r="152" spans="1:11" ht="15" customHeight="1">
      <c r="A152" s="136">
        <v>42300</v>
      </c>
      <c r="B152" s="307">
        <v>20156149</v>
      </c>
      <c r="C152" s="137" t="s">
        <v>68</v>
      </c>
      <c r="D152" s="138">
        <v>11.44</v>
      </c>
      <c r="E152" s="138">
        <v>0.6</v>
      </c>
      <c r="G152" s="308" t="s">
        <v>373</v>
      </c>
      <c r="I152" s="138">
        <v>11.44</v>
      </c>
      <c r="K152" s="138">
        <f t="shared" si="4"/>
        <v>0</v>
      </c>
    </row>
    <row r="153" spans="1:11" ht="15" customHeight="1">
      <c r="A153" s="136">
        <v>42300</v>
      </c>
      <c r="B153" s="307">
        <v>20156151</v>
      </c>
      <c r="C153" s="137" t="s">
        <v>68</v>
      </c>
      <c r="D153" s="138">
        <v>56.4</v>
      </c>
      <c r="E153" s="138">
        <v>2.94</v>
      </c>
      <c r="G153" s="308" t="s">
        <v>72</v>
      </c>
      <c r="I153" s="138">
        <v>56.4</v>
      </c>
      <c r="K153" s="138">
        <f t="shared" si="4"/>
        <v>0</v>
      </c>
    </row>
    <row r="154" spans="1:11" ht="15" customHeight="1">
      <c r="A154" s="136">
        <v>42301</v>
      </c>
      <c r="B154" s="307">
        <v>20156189</v>
      </c>
      <c r="C154" s="137" t="s">
        <v>68</v>
      </c>
      <c r="D154" s="138">
        <v>115.61</v>
      </c>
      <c r="E154" s="138">
        <v>6.03</v>
      </c>
      <c r="G154" s="308" t="s">
        <v>72</v>
      </c>
      <c r="I154" s="138">
        <v>115.61</v>
      </c>
      <c r="K154" s="138">
        <f t="shared" si="4"/>
        <v>0</v>
      </c>
    </row>
    <row r="155" spans="1:11" ht="15" customHeight="1">
      <c r="A155" s="136">
        <v>42303</v>
      </c>
      <c r="B155" s="307">
        <v>14026044</v>
      </c>
      <c r="C155" s="137" t="s">
        <v>67</v>
      </c>
      <c r="D155" s="138">
        <v>504.83</v>
      </c>
      <c r="E155" s="138">
        <v>26.32</v>
      </c>
      <c r="G155" s="308" t="s">
        <v>373</v>
      </c>
      <c r="I155" s="138">
        <v>504.83</v>
      </c>
      <c r="J155" s="137" t="s">
        <v>1540</v>
      </c>
      <c r="K155" s="138">
        <f t="shared" si="4"/>
        <v>0</v>
      </c>
    </row>
    <row r="156" spans="1:11" ht="15" customHeight="1">
      <c r="A156" s="136">
        <v>42303</v>
      </c>
      <c r="B156" s="307">
        <v>20156216</v>
      </c>
      <c r="C156" s="137" t="s">
        <v>68</v>
      </c>
      <c r="D156" s="138">
        <v>78.510000000000005</v>
      </c>
      <c r="E156" s="138">
        <v>4.09</v>
      </c>
      <c r="G156" s="308" t="s">
        <v>72</v>
      </c>
      <c r="I156" s="138">
        <v>78.510000000000005</v>
      </c>
      <c r="K156" s="138">
        <f t="shared" si="4"/>
        <v>0</v>
      </c>
    </row>
    <row r="157" spans="1:11" ht="15" customHeight="1">
      <c r="A157" s="136">
        <v>42303</v>
      </c>
      <c r="B157" s="307">
        <v>20156322</v>
      </c>
      <c r="C157" s="137" t="s">
        <v>68</v>
      </c>
      <c r="D157" s="138">
        <v>25.81</v>
      </c>
      <c r="E157" s="138">
        <v>1.35</v>
      </c>
      <c r="G157" s="308" t="s">
        <v>373</v>
      </c>
      <c r="I157" s="138">
        <v>25.81</v>
      </c>
      <c r="K157" s="138">
        <f t="shared" si="4"/>
        <v>0</v>
      </c>
    </row>
    <row r="158" spans="1:11" ht="15" customHeight="1">
      <c r="A158" s="136">
        <v>42304</v>
      </c>
      <c r="B158" s="307">
        <v>15007973</v>
      </c>
      <c r="C158" s="137" t="s">
        <v>69</v>
      </c>
      <c r="D158" s="138">
        <v>1604.31</v>
      </c>
      <c r="E158" s="138">
        <v>0</v>
      </c>
      <c r="G158" s="365" t="s">
        <v>378</v>
      </c>
      <c r="I158" s="138">
        <v>1604.31</v>
      </c>
      <c r="J158" s="137" t="s">
        <v>1333</v>
      </c>
      <c r="K158" s="138">
        <f t="shared" si="4"/>
        <v>0</v>
      </c>
    </row>
    <row r="159" spans="1:11" ht="15" customHeight="1">
      <c r="A159" s="136">
        <v>42304</v>
      </c>
      <c r="B159" s="307">
        <v>20156240</v>
      </c>
      <c r="C159" s="137" t="s">
        <v>68</v>
      </c>
      <c r="D159" s="138">
        <v>13.27</v>
      </c>
      <c r="E159" s="138">
        <v>0.69</v>
      </c>
      <c r="G159" s="308" t="s">
        <v>373</v>
      </c>
      <c r="I159" s="138">
        <v>13.27</v>
      </c>
      <c r="K159" s="138">
        <f t="shared" si="4"/>
        <v>0</v>
      </c>
    </row>
    <row r="160" spans="1:11" ht="15" customHeight="1">
      <c r="A160" s="136">
        <v>42304</v>
      </c>
      <c r="B160" s="307">
        <v>20156243</v>
      </c>
      <c r="C160" s="137" t="s">
        <v>68</v>
      </c>
      <c r="D160" s="138">
        <v>48.69</v>
      </c>
      <c r="E160" s="138">
        <v>2.54</v>
      </c>
      <c r="G160" s="308" t="s">
        <v>72</v>
      </c>
      <c r="I160" s="138">
        <v>48.69</v>
      </c>
      <c r="K160" s="138">
        <f t="shared" si="4"/>
        <v>0</v>
      </c>
    </row>
    <row r="161" spans="1:12" ht="15" customHeight="1">
      <c r="A161" s="136">
        <v>42304</v>
      </c>
      <c r="B161" s="307">
        <v>3351017072</v>
      </c>
      <c r="C161" s="137" t="s">
        <v>73</v>
      </c>
      <c r="D161" s="138">
        <v>229.97</v>
      </c>
      <c r="E161" s="138">
        <v>11.99</v>
      </c>
      <c r="G161" s="308" t="s">
        <v>72</v>
      </c>
      <c r="I161" s="138">
        <v>229.97</v>
      </c>
      <c r="J161" s="137" t="s">
        <v>861</v>
      </c>
      <c r="K161" s="138">
        <f t="shared" si="4"/>
        <v>0</v>
      </c>
    </row>
    <row r="162" spans="1:12" ht="15" customHeight="1">
      <c r="A162" s="136">
        <v>42304</v>
      </c>
      <c r="B162" s="307">
        <v>3351017688</v>
      </c>
      <c r="C162" s="137" t="s">
        <v>73</v>
      </c>
      <c r="D162" s="138">
        <v>762.88</v>
      </c>
      <c r="E162" s="138">
        <v>80.52</v>
      </c>
      <c r="G162" s="308" t="s">
        <v>71</v>
      </c>
      <c r="I162" s="138">
        <v>762.88</v>
      </c>
      <c r="J162" s="137" t="s">
        <v>1176</v>
      </c>
      <c r="K162" s="138">
        <f t="shared" ref="K162:K171" si="5">IF(D162&lt;&gt;"",D162-I162,"")</f>
        <v>0</v>
      </c>
    </row>
    <row r="163" spans="1:12" ht="15" customHeight="1">
      <c r="A163" s="136">
        <v>42305</v>
      </c>
      <c r="B163" s="307">
        <v>20156322</v>
      </c>
      <c r="C163" s="137" t="s">
        <v>68</v>
      </c>
      <c r="D163" s="138">
        <v>8.1999999999999993</v>
      </c>
      <c r="E163" s="138">
        <v>0.43</v>
      </c>
      <c r="G163" s="308" t="s">
        <v>373</v>
      </c>
      <c r="I163" s="138">
        <v>8.1999999999999993</v>
      </c>
      <c r="K163" s="138">
        <f t="shared" si="5"/>
        <v>0</v>
      </c>
    </row>
    <row r="164" spans="1:12" ht="15" customHeight="1">
      <c r="A164" s="136">
        <v>42306</v>
      </c>
      <c r="B164" s="307">
        <v>2626248</v>
      </c>
      <c r="C164" s="310" t="s">
        <v>79</v>
      </c>
      <c r="D164" s="138">
        <v>493.22</v>
      </c>
      <c r="E164" s="138">
        <v>25.71</v>
      </c>
      <c r="F164" s="364"/>
      <c r="G164" s="365" t="s">
        <v>72</v>
      </c>
      <c r="H164" s="310"/>
      <c r="I164" s="366">
        <v>493.22</v>
      </c>
      <c r="J164" s="310" t="s">
        <v>1517</v>
      </c>
      <c r="K164" s="138">
        <f t="shared" si="5"/>
        <v>0</v>
      </c>
      <c r="L164" s="310"/>
    </row>
    <row r="165" spans="1:12" ht="15" customHeight="1">
      <c r="A165" s="136">
        <v>42306</v>
      </c>
      <c r="B165" s="307">
        <v>15008039</v>
      </c>
      <c r="C165" s="137" t="s">
        <v>69</v>
      </c>
      <c r="D165" s="138">
        <v>832.32</v>
      </c>
      <c r="E165" s="138">
        <v>60.08</v>
      </c>
      <c r="G165" s="308" t="s">
        <v>373</v>
      </c>
      <c r="I165" s="138">
        <v>832.32</v>
      </c>
      <c r="J165" s="137" t="s">
        <v>1334</v>
      </c>
      <c r="K165" s="138">
        <f t="shared" si="5"/>
        <v>0</v>
      </c>
    </row>
    <row r="166" spans="1:12" ht="15" customHeight="1">
      <c r="A166" s="136">
        <v>42306</v>
      </c>
      <c r="B166" s="307">
        <v>20156288</v>
      </c>
      <c r="C166" s="137" t="s">
        <v>68</v>
      </c>
      <c r="D166" s="138">
        <v>36.700000000000003</v>
      </c>
      <c r="E166" s="138">
        <v>1.91</v>
      </c>
      <c r="G166" s="308" t="s">
        <v>72</v>
      </c>
      <c r="I166" s="138">
        <v>36.700000000000003</v>
      </c>
      <c r="K166" s="138">
        <f t="shared" si="5"/>
        <v>0</v>
      </c>
    </row>
    <row r="167" spans="1:12" ht="15" customHeight="1">
      <c r="A167" s="136">
        <v>42306</v>
      </c>
      <c r="B167" s="307">
        <v>20156322</v>
      </c>
      <c r="C167" s="137" t="s">
        <v>68</v>
      </c>
      <c r="D167" s="138">
        <v>23.26</v>
      </c>
      <c r="E167" s="138">
        <v>1.21</v>
      </c>
      <c r="G167" s="308" t="s">
        <v>373</v>
      </c>
      <c r="I167" s="138">
        <v>23.26</v>
      </c>
      <c r="K167" s="138">
        <f t="shared" si="5"/>
        <v>0</v>
      </c>
    </row>
    <row r="168" spans="1:12" ht="15" customHeight="1">
      <c r="A168" s="136">
        <v>42306</v>
      </c>
      <c r="B168" s="307">
        <v>3351019042</v>
      </c>
      <c r="C168" s="137" t="s">
        <v>73</v>
      </c>
      <c r="D168" s="138">
        <v>1189.04</v>
      </c>
      <c r="E168" s="138">
        <v>72.86</v>
      </c>
      <c r="G168" s="308" t="s">
        <v>72</v>
      </c>
      <c r="I168" s="138">
        <v>1189.04</v>
      </c>
      <c r="J168" s="137" t="s">
        <v>861</v>
      </c>
      <c r="K168" s="138">
        <f t="shared" si="5"/>
        <v>0</v>
      </c>
    </row>
    <row r="169" spans="1:12" ht="15" customHeight="1">
      <c r="A169" s="136">
        <v>42307</v>
      </c>
      <c r="B169" s="307">
        <v>55438</v>
      </c>
      <c r="C169" s="137" t="s">
        <v>78</v>
      </c>
      <c r="D169" s="138">
        <v>688.31</v>
      </c>
      <c r="E169" s="138">
        <v>46.11</v>
      </c>
      <c r="G169" s="308" t="s">
        <v>373</v>
      </c>
      <c r="I169" s="138">
        <v>688.31</v>
      </c>
      <c r="J169" s="137" t="s">
        <v>1279</v>
      </c>
      <c r="K169" s="138">
        <f t="shared" si="5"/>
        <v>0</v>
      </c>
    </row>
    <row r="170" spans="1:12" ht="15" customHeight="1">
      <c r="A170" s="136">
        <v>42307</v>
      </c>
      <c r="B170" s="307">
        <v>15033809</v>
      </c>
      <c r="C170" s="137" t="s">
        <v>70</v>
      </c>
      <c r="D170" s="138">
        <v>707.23</v>
      </c>
      <c r="E170" s="138">
        <v>36.869999999999997</v>
      </c>
      <c r="G170" s="308" t="s">
        <v>72</v>
      </c>
      <c r="I170" s="138">
        <v>707.23</v>
      </c>
      <c r="J170" s="137" t="s">
        <v>1287</v>
      </c>
      <c r="K170" s="138">
        <f t="shared" si="5"/>
        <v>0</v>
      </c>
    </row>
    <row r="171" spans="1:12" ht="15" customHeight="1">
      <c r="A171" s="136">
        <v>42307</v>
      </c>
      <c r="B171" s="307">
        <v>20156322</v>
      </c>
      <c r="C171" s="137" t="s">
        <v>68</v>
      </c>
      <c r="D171" s="138">
        <v>76.849999999999994</v>
      </c>
      <c r="E171" s="138">
        <v>4.01</v>
      </c>
      <c r="G171" s="308" t="s">
        <v>72</v>
      </c>
      <c r="I171" s="138">
        <v>76.849999999999994</v>
      </c>
      <c r="K171" s="138">
        <f t="shared" si="5"/>
        <v>0</v>
      </c>
    </row>
    <row r="172" spans="1:12" ht="15" customHeight="1">
      <c r="A172" s="136">
        <v>42307</v>
      </c>
      <c r="C172" s="137" t="s">
        <v>185</v>
      </c>
      <c r="D172" s="138">
        <v>263.75</v>
      </c>
      <c r="G172" s="308" t="s">
        <v>373</v>
      </c>
      <c r="I172" s="138">
        <v>263.75</v>
      </c>
      <c r="J172" s="137" t="s">
        <v>1184</v>
      </c>
      <c r="K172" s="138">
        <v>0</v>
      </c>
    </row>
    <row r="173" spans="1:12" ht="15" customHeight="1">
      <c r="A173" s="136">
        <v>42308</v>
      </c>
      <c r="B173" s="307">
        <v>20156354</v>
      </c>
      <c r="C173" s="137" t="s">
        <v>68</v>
      </c>
      <c r="D173" s="138">
        <v>119.63</v>
      </c>
      <c r="E173" s="138">
        <v>6.24</v>
      </c>
      <c r="G173" s="308" t="s">
        <v>72</v>
      </c>
      <c r="I173" s="138">
        <v>119.63</v>
      </c>
      <c r="K173" s="138">
        <f>IF(D173&lt;&gt;"",D173-I173,"")</f>
        <v>0</v>
      </c>
    </row>
    <row r="174" spans="1:12" ht="15" customHeight="1">
      <c r="A174" s="136">
        <v>42310</v>
      </c>
      <c r="B174" s="307">
        <v>20156382</v>
      </c>
      <c r="C174" s="137" t="s">
        <v>68</v>
      </c>
      <c r="D174" s="138">
        <v>77.16</v>
      </c>
      <c r="E174" s="138">
        <v>4.0199999999999996</v>
      </c>
      <c r="G174" s="308" t="s">
        <v>72</v>
      </c>
      <c r="I174" s="138">
        <v>77.16</v>
      </c>
      <c r="J174" s="137" t="s">
        <v>2513</v>
      </c>
      <c r="K174" s="138">
        <f>IF(D174&lt;&gt;"",D174-I174,"")</f>
        <v>0</v>
      </c>
    </row>
    <row r="175" spans="1:12" ht="15" customHeight="1">
      <c r="A175" s="136">
        <v>42311</v>
      </c>
      <c r="B175" s="307">
        <v>15007426</v>
      </c>
      <c r="C175" s="137" t="s">
        <v>69</v>
      </c>
      <c r="D175" s="138">
        <v>1088.53</v>
      </c>
      <c r="E175" s="138">
        <v>75</v>
      </c>
      <c r="G175" s="308" t="s">
        <v>72</v>
      </c>
      <c r="I175" s="138">
        <v>1088.53</v>
      </c>
      <c r="J175" s="137" t="s">
        <v>1391</v>
      </c>
      <c r="K175" s="138">
        <f>IF(D175&lt;&gt;"",D175-I175,"")</f>
        <v>0</v>
      </c>
    </row>
    <row r="176" spans="1:12" ht="15" customHeight="1">
      <c r="A176" s="136">
        <v>42311</v>
      </c>
      <c r="C176" s="137" t="s">
        <v>186</v>
      </c>
      <c r="D176" s="138">
        <v>503.2</v>
      </c>
      <c r="E176" s="138">
        <v>39.17</v>
      </c>
      <c r="G176" s="308" t="s">
        <v>373</v>
      </c>
      <c r="I176" s="138">
        <v>503.2</v>
      </c>
      <c r="J176" s="137" t="s">
        <v>1185</v>
      </c>
      <c r="K176" s="138">
        <v>0</v>
      </c>
    </row>
    <row r="177" spans="1:11" ht="15" customHeight="1">
      <c r="A177" s="136">
        <v>42312</v>
      </c>
      <c r="B177" s="307">
        <v>302397</v>
      </c>
      <c r="C177" s="310" t="s">
        <v>56</v>
      </c>
      <c r="D177" s="138">
        <v>66.53</v>
      </c>
      <c r="E177" s="138">
        <v>11.09</v>
      </c>
      <c r="G177" s="365" t="s">
        <v>50</v>
      </c>
      <c r="I177" s="138">
        <v>66.53</v>
      </c>
      <c r="K177" s="138">
        <f t="shared" ref="K177:K183" si="6">IF(D177&lt;&gt;"",D177-I177,"")</f>
        <v>0</v>
      </c>
    </row>
    <row r="178" spans="1:11" ht="15" customHeight="1">
      <c r="A178" s="136">
        <v>42312</v>
      </c>
      <c r="B178" s="307">
        <v>3351102792</v>
      </c>
      <c r="C178" s="137" t="s">
        <v>73</v>
      </c>
      <c r="D178" s="138">
        <v>19.66</v>
      </c>
      <c r="E178" s="138">
        <v>2.38</v>
      </c>
      <c r="G178" s="308" t="s">
        <v>373</v>
      </c>
      <c r="I178" s="138">
        <v>19.66</v>
      </c>
      <c r="J178" s="137" t="s">
        <v>1185</v>
      </c>
      <c r="K178" s="138">
        <f t="shared" si="6"/>
        <v>0</v>
      </c>
    </row>
    <row r="179" spans="1:11" ht="15" customHeight="1">
      <c r="A179" s="136">
        <v>42313</v>
      </c>
      <c r="B179" s="307">
        <v>2643630</v>
      </c>
      <c r="C179" s="310" t="s">
        <v>55</v>
      </c>
      <c r="D179" s="138">
        <v>545.74</v>
      </c>
      <c r="E179" s="138">
        <v>28.45</v>
      </c>
      <c r="G179" s="365" t="s">
        <v>54</v>
      </c>
      <c r="I179" s="138">
        <v>545.74</v>
      </c>
      <c r="J179" s="137" t="s">
        <v>1988</v>
      </c>
      <c r="K179" s="138">
        <f t="shared" si="6"/>
        <v>0</v>
      </c>
    </row>
    <row r="180" spans="1:11" ht="15" customHeight="1">
      <c r="A180" s="136">
        <v>42313</v>
      </c>
      <c r="B180" s="307">
        <v>20156476</v>
      </c>
      <c r="C180" s="137" t="s">
        <v>68</v>
      </c>
      <c r="D180" s="138">
        <v>22.1</v>
      </c>
      <c r="E180" s="138">
        <v>1.1499999999999999</v>
      </c>
      <c r="G180" s="308" t="s">
        <v>71</v>
      </c>
      <c r="I180" s="138">
        <v>22.1</v>
      </c>
      <c r="J180" s="137" t="s">
        <v>2277</v>
      </c>
      <c r="K180" s="138">
        <f t="shared" si="6"/>
        <v>0</v>
      </c>
    </row>
    <row r="181" spans="1:11" ht="15" customHeight="1">
      <c r="A181" s="136">
        <v>42313</v>
      </c>
      <c r="B181" s="307">
        <v>20156478</v>
      </c>
      <c r="C181" s="137" t="s">
        <v>68</v>
      </c>
      <c r="D181" s="138">
        <v>66.81</v>
      </c>
      <c r="E181" s="138">
        <v>3.48</v>
      </c>
      <c r="G181" s="308" t="s">
        <v>72</v>
      </c>
      <c r="I181" s="138">
        <v>66.81</v>
      </c>
      <c r="J181" s="137" t="s">
        <v>2513</v>
      </c>
      <c r="K181" s="138">
        <f t="shared" si="6"/>
        <v>0</v>
      </c>
    </row>
    <row r="182" spans="1:11" ht="15" customHeight="1">
      <c r="A182" s="136">
        <v>42313</v>
      </c>
      <c r="B182" s="307">
        <v>3351103091</v>
      </c>
      <c r="C182" s="137" t="s">
        <v>73</v>
      </c>
      <c r="D182" s="138">
        <v>1331.93</v>
      </c>
      <c r="E182" s="138">
        <v>97.45</v>
      </c>
      <c r="G182" s="308" t="s">
        <v>72</v>
      </c>
      <c r="I182" s="138">
        <v>1331.93</v>
      </c>
      <c r="J182" s="137" t="s">
        <v>1186</v>
      </c>
      <c r="K182" s="138">
        <f t="shared" si="6"/>
        <v>0</v>
      </c>
    </row>
    <row r="183" spans="1:11" ht="15" customHeight="1">
      <c r="A183" s="136">
        <v>42313</v>
      </c>
      <c r="B183" s="307" t="s">
        <v>887</v>
      </c>
      <c r="C183" s="137" t="s">
        <v>183</v>
      </c>
      <c r="D183" s="138">
        <v>710.24</v>
      </c>
      <c r="E183" s="138">
        <v>46.36</v>
      </c>
      <c r="G183" s="308" t="s">
        <v>373</v>
      </c>
      <c r="I183" s="138">
        <v>710.24</v>
      </c>
      <c r="J183" s="137" t="s">
        <v>1334</v>
      </c>
      <c r="K183" s="138">
        <f t="shared" si="6"/>
        <v>0</v>
      </c>
    </row>
    <row r="184" spans="1:11" ht="15" customHeight="1">
      <c r="A184" s="136">
        <v>42313</v>
      </c>
      <c r="B184" s="307" t="s">
        <v>1388</v>
      </c>
      <c r="C184" s="137" t="s">
        <v>188</v>
      </c>
      <c r="D184" s="138">
        <v>364.78</v>
      </c>
      <c r="E184" s="138">
        <v>19.02</v>
      </c>
      <c r="G184" s="308" t="s">
        <v>378</v>
      </c>
      <c r="I184" s="138">
        <v>364.78</v>
      </c>
      <c r="J184" s="137" t="s">
        <v>1516</v>
      </c>
      <c r="K184" s="138">
        <v>0</v>
      </c>
    </row>
    <row r="185" spans="1:11" ht="15" customHeight="1">
      <c r="A185" s="136">
        <v>42314</v>
      </c>
      <c r="B185" s="307">
        <v>55894</v>
      </c>
      <c r="C185" s="137" t="s">
        <v>187</v>
      </c>
      <c r="D185" s="138">
        <v>1237.8</v>
      </c>
      <c r="E185" s="138">
        <v>79.150000000000006</v>
      </c>
      <c r="G185" s="308" t="s">
        <v>378</v>
      </c>
      <c r="I185" s="138">
        <v>1237.8</v>
      </c>
      <c r="K185" s="138">
        <f t="shared" ref="K185:K202" si="7">IF(D185&lt;&gt;"",D185-I185,"")</f>
        <v>0</v>
      </c>
    </row>
    <row r="186" spans="1:11" ht="15" customHeight="1">
      <c r="A186" s="136">
        <v>42314</v>
      </c>
      <c r="B186" s="307">
        <v>15034650</v>
      </c>
      <c r="C186" s="137" t="s">
        <v>70</v>
      </c>
      <c r="D186" s="138">
        <v>130.36000000000001</v>
      </c>
      <c r="E186" s="138">
        <v>7.62</v>
      </c>
      <c r="G186" s="308" t="s">
        <v>373</v>
      </c>
      <c r="I186" s="138">
        <v>130.36000000000001</v>
      </c>
      <c r="J186" s="137" t="s">
        <v>1332</v>
      </c>
      <c r="K186" s="138">
        <f t="shared" si="7"/>
        <v>0</v>
      </c>
    </row>
    <row r="187" spans="1:11" ht="15" customHeight="1">
      <c r="A187" s="136">
        <v>42314</v>
      </c>
      <c r="B187" s="307">
        <v>15034718</v>
      </c>
      <c r="C187" s="137" t="s">
        <v>70</v>
      </c>
      <c r="D187" s="138">
        <v>720.99</v>
      </c>
      <c r="E187" s="138">
        <v>37.99</v>
      </c>
      <c r="G187" s="308" t="s">
        <v>72</v>
      </c>
      <c r="I187" s="138">
        <v>720.99</v>
      </c>
      <c r="J187" s="137" t="s">
        <v>1287</v>
      </c>
      <c r="K187" s="138">
        <f t="shared" si="7"/>
        <v>0</v>
      </c>
    </row>
    <row r="188" spans="1:11" ht="15" customHeight="1">
      <c r="A188" s="136">
        <v>42314</v>
      </c>
      <c r="B188" s="307">
        <v>20156487</v>
      </c>
      <c r="C188" s="137" t="s">
        <v>68</v>
      </c>
      <c r="D188" s="138">
        <v>73.02</v>
      </c>
      <c r="E188" s="138">
        <v>3.81</v>
      </c>
      <c r="G188" s="308" t="s">
        <v>72</v>
      </c>
      <c r="I188" s="138">
        <v>73.02</v>
      </c>
      <c r="J188" s="137" t="s">
        <v>2513</v>
      </c>
      <c r="K188" s="138">
        <f t="shared" si="7"/>
        <v>0</v>
      </c>
    </row>
    <row r="189" spans="1:11" ht="15" customHeight="1">
      <c r="A189" s="136">
        <v>42314</v>
      </c>
      <c r="B189" s="307">
        <v>20156508</v>
      </c>
      <c r="C189" s="137" t="s">
        <v>68</v>
      </c>
      <c r="D189" s="138">
        <v>15.01</v>
      </c>
      <c r="E189" s="138">
        <v>0.78</v>
      </c>
      <c r="G189" s="308" t="s">
        <v>373</v>
      </c>
      <c r="I189" s="138">
        <v>15.01</v>
      </c>
      <c r="J189" s="137" t="s">
        <v>2277</v>
      </c>
      <c r="K189" s="138">
        <f t="shared" si="7"/>
        <v>0</v>
      </c>
    </row>
    <row r="190" spans="1:11" ht="15" customHeight="1">
      <c r="A190" s="136">
        <v>42315</v>
      </c>
      <c r="B190" s="307">
        <v>20156533</v>
      </c>
      <c r="C190" s="137" t="s">
        <v>68</v>
      </c>
      <c r="D190" s="138">
        <v>117.92</v>
      </c>
      <c r="E190" s="138">
        <v>6.15</v>
      </c>
      <c r="G190" s="308" t="s">
        <v>72</v>
      </c>
      <c r="I190" s="138">
        <v>117.92</v>
      </c>
      <c r="J190" s="137" t="s">
        <v>2513</v>
      </c>
      <c r="K190" s="138">
        <f t="shared" si="7"/>
        <v>0</v>
      </c>
    </row>
    <row r="191" spans="1:11" ht="15" customHeight="1">
      <c r="A191" s="136">
        <v>42317</v>
      </c>
      <c r="B191" s="307">
        <v>20156550</v>
      </c>
      <c r="C191" s="137" t="s">
        <v>49</v>
      </c>
      <c r="D191" s="138">
        <v>23.64</v>
      </c>
      <c r="E191" s="138">
        <v>1.23</v>
      </c>
      <c r="G191" s="308" t="s">
        <v>54</v>
      </c>
      <c r="I191" s="138">
        <v>23.64</v>
      </c>
      <c r="J191" s="137" t="s">
        <v>2277</v>
      </c>
      <c r="K191" s="138">
        <f t="shared" si="7"/>
        <v>0</v>
      </c>
    </row>
    <row r="192" spans="1:11" ht="15" customHeight="1">
      <c r="A192" s="136">
        <v>42317</v>
      </c>
      <c r="B192" s="307">
        <v>20156552</v>
      </c>
      <c r="C192" s="137" t="s">
        <v>68</v>
      </c>
      <c r="D192" s="138">
        <v>68.92</v>
      </c>
      <c r="E192" s="138">
        <v>3.59</v>
      </c>
      <c r="G192" s="308" t="s">
        <v>72</v>
      </c>
      <c r="I192" s="138">
        <v>68.92</v>
      </c>
      <c r="J192" s="137" t="s">
        <v>2513</v>
      </c>
      <c r="K192" s="138">
        <f t="shared" si="7"/>
        <v>0</v>
      </c>
    </row>
    <row r="193" spans="1:11" ht="15" customHeight="1">
      <c r="A193" s="136">
        <v>42318</v>
      </c>
      <c r="B193" s="307">
        <v>20156581</v>
      </c>
      <c r="C193" s="137" t="s">
        <v>68</v>
      </c>
      <c r="D193" s="138">
        <v>18.899999999999999</v>
      </c>
      <c r="E193" s="138">
        <v>0.99</v>
      </c>
      <c r="G193" s="308" t="s">
        <v>373</v>
      </c>
      <c r="I193" s="138">
        <v>18.899999999999999</v>
      </c>
      <c r="J193" s="137" t="s">
        <v>2277</v>
      </c>
      <c r="K193" s="138">
        <f t="shared" si="7"/>
        <v>0</v>
      </c>
    </row>
    <row r="194" spans="1:11" ht="15" customHeight="1">
      <c r="A194" s="136">
        <v>42318</v>
      </c>
      <c r="B194" s="307">
        <v>20156584</v>
      </c>
      <c r="C194" s="137" t="s">
        <v>49</v>
      </c>
      <c r="D194" s="138">
        <v>25.29</v>
      </c>
      <c r="E194" s="138">
        <v>1.32</v>
      </c>
      <c r="G194" s="308" t="s">
        <v>50</v>
      </c>
      <c r="I194" s="138">
        <v>25.29</v>
      </c>
      <c r="J194" s="137" t="s">
        <v>2513</v>
      </c>
      <c r="K194" s="138">
        <f t="shared" si="7"/>
        <v>0</v>
      </c>
    </row>
    <row r="195" spans="1:11" ht="15" customHeight="1">
      <c r="A195" s="136">
        <v>42318</v>
      </c>
      <c r="B195" s="307">
        <v>20156585</v>
      </c>
      <c r="C195" s="137" t="s">
        <v>49</v>
      </c>
      <c r="D195" s="138">
        <v>52.39</v>
      </c>
      <c r="E195" s="138">
        <v>2.73</v>
      </c>
      <c r="G195" s="308" t="s">
        <v>50</v>
      </c>
      <c r="I195" s="138">
        <v>52.39</v>
      </c>
      <c r="J195" s="137" t="s">
        <v>2513</v>
      </c>
      <c r="K195" s="138">
        <f t="shared" si="7"/>
        <v>0</v>
      </c>
    </row>
    <row r="196" spans="1:11" ht="15" customHeight="1">
      <c r="A196" s="136">
        <v>42318</v>
      </c>
      <c r="B196" s="307">
        <v>3351105787</v>
      </c>
      <c r="C196" s="137" t="s">
        <v>52</v>
      </c>
      <c r="D196" s="138">
        <v>528.19000000000005</v>
      </c>
      <c r="E196" s="138">
        <v>32.479999999999997</v>
      </c>
      <c r="G196" s="308" t="s">
        <v>54</v>
      </c>
      <c r="I196" s="138">
        <v>528.19000000000005</v>
      </c>
      <c r="J196" s="137" t="s">
        <v>1185</v>
      </c>
      <c r="K196" s="138">
        <f t="shared" si="7"/>
        <v>0</v>
      </c>
    </row>
    <row r="197" spans="1:11" ht="15" customHeight="1">
      <c r="A197" s="136">
        <v>42318</v>
      </c>
      <c r="B197" s="307">
        <v>3351106658</v>
      </c>
      <c r="C197" s="137" t="s">
        <v>52</v>
      </c>
      <c r="D197" s="138">
        <v>113.78</v>
      </c>
      <c r="E197" s="138">
        <v>12.24</v>
      </c>
      <c r="G197" s="308" t="s">
        <v>50</v>
      </c>
      <c r="I197" s="138">
        <v>113.78</v>
      </c>
      <c r="J197" s="137" t="s">
        <v>1186</v>
      </c>
      <c r="K197" s="138">
        <f t="shared" si="7"/>
        <v>0</v>
      </c>
    </row>
    <row r="198" spans="1:11" ht="15" customHeight="1">
      <c r="A198" s="136">
        <v>42318</v>
      </c>
      <c r="B198" s="307" t="s">
        <v>894</v>
      </c>
      <c r="C198" s="137" t="s">
        <v>183</v>
      </c>
      <c r="D198" s="138">
        <v>2561.61</v>
      </c>
      <c r="E198" s="138">
        <v>195.97</v>
      </c>
      <c r="G198" s="308" t="s">
        <v>378</v>
      </c>
      <c r="I198" s="138">
        <v>2561.61</v>
      </c>
      <c r="J198" s="137" t="s">
        <v>1391</v>
      </c>
      <c r="K198" s="138">
        <f t="shared" si="7"/>
        <v>0</v>
      </c>
    </row>
    <row r="199" spans="1:11" ht="15" customHeight="1">
      <c r="A199" s="136">
        <v>42320</v>
      </c>
      <c r="B199" s="307">
        <v>20156647</v>
      </c>
      <c r="C199" s="137" t="s">
        <v>49</v>
      </c>
      <c r="D199" s="138">
        <v>43.28</v>
      </c>
      <c r="E199" s="138">
        <v>2.2599999999999998</v>
      </c>
      <c r="G199" s="308" t="s">
        <v>50</v>
      </c>
      <c r="I199" s="138">
        <v>43.28</v>
      </c>
      <c r="J199" s="137" t="s">
        <v>2513</v>
      </c>
      <c r="K199" s="138">
        <f t="shared" si="7"/>
        <v>0</v>
      </c>
    </row>
    <row r="200" spans="1:11" ht="15" customHeight="1">
      <c r="A200" s="136">
        <v>42320</v>
      </c>
      <c r="B200" s="307">
        <v>3351107005</v>
      </c>
      <c r="C200" s="137" t="s">
        <v>52</v>
      </c>
      <c r="D200" s="138">
        <v>1280.1500000000001</v>
      </c>
      <c r="E200" s="138">
        <v>85.06</v>
      </c>
      <c r="G200" s="308" t="s">
        <v>50</v>
      </c>
      <c r="I200" s="138">
        <v>1280.1500000000001</v>
      </c>
      <c r="J200" s="137" t="s">
        <v>1187</v>
      </c>
      <c r="K200" s="138">
        <f t="shared" si="7"/>
        <v>0</v>
      </c>
    </row>
    <row r="201" spans="1:11" ht="15" customHeight="1">
      <c r="A201" s="136">
        <v>42320</v>
      </c>
      <c r="B201" s="307" t="s">
        <v>888</v>
      </c>
      <c r="C201" s="137" t="s">
        <v>183</v>
      </c>
      <c r="D201" s="138">
        <v>454.93</v>
      </c>
      <c r="E201" s="138">
        <v>34.950000000000003</v>
      </c>
      <c r="G201" s="308" t="s">
        <v>373</v>
      </c>
      <c r="I201" s="138">
        <v>454.93</v>
      </c>
      <c r="J201" s="137" t="s">
        <v>1334</v>
      </c>
      <c r="K201" s="138">
        <f t="shared" si="7"/>
        <v>0</v>
      </c>
    </row>
    <row r="202" spans="1:11" ht="15" customHeight="1">
      <c r="A202" s="136">
        <v>42320</v>
      </c>
      <c r="B202" s="307" t="s">
        <v>860</v>
      </c>
      <c r="C202" s="137" t="s">
        <v>372</v>
      </c>
      <c r="D202" s="138">
        <v>16.75</v>
      </c>
      <c r="E202" s="138">
        <v>0.87</v>
      </c>
      <c r="G202" s="308" t="s">
        <v>373</v>
      </c>
      <c r="I202" s="138">
        <v>16.75</v>
      </c>
      <c r="J202" s="137" t="s">
        <v>2277</v>
      </c>
      <c r="K202" s="138">
        <f t="shared" si="7"/>
        <v>0</v>
      </c>
    </row>
    <row r="203" spans="1:11" ht="15" customHeight="1">
      <c r="A203" s="136">
        <v>42320</v>
      </c>
      <c r="B203" s="307" t="s">
        <v>1383</v>
      </c>
      <c r="C203" s="137" t="s">
        <v>188</v>
      </c>
      <c r="D203" s="138">
        <v>95.37</v>
      </c>
      <c r="E203" s="138">
        <v>4.97</v>
      </c>
      <c r="G203" s="308" t="s">
        <v>378</v>
      </c>
      <c r="I203" s="138">
        <v>95.37</v>
      </c>
      <c r="J203" s="137" t="s">
        <v>2062</v>
      </c>
      <c r="K203" s="138">
        <v>0</v>
      </c>
    </row>
    <row r="204" spans="1:11" ht="15" customHeight="1">
      <c r="A204" s="136">
        <v>42321</v>
      </c>
      <c r="B204" s="307">
        <v>15035541</v>
      </c>
      <c r="C204" s="137" t="s">
        <v>51</v>
      </c>
      <c r="D204" s="138">
        <v>1276.01</v>
      </c>
      <c r="E204" s="138">
        <v>99.5</v>
      </c>
      <c r="G204" s="308" t="s">
        <v>50</v>
      </c>
      <c r="I204" s="138">
        <v>1276.01</v>
      </c>
      <c r="J204" s="137" t="s">
        <v>1331</v>
      </c>
      <c r="K204" s="138">
        <f t="shared" ref="K204:K209" si="8">IF(D204&lt;&gt;"",D204-I204,"")</f>
        <v>0</v>
      </c>
    </row>
    <row r="205" spans="1:11" ht="15" customHeight="1">
      <c r="A205" s="136">
        <v>42321</v>
      </c>
      <c r="B205" s="307">
        <v>20156661</v>
      </c>
      <c r="C205" s="137" t="s">
        <v>372</v>
      </c>
      <c r="D205" s="138">
        <v>88.23</v>
      </c>
      <c r="E205" s="138">
        <v>4.5999999999999996</v>
      </c>
      <c r="G205" s="308" t="s">
        <v>378</v>
      </c>
      <c r="I205" s="138">
        <v>88.23</v>
      </c>
      <c r="J205" s="137" t="s">
        <v>2513</v>
      </c>
      <c r="K205" s="138">
        <f t="shared" si="8"/>
        <v>0</v>
      </c>
    </row>
    <row r="206" spans="1:11" ht="15" customHeight="1">
      <c r="A206" s="136">
        <v>42321</v>
      </c>
      <c r="B206" s="307" t="s">
        <v>896</v>
      </c>
      <c r="C206" s="137" t="s">
        <v>185</v>
      </c>
      <c r="D206" s="138">
        <v>91.55</v>
      </c>
      <c r="E206" s="138">
        <v>4.7699999999999996</v>
      </c>
      <c r="G206" s="308" t="s">
        <v>373</v>
      </c>
      <c r="I206" s="138">
        <v>91.55</v>
      </c>
      <c r="J206" s="137" t="s">
        <v>1514</v>
      </c>
      <c r="K206" s="138">
        <f t="shared" si="8"/>
        <v>0</v>
      </c>
    </row>
    <row r="207" spans="1:11" ht="15" customHeight="1">
      <c r="A207" s="136">
        <v>42321</v>
      </c>
      <c r="B207" s="307" t="s">
        <v>868</v>
      </c>
      <c r="C207" s="137" t="s">
        <v>184</v>
      </c>
      <c r="D207" s="138">
        <v>80.62</v>
      </c>
      <c r="E207" s="138">
        <v>7.41</v>
      </c>
      <c r="G207" s="308" t="s">
        <v>373</v>
      </c>
      <c r="I207" s="138">
        <v>80.62</v>
      </c>
      <c r="J207" s="137" t="s">
        <v>1332</v>
      </c>
      <c r="K207" s="138">
        <f t="shared" si="8"/>
        <v>0</v>
      </c>
    </row>
    <row r="208" spans="1:11" ht="15" customHeight="1">
      <c r="A208" s="136">
        <v>42321</v>
      </c>
      <c r="B208" s="307" t="s">
        <v>859</v>
      </c>
      <c r="C208" s="137" t="s">
        <v>372</v>
      </c>
      <c r="D208" s="138">
        <v>14.57</v>
      </c>
      <c r="E208" s="138">
        <v>0.76</v>
      </c>
      <c r="G208" s="308" t="s">
        <v>373</v>
      </c>
      <c r="I208" s="138">
        <v>14.57</v>
      </c>
      <c r="J208" s="137" t="s">
        <v>2277</v>
      </c>
      <c r="K208" s="138">
        <f t="shared" si="8"/>
        <v>0</v>
      </c>
    </row>
    <row r="209" spans="1:11" ht="15" customHeight="1">
      <c r="A209" s="136">
        <v>42321</v>
      </c>
      <c r="B209" s="307" t="s">
        <v>883</v>
      </c>
      <c r="C209" s="137" t="s">
        <v>187</v>
      </c>
      <c r="D209" s="138">
        <v>701.58</v>
      </c>
      <c r="E209" s="138">
        <v>36.58</v>
      </c>
      <c r="G209" s="308" t="s">
        <v>378</v>
      </c>
      <c r="I209" s="138">
        <v>701.58</v>
      </c>
      <c r="J209" s="137" t="s">
        <v>1176</v>
      </c>
      <c r="K209" s="138">
        <f t="shared" si="8"/>
        <v>0</v>
      </c>
    </row>
    <row r="210" spans="1:11" ht="15" customHeight="1">
      <c r="A210" s="136">
        <v>42321</v>
      </c>
      <c r="B210" s="307" t="s">
        <v>1389</v>
      </c>
      <c r="C210" s="137" t="s">
        <v>188</v>
      </c>
      <c r="D210" s="138">
        <v>538.67999999999995</v>
      </c>
      <c r="E210" s="138">
        <v>28.08</v>
      </c>
      <c r="G210" s="308" t="s">
        <v>378</v>
      </c>
      <c r="I210" s="138">
        <v>538.67999999999995</v>
      </c>
      <c r="J210" s="137" t="s">
        <v>2062</v>
      </c>
      <c r="K210" s="138">
        <v>0</v>
      </c>
    </row>
    <row r="211" spans="1:11" ht="15" customHeight="1">
      <c r="A211" s="136">
        <v>42324</v>
      </c>
      <c r="B211" s="307">
        <v>20156711</v>
      </c>
      <c r="C211" s="137" t="s">
        <v>49</v>
      </c>
      <c r="D211" s="138">
        <v>62.7</v>
      </c>
      <c r="E211" s="138">
        <v>3.27</v>
      </c>
      <c r="G211" s="308" t="s">
        <v>50</v>
      </c>
      <c r="I211" s="138">
        <v>62.7</v>
      </c>
      <c r="J211" s="137" t="s">
        <v>2513</v>
      </c>
      <c r="K211" s="138">
        <f t="shared" ref="K211:K219" si="9">IF(D211&lt;&gt;"",D211-I211,"")</f>
        <v>0</v>
      </c>
    </row>
    <row r="212" spans="1:11" ht="15" customHeight="1">
      <c r="A212" s="136">
        <v>42324</v>
      </c>
      <c r="B212" s="307" t="s">
        <v>857</v>
      </c>
      <c r="C212" s="137" t="s">
        <v>372</v>
      </c>
      <c r="D212" s="138">
        <v>21.78</v>
      </c>
      <c r="E212" s="138">
        <v>1.1399999999999999</v>
      </c>
      <c r="G212" s="308" t="s">
        <v>373</v>
      </c>
      <c r="I212" s="138">
        <v>21.78</v>
      </c>
      <c r="J212" s="137" t="s">
        <v>2277</v>
      </c>
      <c r="K212" s="138">
        <f t="shared" si="9"/>
        <v>0</v>
      </c>
    </row>
    <row r="213" spans="1:11" ht="15" customHeight="1">
      <c r="A213" s="136">
        <v>42325</v>
      </c>
      <c r="B213" s="307">
        <v>20156735</v>
      </c>
      <c r="C213" s="137" t="s">
        <v>372</v>
      </c>
      <c r="D213" s="138">
        <v>67.319999999999993</v>
      </c>
      <c r="E213" s="138">
        <v>3.51</v>
      </c>
      <c r="G213" s="308" t="s">
        <v>378</v>
      </c>
      <c r="I213" s="138">
        <v>67.319999999999993</v>
      </c>
      <c r="J213" s="137" t="s">
        <v>2513</v>
      </c>
      <c r="K213" s="138">
        <f t="shared" si="9"/>
        <v>0</v>
      </c>
    </row>
    <row r="214" spans="1:11" ht="15" customHeight="1">
      <c r="A214" s="136">
        <v>42325</v>
      </c>
      <c r="B214" s="307" t="s">
        <v>891</v>
      </c>
      <c r="C214" s="137" t="s">
        <v>183</v>
      </c>
      <c r="D214" s="138">
        <v>1994.69</v>
      </c>
      <c r="E214" s="138">
        <v>129.35</v>
      </c>
      <c r="G214" s="308" t="s">
        <v>378</v>
      </c>
      <c r="I214" s="138">
        <v>1994.69</v>
      </c>
      <c r="J214" s="137" t="s">
        <v>1538</v>
      </c>
      <c r="K214" s="138">
        <f t="shared" si="9"/>
        <v>0</v>
      </c>
    </row>
    <row r="215" spans="1:11" ht="15" customHeight="1">
      <c r="A215" s="136">
        <v>42325</v>
      </c>
      <c r="B215" s="307" t="s">
        <v>858</v>
      </c>
      <c r="C215" s="137" t="s">
        <v>372</v>
      </c>
      <c r="D215" s="138">
        <v>14.54</v>
      </c>
      <c r="E215" s="138">
        <v>0.76</v>
      </c>
      <c r="G215" s="308" t="s">
        <v>373</v>
      </c>
      <c r="I215" s="138">
        <v>14.54</v>
      </c>
      <c r="J215" s="137" t="s">
        <v>2277</v>
      </c>
      <c r="K215" s="138">
        <f t="shared" si="9"/>
        <v>0</v>
      </c>
    </row>
    <row r="216" spans="1:11" ht="15" customHeight="1">
      <c r="A216" s="136">
        <v>42325</v>
      </c>
      <c r="B216" s="307" t="s">
        <v>871</v>
      </c>
      <c r="C216" s="137" t="s">
        <v>186</v>
      </c>
      <c r="D216" s="138">
        <v>453.03</v>
      </c>
      <c r="E216" s="138">
        <v>29.77</v>
      </c>
      <c r="G216" s="308" t="s">
        <v>373</v>
      </c>
      <c r="I216" s="138">
        <v>453.03</v>
      </c>
      <c r="J216" s="137" t="s">
        <v>1286</v>
      </c>
      <c r="K216" s="138">
        <f t="shared" si="9"/>
        <v>0</v>
      </c>
    </row>
    <row r="217" spans="1:11" ht="15" customHeight="1">
      <c r="A217" s="136">
        <v>42326</v>
      </c>
      <c r="B217" s="307" t="s">
        <v>898</v>
      </c>
      <c r="C217" s="137" t="s">
        <v>852</v>
      </c>
      <c r="D217" s="138">
        <v>103.81</v>
      </c>
      <c r="E217" s="138">
        <v>5.41</v>
      </c>
      <c r="G217" s="308" t="s">
        <v>373</v>
      </c>
      <c r="I217" s="138">
        <v>103.81</v>
      </c>
      <c r="J217" s="137" t="s">
        <v>1908</v>
      </c>
      <c r="K217" s="138">
        <f t="shared" si="9"/>
        <v>0</v>
      </c>
    </row>
    <row r="218" spans="1:11" ht="15" customHeight="1">
      <c r="A218" s="136">
        <v>42326</v>
      </c>
      <c r="B218" s="307" t="s">
        <v>853</v>
      </c>
      <c r="C218" s="137" t="s">
        <v>852</v>
      </c>
      <c r="D218" s="138">
        <v>311.44</v>
      </c>
      <c r="E218" s="138">
        <v>16.239999999999998</v>
      </c>
      <c r="G218" s="308" t="s">
        <v>378</v>
      </c>
      <c r="I218" s="138">
        <v>311.44</v>
      </c>
      <c r="J218" s="137" t="s">
        <v>854</v>
      </c>
      <c r="K218" s="138">
        <f t="shared" si="9"/>
        <v>0</v>
      </c>
    </row>
    <row r="219" spans="1:11" ht="15" customHeight="1">
      <c r="A219" s="136">
        <v>42326</v>
      </c>
      <c r="B219" s="307" t="s">
        <v>878</v>
      </c>
      <c r="C219" s="137" t="s">
        <v>372</v>
      </c>
      <c r="D219" s="138">
        <v>22.91</v>
      </c>
      <c r="E219" s="138">
        <v>1.19</v>
      </c>
      <c r="G219" s="308" t="s">
        <v>373</v>
      </c>
      <c r="I219" s="138">
        <v>22.91</v>
      </c>
      <c r="J219" s="137" t="s">
        <v>2277</v>
      </c>
      <c r="K219" s="138">
        <f t="shared" si="9"/>
        <v>0</v>
      </c>
    </row>
    <row r="220" spans="1:11" ht="15" customHeight="1">
      <c r="A220" s="136">
        <v>42326</v>
      </c>
      <c r="B220" s="307" t="s">
        <v>1188</v>
      </c>
      <c r="C220" s="137" t="s">
        <v>186</v>
      </c>
      <c r="D220" s="138">
        <v>121.73</v>
      </c>
      <c r="E220" s="138">
        <v>13.22</v>
      </c>
      <c r="G220" s="308" t="s">
        <v>373</v>
      </c>
      <c r="I220" s="138">
        <v>121.73</v>
      </c>
      <c r="J220" s="137" t="s">
        <v>1286</v>
      </c>
      <c r="K220" s="138">
        <v>0</v>
      </c>
    </row>
    <row r="221" spans="1:11" ht="15" customHeight="1">
      <c r="A221" s="136">
        <v>42326</v>
      </c>
      <c r="B221" s="307" t="s">
        <v>1382</v>
      </c>
      <c r="C221" s="137" t="s">
        <v>188</v>
      </c>
      <c r="D221" s="138">
        <v>466.74</v>
      </c>
      <c r="E221" s="138">
        <v>24.33</v>
      </c>
      <c r="G221" s="308" t="s">
        <v>378</v>
      </c>
      <c r="I221" s="138">
        <v>466.74</v>
      </c>
      <c r="J221" s="137" t="s">
        <v>2062</v>
      </c>
      <c r="K221" s="138">
        <v>0</v>
      </c>
    </row>
    <row r="222" spans="1:11" ht="15" customHeight="1">
      <c r="A222" s="136">
        <v>42327</v>
      </c>
      <c r="B222" s="307" t="s">
        <v>889</v>
      </c>
      <c r="C222" s="137" t="s">
        <v>183</v>
      </c>
      <c r="D222" s="138">
        <v>680.15</v>
      </c>
      <c r="E222" s="138">
        <v>47.88</v>
      </c>
      <c r="G222" s="308" t="s">
        <v>373</v>
      </c>
      <c r="I222" s="138">
        <v>680.15</v>
      </c>
      <c r="J222" s="137" t="s">
        <v>1537</v>
      </c>
      <c r="K222" s="138">
        <f t="shared" ref="K222:K262" si="10">IF(D222&lt;&gt;"",D222-I222,"")</f>
        <v>0</v>
      </c>
    </row>
    <row r="223" spans="1:11" ht="15" customHeight="1">
      <c r="A223" s="136">
        <v>42327</v>
      </c>
      <c r="B223" s="307" t="s">
        <v>877</v>
      </c>
      <c r="C223" s="137" t="s">
        <v>372</v>
      </c>
      <c r="D223" s="138">
        <v>19.73</v>
      </c>
      <c r="E223" s="138">
        <v>1.03</v>
      </c>
      <c r="G223" s="308" t="s">
        <v>373</v>
      </c>
      <c r="I223" s="138">
        <v>19.73</v>
      </c>
      <c r="J223" s="137" t="s">
        <v>2277</v>
      </c>
      <c r="K223" s="138">
        <f t="shared" si="10"/>
        <v>0</v>
      </c>
    </row>
    <row r="224" spans="1:11" ht="15" customHeight="1">
      <c r="A224" s="136">
        <v>42327</v>
      </c>
      <c r="B224" s="307" t="s">
        <v>866</v>
      </c>
      <c r="C224" s="137" t="s">
        <v>372</v>
      </c>
      <c r="D224" s="138">
        <v>70.709999999999994</v>
      </c>
      <c r="E224" s="138">
        <v>3.69</v>
      </c>
      <c r="G224" s="308" t="s">
        <v>378</v>
      </c>
      <c r="I224" s="138">
        <v>70.709999999999994</v>
      </c>
      <c r="J224" s="137" t="s">
        <v>2513</v>
      </c>
      <c r="K224" s="138">
        <f t="shared" si="10"/>
        <v>0</v>
      </c>
    </row>
    <row r="225" spans="1:11" ht="15" customHeight="1">
      <c r="A225" s="136">
        <v>42327</v>
      </c>
      <c r="B225" s="307" t="s">
        <v>862</v>
      </c>
      <c r="C225" s="137" t="s">
        <v>52</v>
      </c>
      <c r="D225" s="138">
        <v>506.17</v>
      </c>
      <c r="E225" s="138">
        <v>60.82</v>
      </c>
      <c r="G225" s="308" t="s">
        <v>50</v>
      </c>
      <c r="I225" s="138">
        <v>506.17</v>
      </c>
      <c r="J225" s="137" t="s">
        <v>1187</v>
      </c>
      <c r="K225" s="138">
        <f t="shared" si="10"/>
        <v>0</v>
      </c>
    </row>
    <row r="226" spans="1:11" ht="15" customHeight="1">
      <c r="A226" s="136">
        <v>42328</v>
      </c>
      <c r="B226" s="307" t="s">
        <v>880</v>
      </c>
      <c r="C226" s="137" t="s">
        <v>184</v>
      </c>
      <c r="D226" s="138">
        <v>204.66</v>
      </c>
      <c r="E226" s="138">
        <v>18.46</v>
      </c>
      <c r="G226" s="308" t="s">
        <v>373</v>
      </c>
      <c r="I226" s="138">
        <v>204.66</v>
      </c>
      <c r="J226" s="137" t="s">
        <v>1332</v>
      </c>
      <c r="K226" s="138">
        <f t="shared" si="10"/>
        <v>0</v>
      </c>
    </row>
    <row r="227" spans="1:11" ht="15" customHeight="1">
      <c r="A227" s="136">
        <v>42328</v>
      </c>
      <c r="B227" s="307" t="s">
        <v>869</v>
      </c>
      <c r="C227" s="137" t="s">
        <v>184</v>
      </c>
      <c r="D227" s="138">
        <v>385.05</v>
      </c>
      <c r="E227" s="138">
        <v>21.1</v>
      </c>
      <c r="G227" s="308" t="s">
        <v>378</v>
      </c>
      <c r="I227" s="138">
        <v>385.05</v>
      </c>
      <c r="J227" s="137" t="s">
        <v>1540</v>
      </c>
      <c r="K227" s="138">
        <f t="shared" si="10"/>
        <v>0</v>
      </c>
    </row>
    <row r="228" spans="1:11" ht="15" customHeight="1">
      <c r="A228" s="136">
        <v>42328</v>
      </c>
      <c r="B228" s="307" t="s">
        <v>879</v>
      </c>
      <c r="C228" s="137" t="s">
        <v>372</v>
      </c>
      <c r="D228" s="138">
        <v>12.43</v>
      </c>
      <c r="E228" s="138">
        <v>0.65</v>
      </c>
      <c r="G228" s="308" t="s">
        <v>373</v>
      </c>
      <c r="I228" s="138">
        <v>12.43</v>
      </c>
      <c r="J228" s="137" t="s">
        <v>2277</v>
      </c>
      <c r="K228" s="138">
        <f t="shared" si="10"/>
        <v>0</v>
      </c>
    </row>
    <row r="229" spans="1:11" ht="15" customHeight="1">
      <c r="A229" s="136">
        <v>42328</v>
      </c>
      <c r="B229" s="307" t="s">
        <v>867</v>
      </c>
      <c r="C229" s="137" t="s">
        <v>372</v>
      </c>
      <c r="D229" s="138">
        <v>104.18</v>
      </c>
      <c r="E229" s="138">
        <v>5.43</v>
      </c>
      <c r="G229" s="308" t="s">
        <v>378</v>
      </c>
      <c r="I229" s="138">
        <v>104.18</v>
      </c>
      <c r="J229" s="137" t="s">
        <v>2513</v>
      </c>
      <c r="K229" s="138">
        <f t="shared" si="10"/>
        <v>0</v>
      </c>
    </row>
    <row r="230" spans="1:11" ht="15" customHeight="1">
      <c r="A230" s="136">
        <v>42328</v>
      </c>
      <c r="B230" s="307" t="s">
        <v>882</v>
      </c>
      <c r="C230" s="137" t="s">
        <v>187</v>
      </c>
      <c r="D230" s="138">
        <v>581.44000000000005</v>
      </c>
      <c r="E230" s="138">
        <v>40.54</v>
      </c>
      <c r="G230" s="308" t="s">
        <v>378</v>
      </c>
      <c r="I230" s="138">
        <v>581.44000000000005</v>
      </c>
      <c r="J230" s="137" t="s">
        <v>1176</v>
      </c>
      <c r="K230" s="138">
        <f t="shared" si="10"/>
        <v>0</v>
      </c>
    </row>
    <row r="231" spans="1:11" ht="15" customHeight="1">
      <c r="A231" s="136">
        <v>42328</v>
      </c>
      <c r="B231" s="307" t="s">
        <v>885</v>
      </c>
      <c r="C231" s="137" t="s">
        <v>187</v>
      </c>
      <c r="D231" s="138">
        <v>957.12</v>
      </c>
      <c r="E231" s="138">
        <v>51.82</v>
      </c>
      <c r="G231" s="308" t="s">
        <v>378</v>
      </c>
      <c r="I231" s="138">
        <v>957.12</v>
      </c>
      <c r="J231" s="137" t="s">
        <v>2063</v>
      </c>
      <c r="K231" s="138">
        <f t="shared" si="10"/>
        <v>0</v>
      </c>
    </row>
    <row r="232" spans="1:11" ht="15" customHeight="1">
      <c r="A232" s="136">
        <v>42329</v>
      </c>
      <c r="B232" s="307" t="s">
        <v>870</v>
      </c>
      <c r="C232" s="137" t="s">
        <v>372</v>
      </c>
      <c r="D232" s="138">
        <v>148.99</v>
      </c>
      <c r="E232" s="138">
        <v>7.77</v>
      </c>
      <c r="G232" s="308" t="s">
        <v>378</v>
      </c>
      <c r="I232" s="138">
        <v>148.99</v>
      </c>
      <c r="J232" s="137" t="s">
        <v>2513</v>
      </c>
      <c r="K232" s="138">
        <f t="shared" si="10"/>
        <v>0</v>
      </c>
    </row>
    <row r="233" spans="1:11" ht="15" customHeight="1">
      <c r="A233" s="136">
        <v>42331</v>
      </c>
      <c r="B233" s="307">
        <v>20156900</v>
      </c>
      <c r="C233" s="137" t="s">
        <v>372</v>
      </c>
      <c r="D233" s="138">
        <v>68.33</v>
      </c>
      <c r="E233" s="138">
        <v>3.56</v>
      </c>
      <c r="G233" s="308" t="s">
        <v>378</v>
      </c>
      <c r="I233" s="138">
        <v>68.33</v>
      </c>
      <c r="J233" s="137" t="s">
        <v>2513</v>
      </c>
      <c r="K233" s="138">
        <f t="shared" si="10"/>
        <v>0</v>
      </c>
    </row>
    <row r="234" spans="1:11" ht="15" customHeight="1">
      <c r="A234" s="136">
        <v>42331</v>
      </c>
      <c r="B234" s="307" t="s">
        <v>876</v>
      </c>
      <c r="C234" s="137" t="s">
        <v>372</v>
      </c>
      <c r="D234" s="138">
        <v>22.16</v>
      </c>
      <c r="E234" s="138">
        <v>1.1599999999999999</v>
      </c>
      <c r="G234" s="308" t="s">
        <v>373</v>
      </c>
      <c r="I234" s="138">
        <v>22.16</v>
      </c>
      <c r="J234" s="137" t="s">
        <v>2277</v>
      </c>
      <c r="K234" s="138">
        <f t="shared" si="10"/>
        <v>0</v>
      </c>
    </row>
    <row r="235" spans="1:11" ht="15" customHeight="1">
      <c r="A235" s="136">
        <v>42331</v>
      </c>
      <c r="B235" s="307" t="s">
        <v>895</v>
      </c>
      <c r="C235" s="137" t="s">
        <v>188</v>
      </c>
      <c r="D235" s="138">
        <v>431.62</v>
      </c>
      <c r="E235" s="138">
        <v>22.5</v>
      </c>
      <c r="G235" s="308" t="s">
        <v>373</v>
      </c>
      <c r="I235" s="138">
        <v>431.62</v>
      </c>
      <c r="J235" s="137" t="s">
        <v>1988</v>
      </c>
      <c r="K235" s="138">
        <f t="shared" si="10"/>
        <v>0</v>
      </c>
    </row>
    <row r="236" spans="1:11" ht="15" customHeight="1">
      <c r="A236" s="136">
        <v>42332</v>
      </c>
      <c r="B236" s="307" t="s">
        <v>890</v>
      </c>
      <c r="C236" s="137" t="s">
        <v>183</v>
      </c>
      <c r="D236" s="138">
        <v>1584.42</v>
      </c>
      <c r="E236" s="138">
        <v>121.37</v>
      </c>
      <c r="F236" s="309"/>
      <c r="G236" s="308" t="s">
        <v>378</v>
      </c>
      <c r="I236" s="138">
        <v>1584.42</v>
      </c>
      <c r="J236" s="137" t="s">
        <v>1538</v>
      </c>
      <c r="K236" s="138">
        <f t="shared" si="10"/>
        <v>0</v>
      </c>
    </row>
    <row r="237" spans="1:11" ht="15" customHeight="1">
      <c r="A237" s="136">
        <v>42332</v>
      </c>
      <c r="B237" s="307" t="s">
        <v>855</v>
      </c>
      <c r="C237" s="137" t="s">
        <v>372</v>
      </c>
      <c r="D237" s="138">
        <v>73.540000000000006</v>
      </c>
      <c r="E237" s="138">
        <v>3.83</v>
      </c>
      <c r="G237" s="308" t="s">
        <v>378</v>
      </c>
      <c r="I237" s="138">
        <v>73.540000000000006</v>
      </c>
      <c r="J237" s="137" t="s">
        <v>2513</v>
      </c>
      <c r="K237" s="138">
        <f t="shared" si="10"/>
        <v>0</v>
      </c>
    </row>
    <row r="238" spans="1:11" ht="15" customHeight="1">
      <c r="A238" s="136">
        <v>42332</v>
      </c>
      <c r="B238" s="307" t="s">
        <v>875</v>
      </c>
      <c r="C238" s="137" t="s">
        <v>372</v>
      </c>
      <c r="D238" s="138">
        <v>18.97</v>
      </c>
      <c r="E238" s="138">
        <v>0.99</v>
      </c>
      <c r="G238" s="308" t="s">
        <v>373</v>
      </c>
      <c r="I238" s="138">
        <v>18.97</v>
      </c>
      <c r="J238" s="137" t="s">
        <v>2277</v>
      </c>
      <c r="K238" s="138">
        <f t="shared" si="10"/>
        <v>0</v>
      </c>
    </row>
    <row r="239" spans="1:11" ht="15" customHeight="1">
      <c r="A239" s="136">
        <v>42332</v>
      </c>
      <c r="B239" s="307" t="s">
        <v>865</v>
      </c>
      <c r="C239" s="137" t="s">
        <v>52</v>
      </c>
      <c r="D239" s="138">
        <v>1242.6099999999999</v>
      </c>
      <c r="E239" s="138">
        <v>84.49</v>
      </c>
      <c r="G239" s="308" t="s">
        <v>373</v>
      </c>
      <c r="I239" s="138">
        <v>1242.6099999999999</v>
      </c>
      <c r="J239" s="137" t="s">
        <v>1176</v>
      </c>
      <c r="K239" s="138">
        <f t="shared" si="10"/>
        <v>0</v>
      </c>
    </row>
    <row r="240" spans="1:11" ht="15" customHeight="1">
      <c r="A240" s="136">
        <v>42332</v>
      </c>
      <c r="B240" s="307" t="s">
        <v>863</v>
      </c>
      <c r="C240" s="137" t="s">
        <v>52</v>
      </c>
      <c r="D240" s="138">
        <v>2374.21</v>
      </c>
      <c r="E240" s="138">
        <v>123.77</v>
      </c>
      <c r="G240" s="308" t="s">
        <v>50</v>
      </c>
      <c r="I240" s="138">
        <v>2374.21</v>
      </c>
      <c r="J240" s="137" t="s">
        <v>1189</v>
      </c>
      <c r="K240" s="138">
        <f t="shared" si="10"/>
        <v>0</v>
      </c>
    </row>
    <row r="241" spans="1:11" ht="15" customHeight="1">
      <c r="A241" s="136">
        <v>42333</v>
      </c>
      <c r="B241" s="307" t="s">
        <v>874</v>
      </c>
      <c r="C241" s="137" t="s">
        <v>372</v>
      </c>
      <c r="D241" s="138">
        <v>18.97</v>
      </c>
      <c r="E241" s="138">
        <v>0.99</v>
      </c>
      <c r="G241" s="308" t="s">
        <v>373</v>
      </c>
      <c r="I241" s="138">
        <v>18.97</v>
      </c>
      <c r="J241" s="137" t="s">
        <v>2277</v>
      </c>
      <c r="K241" s="138">
        <f t="shared" si="10"/>
        <v>0</v>
      </c>
    </row>
    <row r="242" spans="1:11" ht="15" customHeight="1">
      <c r="A242" s="136">
        <v>42334</v>
      </c>
      <c r="B242" s="307">
        <v>20156982</v>
      </c>
      <c r="C242" s="137" t="s">
        <v>372</v>
      </c>
      <c r="D242" s="138">
        <v>46.17</v>
      </c>
      <c r="E242" s="138">
        <v>2.41</v>
      </c>
      <c r="G242" s="308" t="s">
        <v>378</v>
      </c>
      <c r="I242" s="138">
        <v>46.17</v>
      </c>
      <c r="J242" s="137" t="s">
        <v>2513</v>
      </c>
      <c r="K242" s="138">
        <f t="shared" si="10"/>
        <v>0</v>
      </c>
    </row>
    <row r="243" spans="1:11" ht="15" customHeight="1">
      <c r="A243" s="136">
        <v>42334</v>
      </c>
      <c r="B243" s="307" t="s">
        <v>897</v>
      </c>
      <c r="C243" s="137" t="s">
        <v>185</v>
      </c>
      <c r="D243" s="138">
        <v>42.2</v>
      </c>
      <c r="E243" s="138">
        <v>2.2000000000000002</v>
      </c>
      <c r="G243" s="308" t="s">
        <v>373</v>
      </c>
      <c r="I243" s="138">
        <v>42.2</v>
      </c>
      <c r="J243" s="137" t="s">
        <v>1515</v>
      </c>
      <c r="K243" s="138">
        <f t="shared" si="10"/>
        <v>0</v>
      </c>
    </row>
    <row r="244" spans="1:11" ht="15" customHeight="1">
      <c r="A244" s="136">
        <v>42334</v>
      </c>
      <c r="B244" s="307" t="s">
        <v>1190</v>
      </c>
      <c r="C244" s="137" t="s">
        <v>183</v>
      </c>
      <c r="D244" s="138">
        <v>633.84</v>
      </c>
      <c r="E244" s="138">
        <v>51.46</v>
      </c>
      <c r="G244" s="308" t="s">
        <v>373</v>
      </c>
      <c r="I244" s="138">
        <v>633.84</v>
      </c>
      <c r="J244" s="137" t="s">
        <v>1537</v>
      </c>
      <c r="K244" s="138">
        <f t="shared" si="10"/>
        <v>0</v>
      </c>
    </row>
    <row r="245" spans="1:11" ht="15" customHeight="1">
      <c r="A245" s="136">
        <v>42334</v>
      </c>
      <c r="B245" s="307" t="s">
        <v>873</v>
      </c>
      <c r="C245" s="137" t="s">
        <v>372</v>
      </c>
      <c r="D245" s="138">
        <v>18.97</v>
      </c>
      <c r="E245" s="138">
        <v>0.99</v>
      </c>
      <c r="G245" s="308" t="s">
        <v>373</v>
      </c>
      <c r="I245" s="138">
        <v>18.97</v>
      </c>
      <c r="J245" s="137" t="s">
        <v>2277</v>
      </c>
      <c r="K245" s="138">
        <f t="shared" si="10"/>
        <v>0</v>
      </c>
    </row>
    <row r="246" spans="1:11" ht="15" customHeight="1">
      <c r="A246" s="136">
        <v>42334</v>
      </c>
      <c r="B246" s="307" t="s">
        <v>864</v>
      </c>
      <c r="C246" s="137" t="s">
        <v>52</v>
      </c>
      <c r="D246" s="138">
        <v>1658.16</v>
      </c>
      <c r="E246" s="138">
        <v>221.93</v>
      </c>
      <c r="G246" s="308" t="s">
        <v>50</v>
      </c>
      <c r="I246" s="138">
        <v>1658.16</v>
      </c>
      <c r="J246" s="137" t="s">
        <v>1189</v>
      </c>
      <c r="K246" s="138">
        <f t="shared" si="10"/>
        <v>0</v>
      </c>
    </row>
    <row r="247" spans="1:11" ht="15" customHeight="1">
      <c r="A247" s="136">
        <v>42335</v>
      </c>
      <c r="B247" s="307" t="s">
        <v>881</v>
      </c>
      <c r="C247" s="137" t="s">
        <v>184</v>
      </c>
      <c r="D247" s="138">
        <v>264.32</v>
      </c>
      <c r="E247" s="138">
        <v>37.69</v>
      </c>
      <c r="G247" s="308" t="s">
        <v>373</v>
      </c>
      <c r="I247" s="138">
        <v>264.32</v>
      </c>
      <c r="J247" s="137" t="s">
        <v>1539</v>
      </c>
      <c r="K247" s="138">
        <f t="shared" si="10"/>
        <v>0</v>
      </c>
    </row>
    <row r="248" spans="1:11" ht="15" customHeight="1">
      <c r="A248" s="136">
        <v>42335</v>
      </c>
      <c r="B248" s="307" t="s">
        <v>884</v>
      </c>
      <c r="C248" s="137" t="s">
        <v>184</v>
      </c>
      <c r="D248" s="138">
        <v>981.45</v>
      </c>
      <c r="E248" s="138">
        <v>57.06</v>
      </c>
      <c r="G248" s="308" t="s">
        <v>378</v>
      </c>
      <c r="I248" s="138">
        <v>981.45</v>
      </c>
      <c r="J248" s="137" t="s">
        <v>1523</v>
      </c>
      <c r="K248" s="138">
        <f t="shared" si="10"/>
        <v>0</v>
      </c>
    </row>
    <row r="249" spans="1:11" ht="15" customHeight="1">
      <c r="A249" s="136">
        <v>42335</v>
      </c>
      <c r="B249" s="307" t="s">
        <v>872</v>
      </c>
      <c r="C249" s="137" t="s">
        <v>372</v>
      </c>
      <c r="D249" s="138">
        <v>9.1300000000000008</v>
      </c>
      <c r="E249" s="138">
        <v>0.48</v>
      </c>
      <c r="G249" s="308" t="s">
        <v>373</v>
      </c>
      <c r="I249" s="138">
        <v>9.1300000000000008</v>
      </c>
      <c r="J249" s="137" t="s">
        <v>2277</v>
      </c>
      <c r="K249" s="138">
        <f t="shared" si="10"/>
        <v>0</v>
      </c>
    </row>
    <row r="250" spans="1:11" ht="15" customHeight="1">
      <c r="A250" s="136">
        <v>42335</v>
      </c>
      <c r="B250" s="307" t="s">
        <v>856</v>
      </c>
      <c r="C250" s="137" t="s">
        <v>372</v>
      </c>
      <c r="D250" s="138">
        <v>36.200000000000003</v>
      </c>
      <c r="E250" s="138">
        <v>1.89</v>
      </c>
      <c r="G250" s="308" t="s">
        <v>378</v>
      </c>
      <c r="I250" s="138">
        <v>36.200000000000003</v>
      </c>
      <c r="J250" s="137" t="s">
        <v>2513</v>
      </c>
      <c r="K250" s="138">
        <f t="shared" si="10"/>
        <v>0</v>
      </c>
    </row>
    <row r="251" spans="1:11" ht="15" customHeight="1">
      <c r="A251" s="136">
        <v>42335</v>
      </c>
      <c r="B251" s="307" t="s">
        <v>1174</v>
      </c>
      <c r="C251" s="137" t="s">
        <v>187</v>
      </c>
      <c r="D251" s="138">
        <v>675.39</v>
      </c>
      <c r="E251" s="138">
        <v>45.44</v>
      </c>
      <c r="G251" s="308" t="s">
        <v>373</v>
      </c>
      <c r="I251" s="138">
        <v>675.39</v>
      </c>
      <c r="J251" s="137" t="s">
        <v>1175</v>
      </c>
      <c r="K251" s="138">
        <f t="shared" si="10"/>
        <v>0</v>
      </c>
    </row>
    <row r="252" spans="1:11" ht="15" customHeight="1">
      <c r="A252" s="136">
        <v>42335</v>
      </c>
      <c r="B252" s="307" t="s">
        <v>1172</v>
      </c>
      <c r="C252" s="137" t="s">
        <v>187</v>
      </c>
      <c r="D252" s="138">
        <v>1393.92</v>
      </c>
      <c r="E252" s="138">
        <v>78.22</v>
      </c>
      <c r="G252" s="308" t="s">
        <v>378</v>
      </c>
      <c r="I252" s="138">
        <v>1393.92</v>
      </c>
      <c r="J252" s="137" t="s">
        <v>1173</v>
      </c>
      <c r="K252" s="138">
        <f t="shared" si="10"/>
        <v>0</v>
      </c>
    </row>
    <row r="253" spans="1:11" ht="15" customHeight="1">
      <c r="A253" s="136">
        <v>42335</v>
      </c>
      <c r="B253" s="307" t="s">
        <v>1387</v>
      </c>
      <c r="C253" s="137" t="s">
        <v>188</v>
      </c>
      <c r="D253" s="138">
        <v>501.86</v>
      </c>
      <c r="E253" s="138">
        <v>26.16</v>
      </c>
      <c r="G253" s="308" t="s">
        <v>378</v>
      </c>
      <c r="I253" s="138">
        <v>501.86</v>
      </c>
      <c r="J253" s="137" t="s">
        <v>2064</v>
      </c>
      <c r="K253" s="138">
        <f t="shared" si="10"/>
        <v>0</v>
      </c>
    </row>
    <row r="254" spans="1:11" ht="15" customHeight="1">
      <c r="A254" s="136">
        <v>42336</v>
      </c>
      <c r="B254" s="307" t="s">
        <v>1160</v>
      </c>
      <c r="C254" s="137" t="s">
        <v>372</v>
      </c>
      <c r="D254" s="138">
        <v>172.98</v>
      </c>
      <c r="E254" s="138">
        <v>9.02</v>
      </c>
      <c r="G254" s="308" t="s">
        <v>378</v>
      </c>
      <c r="I254" s="138">
        <v>172.98</v>
      </c>
      <c r="J254" s="137" t="s">
        <v>2513</v>
      </c>
      <c r="K254" s="138">
        <f t="shared" si="10"/>
        <v>0</v>
      </c>
    </row>
    <row r="255" spans="1:11" ht="15" customHeight="1">
      <c r="A255" s="136">
        <v>42338</v>
      </c>
      <c r="B255" s="307" t="s">
        <v>1204</v>
      </c>
      <c r="C255" s="137" t="s">
        <v>424</v>
      </c>
      <c r="D255" s="138">
        <v>347.04</v>
      </c>
      <c r="E255" s="138">
        <v>57.84</v>
      </c>
      <c r="G255" s="308" t="s">
        <v>373</v>
      </c>
      <c r="K255" s="138">
        <f t="shared" si="10"/>
        <v>347.04</v>
      </c>
    </row>
    <row r="256" spans="1:11" ht="15" customHeight="1">
      <c r="A256" s="136">
        <v>42338</v>
      </c>
      <c r="B256" s="307" t="s">
        <v>1162</v>
      </c>
      <c r="C256" s="137" t="s">
        <v>183</v>
      </c>
      <c r="D256" s="138">
        <v>2106.08</v>
      </c>
      <c r="E256" s="138">
        <v>146.61000000000001</v>
      </c>
      <c r="G256" s="308" t="s">
        <v>378</v>
      </c>
      <c r="I256" s="138">
        <v>2106.08</v>
      </c>
      <c r="J256" s="137" t="s">
        <v>1854</v>
      </c>
      <c r="K256" s="138">
        <f t="shared" si="10"/>
        <v>0</v>
      </c>
    </row>
    <row r="257" spans="1:11" ht="15" customHeight="1">
      <c r="A257" s="136">
        <v>42338</v>
      </c>
      <c r="B257" s="307" t="s">
        <v>1161</v>
      </c>
      <c r="C257" s="137" t="s">
        <v>372</v>
      </c>
      <c r="D257" s="138">
        <v>52.41</v>
      </c>
      <c r="E257" s="138">
        <v>2.73</v>
      </c>
      <c r="G257" s="308" t="s">
        <v>378</v>
      </c>
      <c r="I257" s="138">
        <v>52.41</v>
      </c>
      <c r="J257" s="137" t="s">
        <v>2513</v>
      </c>
      <c r="K257" s="138">
        <f t="shared" si="10"/>
        <v>0</v>
      </c>
    </row>
    <row r="258" spans="1:11" ht="15" customHeight="1">
      <c r="A258" s="136">
        <v>42338</v>
      </c>
      <c r="B258" s="307" t="s">
        <v>1216</v>
      </c>
      <c r="C258" s="137" t="s">
        <v>372</v>
      </c>
      <c r="D258" s="138">
        <v>20.76</v>
      </c>
      <c r="E258" s="138">
        <v>1.08</v>
      </c>
      <c r="G258" s="308" t="s">
        <v>373</v>
      </c>
      <c r="I258" s="138">
        <v>20.76</v>
      </c>
      <c r="J258" s="137" t="s">
        <v>2277</v>
      </c>
      <c r="K258" s="138">
        <f t="shared" si="10"/>
        <v>0</v>
      </c>
    </row>
    <row r="259" spans="1:11" ht="15" customHeight="1">
      <c r="A259" s="136">
        <v>42339</v>
      </c>
      <c r="B259" s="307" t="s">
        <v>1218</v>
      </c>
      <c r="C259" s="137" t="s">
        <v>372</v>
      </c>
      <c r="D259" s="138">
        <v>9.81</v>
      </c>
      <c r="E259" s="138">
        <v>0.51</v>
      </c>
      <c r="G259" s="308" t="s">
        <v>373</v>
      </c>
      <c r="I259" s="138">
        <v>9.81</v>
      </c>
      <c r="J259" s="137" t="s">
        <v>1540</v>
      </c>
      <c r="K259" s="138">
        <f t="shared" si="10"/>
        <v>0</v>
      </c>
    </row>
    <row r="260" spans="1:11" ht="15" customHeight="1">
      <c r="A260" s="136">
        <v>42339</v>
      </c>
      <c r="B260" s="307" t="s">
        <v>1219</v>
      </c>
      <c r="C260" s="137" t="s">
        <v>372</v>
      </c>
      <c r="D260" s="138">
        <v>9.35</v>
      </c>
      <c r="E260" s="138">
        <v>0.49</v>
      </c>
      <c r="G260" s="308" t="s">
        <v>373</v>
      </c>
      <c r="I260" s="138">
        <v>9.35</v>
      </c>
      <c r="J260" s="137" t="s">
        <v>1540</v>
      </c>
      <c r="K260" s="138">
        <f t="shared" si="10"/>
        <v>0</v>
      </c>
    </row>
    <row r="261" spans="1:11" ht="15" customHeight="1">
      <c r="A261" s="136">
        <v>42339</v>
      </c>
      <c r="B261" s="307" t="s">
        <v>1223</v>
      </c>
      <c r="C261" s="137" t="s">
        <v>186</v>
      </c>
      <c r="D261" s="138">
        <v>176.47</v>
      </c>
      <c r="E261" s="138">
        <v>10.28</v>
      </c>
      <c r="G261" s="308" t="s">
        <v>373</v>
      </c>
      <c r="I261" s="138">
        <v>176.47</v>
      </c>
      <c r="J261" s="137" t="s">
        <v>1377</v>
      </c>
      <c r="K261" s="138">
        <f t="shared" si="10"/>
        <v>0</v>
      </c>
    </row>
    <row r="262" spans="1:11" ht="15" customHeight="1">
      <c r="A262" s="136">
        <v>42339</v>
      </c>
      <c r="B262" s="307" t="s">
        <v>1225</v>
      </c>
      <c r="C262" s="137" t="s">
        <v>186</v>
      </c>
      <c r="D262" s="138">
        <v>363.44</v>
      </c>
      <c r="E262" s="138">
        <v>18.95</v>
      </c>
      <c r="G262" s="308" t="s">
        <v>373</v>
      </c>
      <c r="I262" s="138">
        <v>363.44</v>
      </c>
      <c r="J262" s="137" t="s">
        <v>1378</v>
      </c>
      <c r="K262" s="138">
        <f t="shared" si="10"/>
        <v>0</v>
      </c>
    </row>
    <row r="263" spans="1:11" ht="15" customHeight="1">
      <c r="A263" s="136">
        <v>42339</v>
      </c>
      <c r="B263" s="307" t="s">
        <v>1541</v>
      </c>
      <c r="C263" s="137" t="s">
        <v>184</v>
      </c>
      <c r="D263" s="138">
        <v>30.07</v>
      </c>
      <c r="G263" s="308" t="s">
        <v>373</v>
      </c>
      <c r="I263" s="138">
        <v>30.07</v>
      </c>
      <c r="J263" s="137" t="s">
        <v>1539</v>
      </c>
      <c r="K263" s="138">
        <v>0</v>
      </c>
    </row>
    <row r="264" spans="1:11" ht="15" customHeight="1">
      <c r="A264" s="136">
        <v>42339</v>
      </c>
      <c r="B264" s="307" t="s">
        <v>1542</v>
      </c>
      <c r="C264" s="137" t="s">
        <v>184</v>
      </c>
      <c r="D264" s="138">
        <v>333.58</v>
      </c>
      <c r="G264" s="308" t="s">
        <v>373</v>
      </c>
      <c r="I264" s="138">
        <v>333.58</v>
      </c>
      <c r="J264" s="137" t="s">
        <v>1539</v>
      </c>
      <c r="K264" s="138">
        <v>0</v>
      </c>
    </row>
    <row r="265" spans="1:11" ht="15" customHeight="1">
      <c r="A265" s="136">
        <v>42340</v>
      </c>
      <c r="B265" s="307" t="s">
        <v>1217</v>
      </c>
      <c r="C265" s="137" t="s">
        <v>372</v>
      </c>
      <c r="D265" s="138">
        <v>19.16</v>
      </c>
      <c r="E265" s="138">
        <v>1</v>
      </c>
      <c r="G265" s="308" t="s">
        <v>373</v>
      </c>
      <c r="I265" s="138">
        <v>19.16</v>
      </c>
      <c r="J265" s="137" t="s">
        <v>1540</v>
      </c>
      <c r="K265" s="138">
        <f>IF(D265&lt;&gt;"",D265-I265,"")</f>
        <v>0</v>
      </c>
    </row>
    <row r="266" spans="1:11" ht="15" customHeight="1">
      <c r="A266" s="136">
        <v>42340</v>
      </c>
      <c r="B266" s="307" t="s">
        <v>1326</v>
      </c>
      <c r="C266" s="137" t="s">
        <v>186</v>
      </c>
      <c r="D266" s="138">
        <v>597.84</v>
      </c>
      <c r="E266" s="138">
        <v>99.64</v>
      </c>
      <c r="G266" s="308" t="s">
        <v>378</v>
      </c>
      <c r="I266" s="138">
        <v>597.84</v>
      </c>
      <c r="J266" s="137" t="s">
        <v>1325</v>
      </c>
      <c r="K266" s="138">
        <f>IF(D266&lt;&gt;"",D266-I266,"")</f>
        <v>0</v>
      </c>
    </row>
    <row r="267" spans="1:11" ht="15" customHeight="1">
      <c r="A267" s="136">
        <v>42341</v>
      </c>
      <c r="B267" s="307" t="s">
        <v>1163</v>
      </c>
      <c r="C267" s="137" t="s">
        <v>183</v>
      </c>
      <c r="D267" s="138">
        <v>520.77</v>
      </c>
      <c r="E267" s="138">
        <v>35.770000000000003</v>
      </c>
      <c r="G267" s="308" t="s">
        <v>373</v>
      </c>
      <c r="I267" s="138">
        <v>520.77</v>
      </c>
      <c r="J267" s="137" t="s">
        <v>1855</v>
      </c>
      <c r="K267" s="138">
        <v>0</v>
      </c>
    </row>
    <row r="268" spans="1:11" ht="15" customHeight="1">
      <c r="A268" s="136">
        <v>42341</v>
      </c>
      <c r="B268" s="307" t="s">
        <v>1221</v>
      </c>
      <c r="C268" s="137" t="s">
        <v>372</v>
      </c>
      <c r="D268" s="138">
        <v>24.94</v>
      </c>
      <c r="E268" s="138">
        <v>1.3</v>
      </c>
      <c r="G268" s="308" t="s">
        <v>373</v>
      </c>
      <c r="I268" s="138">
        <v>24.94</v>
      </c>
      <c r="J268" s="137" t="s">
        <v>1540</v>
      </c>
      <c r="K268" s="138">
        <f t="shared" ref="K268:K291" si="11">IF(D268&lt;&gt;"",D268-I268,"")</f>
        <v>0</v>
      </c>
    </row>
    <row r="269" spans="1:11" ht="15" customHeight="1">
      <c r="A269" s="136">
        <v>42341</v>
      </c>
      <c r="B269" s="307" t="s">
        <v>1165</v>
      </c>
      <c r="C269" s="137" t="s">
        <v>372</v>
      </c>
      <c r="D269" s="138">
        <v>43.38</v>
      </c>
      <c r="E269" s="138">
        <v>2.2599999999999998</v>
      </c>
      <c r="G269" s="308" t="s">
        <v>378</v>
      </c>
      <c r="I269" s="138">
        <v>43.38</v>
      </c>
      <c r="K269" s="138">
        <f t="shared" si="11"/>
        <v>0</v>
      </c>
    </row>
    <row r="270" spans="1:11" ht="15" customHeight="1">
      <c r="A270" s="136">
        <v>42341</v>
      </c>
      <c r="B270" s="307" t="s">
        <v>1164</v>
      </c>
      <c r="C270" s="137" t="s">
        <v>372</v>
      </c>
      <c r="D270" s="138">
        <v>14.24</v>
      </c>
      <c r="E270" s="138">
        <v>0.74</v>
      </c>
      <c r="G270" s="308" t="s">
        <v>378</v>
      </c>
      <c r="I270" s="138">
        <v>14.24</v>
      </c>
      <c r="K270" s="138">
        <f t="shared" si="11"/>
        <v>0</v>
      </c>
    </row>
    <row r="271" spans="1:11" ht="15" customHeight="1">
      <c r="A271" s="136">
        <v>42341</v>
      </c>
      <c r="B271" s="307" t="s">
        <v>1205</v>
      </c>
      <c r="C271" s="137" t="s">
        <v>188</v>
      </c>
      <c r="D271" s="138">
        <v>463.57</v>
      </c>
      <c r="E271" s="138">
        <v>24.17</v>
      </c>
      <c r="G271" s="308" t="s">
        <v>373</v>
      </c>
      <c r="K271" s="138">
        <f t="shared" si="11"/>
        <v>463.57</v>
      </c>
    </row>
    <row r="272" spans="1:11" ht="15" customHeight="1">
      <c r="A272" s="136">
        <v>42341</v>
      </c>
      <c r="B272" s="307" t="s">
        <v>1166</v>
      </c>
      <c r="C272" s="137" t="s">
        <v>186</v>
      </c>
      <c r="D272" s="138">
        <v>471.38</v>
      </c>
      <c r="E272" s="138">
        <v>42.18</v>
      </c>
      <c r="G272" s="308" t="s">
        <v>378</v>
      </c>
      <c r="I272" s="138">
        <v>471.38</v>
      </c>
      <c r="J272" s="137" t="s">
        <v>1325</v>
      </c>
      <c r="K272" s="138">
        <f t="shared" si="11"/>
        <v>0</v>
      </c>
    </row>
    <row r="273" spans="1:11" ht="15" customHeight="1">
      <c r="A273" s="136">
        <v>42342</v>
      </c>
      <c r="B273" s="307" t="s">
        <v>1228</v>
      </c>
      <c r="C273" s="137" t="s">
        <v>184</v>
      </c>
      <c r="D273" s="138">
        <v>426.05</v>
      </c>
      <c r="E273" s="138">
        <v>28.45</v>
      </c>
      <c r="G273" s="308" t="s">
        <v>373</v>
      </c>
      <c r="I273" s="138">
        <v>426.05</v>
      </c>
      <c r="J273" s="137" t="s">
        <v>1539</v>
      </c>
      <c r="K273" s="138">
        <f t="shared" si="11"/>
        <v>0</v>
      </c>
    </row>
    <row r="274" spans="1:11" ht="15" customHeight="1">
      <c r="A274" s="136">
        <v>42342</v>
      </c>
      <c r="B274" s="307" t="s">
        <v>1167</v>
      </c>
      <c r="C274" s="137" t="s">
        <v>184</v>
      </c>
      <c r="D274" s="138">
        <v>834.29</v>
      </c>
      <c r="E274" s="138">
        <v>56.13</v>
      </c>
      <c r="G274" s="308" t="s">
        <v>378</v>
      </c>
      <c r="I274" s="138">
        <v>834.29</v>
      </c>
      <c r="J274" s="137" t="s">
        <v>1523</v>
      </c>
      <c r="K274" s="138">
        <f t="shared" si="11"/>
        <v>0</v>
      </c>
    </row>
    <row r="275" spans="1:11" ht="15" customHeight="1">
      <c r="A275" s="136">
        <v>42342</v>
      </c>
      <c r="B275" s="307" t="s">
        <v>1220</v>
      </c>
      <c r="C275" s="137" t="s">
        <v>372</v>
      </c>
      <c r="D275" s="138">
        <v>6.28</v>
      </c>
      <c r="E275" s="138">
        <v>0.33</v>
      </c>
      <c r="G275" s="308" t="s">
        <v>373</v>
      </c>
      <c r="I275" s="138">
        <v>6.28</v>
      </c>
      <c r="J275" s="137" t="s">
        <v>1540</v>
      </c>
      <c r="K275" s="138">
        <f t="shared" si="11"/>
        <v>0</v>
      </c>
    </row>
    <row r="276" spans="1:11" ht="15" customHeight="1">
      <c r="A276" s="136">
        <v>42342</v>
      </c>
      <c r="B276" s="307" t="s">
        <v>1206</v>
      </c>
      <c r="C276" s="137" t="s">
        <v>187</v>
      </c>
      <c r="D276" s="138">
        <v>638.94000000000005</v>
      </c>
      <c r="E276" s="138">
        <v>41.34</v>
      </c>
      <c r="G276" s="308" t="s">
        <v>373</v>
      </c>
      <c r="I276" s="138">
        <v>638.94000000000005</v>
      </c>
      <c r="J276" s="137" t="s">
        <v>1532</v>
      </c>
      <c r="K276" s="138">
        <f t="shared" si="11"/>
        <v>0</v>
      </c>
    </row>
    <row r="277" spans="1:11" ht="15" customHeight="1">
      <c r="A277" s="136">
        <v>42342</v>
      </c>
      <c r="B277" s="307" t="s">
        <v>1208</v>
      </c>
      <c r="C277" s="137" t="s">
        <v>187</v>
      </c>
      <c r="D277" s="138">
        <v>1087.22</v>
      </c>
      <c r="E277" s="138">
        <v>73.27</v>
      </c>
      <c r="G277" s="308" t="s">
        <v>378</v>
      </c>
      <c r="I277" s="138">
        <v>1087.22</v>
      </c>
      <c r="J277" s="137" t="s">
        <v>1209</v>
      </c>
      <c r="K277" s="138">
        <f t="shared" si="11"/>
        <v>0</v>
      </c>
    </row>
    <row r="278" spans="1:11" ht="15" customHeight="1">
      <c r="A278" s="136">
        <v>42343</v>
      </c>
      <c r="B278" s="307" t="s">
        <v>1168</v>
      </c>
      <c r="C278" s="137" t="s">
        <v>372</v>
      </c>
      <c r="D278" s="138">
        <v>184.72</v>
      </c>
      <c r="E278" s="138">
        <v>9.6300000000000008</v>
      </c>
      <c r="G278" s="308" t="s">
        <v>378</v>
      </c>
      <c r="I278" s="138">
        <v>184.72</v>
      </c>
      <c r="K278" s="138">
        <f t="shared" si="11"/>
        <v>0</v>
      </c>
    </row>
    <row r="279" spans="1:11" ht="15" customHeight="1">
      <c r="A279" s="136">
        <v>42343</v>
      </c>
      <c r="B279" s="307" t="s">
        <v>1386</v>
      </c>
      <c r="C279" s="137" t="s">
        <v>188</v>
      </c>
      <c r="D279" s="138">
        <v>470.14</v>
      </c>
      <c r="E279" s="138">
        <v>24.51</v>
      </c>
      <c r="G279" s="308" t="s">
        <v>378</v>
      </c>
      <c r="I279" s="138">
        <v>470.14</v>
      </c>
      <c r="J279" s="137" t="s">
        <v>2065</v>
      </c>
      <c r="K279" s="138">
        <f t="shared" si="11"/>
        <v>0</v>
      </c>
    </row>
    <row r="280" spans="1:11" ht="15" customHeight="1">
      <c r="A280" s="136">
        <v>42345</v>
      </c>
      <c r="B280" s="307" t="s">
        <v>1215</v>
      </c>
      <c r="C280" s="137" t="s">
        <v>372</v>
      </c>
      <c r="D280" s="138">
        <v>19.690000000000001</v>
      </c>
      <c r="E280" s="138">
        <v>1.03</v>
      </c>
      <c r="G280" s="308" t="s">
        <v>373</v>
      </c>
      <c r="I280" s="138">
        <v>19.690000000000001</v>
      </c>
      <c r="J280" s="137" t="s">
        <v>1540</v>
      </c>
      <c r="K280" s="138">
        <f t="shared" si="11"/>
        <v>0</v>
      </c>
    </row>
    <row r="281" spans="1:11" ht="15" customHeight="1">
      <c r="A281" s="136">
        <v>42345</v>
      </c>
      <c r="B281" s="307" t="s">
        <v>1169</v>
      </c>
      <c r="C281" s="137" t="s">
        <v>372</v>
      </c>
      <c r="D281" s="138">
        <v>65.95</v>
      </c>
      <c r="E281" s="138">
        <v>3.44</v>
      </c>
      <c r="G281" s="308" t="s">
        <v>378</v>
      </c>
      <c r="I281" s="138">
        <v>65.95</v>
      </c>
      <c r="K281" s="138">
        <f t="shared" si="11"/>
        <v>0</v>
      </c>
    </row>
    <row r="282" spans="1:11" ht="15" customHeight="1">
      <c r="A282" s="136">
        <v>42346</v>
      </c>
      <c r="B282" s="307" t="s">
        <v>1171</v>
      </c>
      <c r="C282" s="137" t="s">
        <v>183</v>
      </c>
      <c r="D282" s="138">
        <v>844.6</v>
      </c>
      <c r="E282" s="138">
        <v>50.49</v>
      </c>
      <c r="G282" s="308" t="s">
        <v>378</v>
      </c>
      <c r="I282" s="138">
        <v>844.6</v>
      </c>
      <c r="J282" s="137" t="s">
        <v>1987</v>
      </c>
      <c r="K282" s="138">
        <f t="shared" si="11"/>
        <v>0</v>
      </c>
    </row>
    <row r="283" spans="1:11" ht="15" customHeight="1">
      <c r="A283" s="136">
        <v>42346</v>
      </c>
      <c r="B283" s="307" t="s">
        <v>1170</v>
      </c>
      <c r="C283" s="137" t="s">
        <v>372</v>
      </c>
      <c r="D283" s="138">
        <v>57.22</v>
      </c>
      <c r="E283" s="138">
        <v>2.98</v>
      </c>
      <c r="G283" s="308" t="s">
        <v>378</v>
      </c>
      <c r="I283" s="138">
        <v>57.22</v>
      </c>
      <c r="K283" s="138">
        <f t="shared" si="11"/>
        <v>0</v>
      </c>
    </row>
    <row r="284" spans="1:11" ht="15" customHeight="1">
      <c r="A284" s="136">
        <v>42346</v>
      </c>
      <c r="B284" s="307" t="s">
        <v>1213</v>
      </c>
      <c r="C284" s="137" t="s">
        <v>372</v>
      </c>
      <c r="D284" s="138">
        <v>11.46</v>
      </c>
      <c r="E284" s="138">
        <v>0.6</v>
      </c>
      <c r="G284" s="308" t="s">
        <v>373</v>
      </c>
      <c r="I284" s="138">
        <v>11.46</v>
      </c>
      <c r="J284" s="137" t="s">
        <v>1540</v>
      </c>
      <c r="K284" s="138">
        <f t="shared" si="11"/>
        <v>0</v>
      </c>
    </row>
    <row r="285" spans="1:11" ht="15" customHeight="1">
      <c r="A285" s="136">
        <v>42346</v>
      </c>
      <c r="B285" s="307" t="s">
        <v>1214</v>
      </c>
      <c r="C285" s="137" t="s">
        <v>372</v>
      </c>
      <c r="D285" s="138">
        <v>8.86</v>
      </c>
      <c r="E285" s="138">
        <v>0.46</v>
      </c>
      <c r="G285" s="308" t="s">
        <v>373</v>
      </c>
      <c r="I285" s="138">
        <v>8.86</v>
      </c>
      <c r="J285" s="137" t="s">
        <v>1540</v>
      </c>
      <c r="K285" s="138">
        <f t="shared" si="11"/>
        <v>0</v>
      </c>
    </row>
    <row r="286" spans="1:11" ht="15" customHeight="1">
      <c r="A286" s="136">
        <v>42346</v>
      </c>
      <c r="B286" s="307" t="s">
        <v>1224</v>
      </c>
      <c r="C286" s="137" t="s">
        <v>186</v>
      </c>
      <c r="D286" s="138">
        <v>847.77</v>
      </c>
      <c r="E286" s="138">
        <v>63.65</v>
      </c>
      <c r="G286" s="308" t="s">
        <v>373</v>
      </c>
      <c r="I286" s="138">
        <v>847.77</v>
      </c>
      <c r="J286" s="137" t="s">
        <v>1377</v>
      </c>
      <c r="K286" s="138">
        <f t="shared" si="11"/>
        <v>0</v>
      </c>
    </row>
    <row r="287" spans="1:11" ht="15" customHeight="1">
      <c r="A287" s="136">
        <v>42346</v>
      </c>
      <c r="B287" s="307" t="s">
        <v>1229</v>
      </c>
      <c r="C287" s="137" t="s">
        <v>185</v>
      </c>
      <c r="D287" s="138">
        <v>29.12</v>
      </c>
      <c r="E287" s="138">
        <v>1.52</v>
      </c>
      <c r="G287" s="308" t="s">
        <v>373</v>
      </c>
      <c r="I287" s="138">
        <v>29.12</v>
      </c>
      <c r="J287" s="137" t="s">
        <v>1531</v>
      </c>
      <c r="K287" s="138">
        <f t="shared" si="11"/>
        <v>0</v>
      </c>
    </row>
    <row r="288" spans="1:11" ht="15" customHeight="1">
      <c r="A288" s="136">
        <v>42347</v>
      </c>
      <c r="B288" s="307" t="s">
        <v>1212</v>
      </c>
      <c r="C288" s="137" t="s">
        <v>372</v>
      </c>
      <c r="D288" s="138">
        <v>25.35</v>
      </c>
      <c r="E288" s="138">
        <v>1.32</v>
      </c>
      <c r="G288" s="308" t="s">
        <v>373</v>
      </c>
      <c r="I288" s="138">
        <v>25.35</v>
      </c>
      <c r="J288" s="137" t="s">
        <v>1540</v>
      </c>
      <c r="K288" s="138">
        <f t="shared" si="11"/>
        <v>0</v>
      </c>
    </row>
    <row r="289" spans="1:11" ht="15" customHeight="1">
      <c r="A289" s="136">
        <v>42347</v>
      </c>
      <c r="B289" s="307" t="s">
        <v>1320</v>
      </c>
      <c r="C289" s="137" t="s">
        <v>187</v>
      </c>
      <c r="D289" s="138">
        <v>1711.21</v>
      </c>
      <c r="E289" s="138">
        <v>98.61</v>
      </c>
      <c r="G289" s="308" t="s">
        <v>378</v>
      </c>
      <c r="I289" s="138">
        <v>1711.21</v>
      </c>
      <c r="J289" s="137" t="s">
        <v>1321</v>
      </c>
      <c r="K289" s="138">
        <f t="shared" si="11"/>
        <v>0</v>
      </c>
    </row>
    <row r="290" spans="1:11" ht="15" customHeight="1">
      <c r="A290" s="136">
        <v>42348</v>
      </c>
      <c r="B290" s="307" t="s">
        <v>1211</v>
      </c>
      <c r="C290" s="137" t="s">
        <v>372</v>
      </c>
      <c r="D290" s="138">
        <v>20.58</v>
      </c>
      <c r="E290" s="138">
        <v>1.07</v>
      </c>
      <c r="G290" s="308" t="s">
        <v>373</v>
      </c>
      <c r="I290" s="138">
        <v>20.58</v>
      </c>
      <c r="J290" s="137" t="s">
        <v>1540</v>
      </c>
      <c r="K290" s="138">
        <f t="shared" si="11"/>
        <v>0</v>
      </c>
    </row>
    <row r="291" spans="1:11" ht="15" customHeight="1">
      <c r="A291" s="136">
        <v>42348</v>
      </c>
      <c r="B291" s="307" t="s">
        <v>1202</v>
      </c>
      <c r="C291" s="137" t="s">
        <v>186</v>
      </c>
      <c r="D291" s="138">
        <v>1212.8599999999999</v>
      </c>
      <c r="E291" s="138">
        <v>74.84</v>
      </c>
      <c r="G291" s="308" t="s">
        <v>378</v>
      </c>
      <c r="I291" s="138">
        <v>1212.8599999999999</v>
      </c>
      <c r="J291" s="137" t="s">
        <v>1325</v>
      </c>
      <c r="K291" s="138">
        <f t="shared" si="11"/>
        <v>0</v>
      </c>
    </row>
    <row r="292" spans="1:11" ht="15" customHeight="1">
      <c r="A292" s="136">
        <v>42348</v>
      </c>
      <c r="B292" s="307" t="s">
        <v>1985</v>
      </c>
      <c r="C292" s="137" t="s">
        <v>183</v>
      </c>
      <c r="D292" s="138">
        <v>655.6</v>
      </c>
      <c r="E292" s="138">
        <v>46.11</v>
      </c>
      <c r="G292" s="308" t="s">
        <v>373</v>
      </c>
      <c r="I292" s="138">
        <v>655.6</v>
      </c>
      <c r="J292" s="137" t="s">
        <v>1986</v>
      </c>
      <c r="K292" s="138">
        <v>0</v>
      </c>
    </row>
    <row r="293" spans="1:11" ht="15" customHeight="1">
      <c r="A293" s="136">
        <v>42349</v>
      </c>
      <c r="B293" s="307" t="s">
        <v>1207</v>
      </c>
      <c r="C293" s="137" t="s">
        <v>184</v>
      </c>
      <c r="D293" s="138">
        <v>1139.0899999999999</v>
      </c>
      <c r="E293" s="138">
        <v>71.680000000000007</v>
      </c>
      <c r="G293" s="308" t="s">
        <v>378</v>
      </c>
      <c r="I293" s="138">
        <v>1139.0899999999999</v>
      </c>
      <c r="J293" s="137" t="s">
        <v>1856</v>
      </c>
      <c r="K293" s="138">
        <f>IF(D293&lt;&gt;"",D293-I293,"")</f>
        <v>0</v>
      </c>
    </row>
    <row r="294" spans="1:11" ht="15" customHeight="1">
      <c r="A294" s="136">
        <v>42349</v>
      </c>
      <c r="B294" s="307" t="s">
        <v>1210</v>
      </c>
      <c r="C294" s="137" t="s">
        <v>372</v>
      </c>
      <c r="D294" s="138">
        <v>6.33</v>
      </c>
      <c r="E294" s="138">
        <v>0.33</v>
      </c>
      <c r="G294" s="308" t="s">
        <v>373</v>
      </c>
      <c r="I294" s="138">
        <v>6.33</v>
      </c>
      <c r="J294" s="137" t="s">
        <v>1540</v>
      </c>
      <c r="K294" s="138">
        <f>IF(D294&lt;&gt;"",D294-I294,"")</f>
        <v>0</v>
      </c>
    </row>
    <row r="295" spans="1:11" ht="15" customHeight="1">
      <c r="A295" s="136">
        <v>42349</v>
      </c>
      <c r="B295" s="307" t="s">
        <v>1203</v>
      </c>
      <c r="C295" s="137" t="s">
        <v>372</v>
      </c>
      <c r="D295" s="138">
        <v>150.97</v>
      </c>
      <c r="E295" s="138">
        <v>7.87</v>
      </c>
      <c r="G295" s="308" t="s">
        <v>378</v>
      </c>
      <c r="I295" s="138">
        <v>150.97</v>
      </c>
      <c r="K295" s="138">
        <f>IF(D295&lt;&gt;"",D295-I295,"")</f>
        <v>0</v>
      </c>
    </row>
    <row r="296" spans="1:11" ht="15" customHeight="1">
      <c r="A296" s="136">
        <v>42349</v>
      </c>
      <c r="B296" s="307" t="s">
        <v>1309</v>
      </c>
      <c r="C296" s="137" t="s">
        <v>187</v>
      </c>
      <c r="D296" s="138">
        <v>621.58000000000004</v>
      </c>
      <c r="E296" s="138">
        <v>40.43</v>
      </c>
      <c r="G296" s="308" t="s">
        <v>373</v>
      </c>
      <c r="I296" s="138">
        <v>621.58000000000004</v>
      </c>
      <c r="J296" s="137" t="s">
        <v>1310</v>
      </c>
      <c r="K296" s="138">
        <f>IF(D296&lt;&gt;"",D296-I296,"")</f>
        <v>0</v>
      </c>
    </row>
    <row r="297" spans="1:11" ht="15" customHeight="1">
      <c r="A297" s="136">
        <v>42349</v>
      </c>
      <c r="B297" s="307" t="s">
        <v>2025</v>
      </c>
      <c r="C297" s="137" t="s">
        <v>184</v>
      </c>
      <c r="D297" s="138">
        <v>150.5</v>
      </c>
      <c r="G297" s="308" t="s">
        <v>373</v>
      </c>
      <c r="I297" s="138">
        <v>150.5</v>
      </c>
      <c r="J297" s="137" t="s">
        <v>1999</v>
      </c>
      <c r="K297" s="138">
        <v>0</v>
      </c>
    </row>
    <row r="298" spans="1:11" ht="15" customHeight="1">
      <c r="A298" s="136">
        <v>42350</v>
      </c>
      <c r="B298" s="307" t="s">
        <v>1374</v>
      </c>
      <c r="C298" s="137" t="s">
        <v>372</v>
      </c>
      <c r="D298" s="138">
        <v>116.1</v>
      </c>
      <c r="E298" s="138">
        <v>6.05</v>
      </c>
      <c r="G298" s="308" t="s">
        <v>378</v>
      </c>
      <c r="I298" s="138">
        <v>116.1</v>
      </c>
      <c r="K298" s="138">
        <f>IF(D298&lt;&gt;"",D298-I298,"")</f>
        <v>0</v>
      </c>
    </row>
    <row r="299" spans="1:11" ht="15" customHeight="1">
      <c r="A299" s="136">
        <v>42352</v>
      </c>
      <c r="B299" s="307" t="s">
        <v>1226</v>
      </c>
      <c r="C299" s="137" t="s">
        <v>372</v>
      </c>
      <c r="D299" s="138">
        <v>20.95</v>
      </c>
      <c r="E299" s="378">
        <v>1.0900000000000001</v>
      </c>
      <c r="G299" s="308" t="s">
        <v>373</v>
      </c>
      <c r="I299" s="138">
        <v>20.95</v>
      </c>
      <c r="J299" s="137" t="s">
        <v>1540</v>
      </c>
      <c r="K299" s="138">
        <f>IF(D299&lt;&gt;"",D299-I299,"")</f>
        <v>0</v>
      </c>
    </row>
    <row r="300" spans="1:11" ht="15" customHeight="1">
      <c r="A300" s="136">
        <v>42352</v>
      </c>
      <c r="B300" s="307" t="s">
        <v>1201</v>
      </c>
      <c r="C300" s="137" t="s">
        <v>372</v>
      </c>
      <c r="D300" s="138">
        <v>50.43</v>
      </c>
      <c r="E300" s="138">
        <v>2.63</v>
      </c>
      <c r="G300" s="308" t="s">
        <v>378</v>
      </c>
      <c r="I300" s="138">
        <v>50.43</v>
      </c>
      <c r="K300" s="138">
        <f>IF(D300&lt;&gt;"",D300-I300,"")</f>
        <v>0</v>
      </c>
    </row>
    <row r="301" spans="1:11" ht="15" customHeight="1">
      <c r="A301" s="136">
        <v>42352</v>
      </c>
      <c r="B301" s="307" t="s">
        <v>1307</v>
      </c>
      <c r="C301" s="137" t="s">
        <v>188</v>
      </c>
      <c r="D301" s="138">
        <v>431.62</v>
      </c>
      <c r="E301" s="138">
        <v>22.5</v>
      </c>
      <c r="G301" s="308" t="s">
        <v>373</v>
      </c>
      <c r="I301" s="138">
        <v>431.62</v>
      </c>
      <c r="J301" s="137" t="s">
        <v>1295</v>
      </c>
      <c r="K301" s="138">
        <f>IF(D301&lt;&gt;"",D301-I301,"")</f>
        <v>0</v>
      </c>
    </row>
    <row r="302" spans="1:11" ht="15" customHeight="1">
      <c r="A302" s="136">
        <v>42353</v>
      </c>
      <c r="B302" s="307" t="s">
        <v>1227</v>
      </c>
      <c r="C302" s="137" t="s">
        <v>372</v>
      </c>
      <c r="D302" s="138">
        <v>28.27</v>
      </c>
      <c r="E302" s="138">
        <v>1.47</v>
      </c>
      <c r="G302" s="308" t="s">
        <v>373</v>
      </c>
      <c r="I302" s="138">
        <v>28.27</v>
      </c>
      <c r="J302" s="137" t="s">
        <v>1540</v>
      </c>
      <c r="K302" s="138">
        <f>IF(D302&lt;&gt;"",D302-I302,"")</f>
        <v>0</v>
      </c>
    </row>
    <row r="303" spans="1:11" ht="15" customHeight="1">
      <c r="A303" s="136">
        <v>42353</v>
      </c>
      <c r="B303" s="307" t="s">
        <v>2005</v>
      </c>
      <c r="C303" s="137" t="s">
        <v>183</v>
      </c>
      <c r="D303" s="138">
        <v>1999.73</v>
      </c>
      <c r="E303" s="138">
        <v>131.52000000000001</v>
      </c>
      <c r="G303" s="308" t="s">
        <v>378</v>
      </c>
      <c r="I303" s="138">
        <v>1999.73</v>
      </c>
      <c r="J303" s="137" t="s">
        <v>2007</v>
      </c>
      <c r="K303" s="138">
        <v>0</v>
      </c>
    </row>
    <row r="304" spans="1:11" ht="15" customHeight="1">
      <c r="A304" s="136">
        <v>42353</v>
      </c>
      <c r="B304" s="307" t="s">
        <v>1299</v>
      </c>
      <c r="C304" s="137" t="s">
        <v>372</v>
      </c>
      <c r="D304" s="138">
        <v>97.93</v>
      </c>
      <c r="E304" s="138">
        <v>5.1100000000000003</v>
      </c>
      <c r="G304" s="308" t="s">
        <v>378</v>
      </c>
      <c r="I304" s="138">
        <v>97.93</v>
      </c>
      <c r="K304" s="138">
        <f>IF(D304&lt;&gt;"",D304-I304,"")</f>
        <v>0</v>
      </c>
    </row>
    <row r="305" spans="1:11" ht="15" customHeight="1">
      <c r="A305" s="136">
        <v>42353</v>
      </c>
      <c r="B305" s="307" t="s">
        <v>1308</v>
      </c>
      <c r="C305" s="137" t="s">
        <v>188</v>
      </c>
      <c r="D305" s="138">
        <v>105.39</v>
      </c>
      <c r="E305" s="138">
        <v>5.49</v>
      </c>
      <c r="G305" s="308" t="s">
        <v>373</v>
      </c>
      <c r="K305" s="138">
        <f>IF(D305&lt;&gt;"",D305-I305,"")</f>
        <v>105.39</v>
      </c>
    </row>
    <row r="306" spans="1:11" ht="15" customHeight="1">
      <c r="A306" s="136">
        <v>42353</v>
      </c>
      <c r="B306" s="307" t="s">
        <v>1222</v>
      </c>
      <c r="C306" s="137" t="s">
        <v>186</v>
      </c>
      <c r="D306" s="138">
        <v>463.36</v>
      </c>
      <c r="E306" s="138">
        <v>24.16</v>
      </c>
      <c r="G306" s="308" t="s">
        <v>373</v>
      </c>
      <c r="I306" s="138">
        <v>463.36</v>
      </c>
      <c r="J306" s="137" t="s">
        <v>1376</v>
      </c>
      <c r="K306" s="138">
        <f>IF(D306&lt;&gt;"",D306-I306,"")</f>
        <v>0</v>
      </c>
    </row>
    <row r="307" spans="1:11" ht="15" customHeight="1">
      <c r="A307" s="136">
        <v>42353</v>
      </c>
      <c r="B307" s="307" t="s">
        <v>1385</v>
      </c>
      <c r="C307" s="137" t="s">
        <v>188</v>
      </c>
      <c r="D307" s="138">
        <v>612.32000000000005</v>
      </c>
      <c r="E307" s="138">
        <v>31.92</v>
      </c>
      <c r="G307" s="308" t="s">
        <v>378</v>
      </c>
      <c r="I307" s="138">
        <v>612.32000000000005</v>
      </c>
      <c r="J307" s="137" t="s">
        <v>2065</v>
      </c>
      <c r="K307" s="138">
        <f>IF(D307&lt;&gt;"",D307-I307,"")</f>
        <v>0</v>
      </c>
    </row>
    <row r="308" spans="1:11" ht="15" customHeight="1">
      <c r="A308" s="136">
        <v>42354</v>
      </c>
      <c r="B308" s="307" t="s">
        <v>1316</v>
      </c>
      <c r="C308" s="137" t="s">
        <v>372</v>
      </c>
      <c r="D308" s="138">
        <v>21.59</v>
      </c>
      <c r="E308" s="138">
        <v>1.1299999999999999</v>
      </c>
      <c r="G308" s="308" t="s">
        <v>373</v>
      </c>
      <c r="I308" s="138">
        <v>21.59</v>
      </c>
      <c r="J308" s="137" t="s">
        <v>1540</v>
      </c>
      <c r="K308" s="138">
        <f>IF(D308&lt;&gt;"",D308-I308,"")</f>
        <v>0</v>
      </c>
    </row>
    <row r="309" spans="1:11" ht="15" customHeight="1">
      <c r="A309" s="136">
        <v>42355</v>
      </c>
      <c r="B309" s="307" t="s">
        <v>2008</v>
      </c>
      <c r="C309" s="137" t="s">
        <v>183</v>
      </c>
      <c r="D309" s="138">
        <v>691.38</v>
      </c>
      <c r="E309" s="138">
        <v>49.6</v>
      </c>
      <c r="G309" s="308" t="s">
        <v>373</v>
      </c>
      <c r="I309" s="138">
        <v>691.38</v>
      </c>
      <c r="J309" s="137" t="s">
        <v>2009</v>
      </c>
      <c r="K309" s="138">
        <v>0</v>
      </c>
    </row>
    <row r="310" spans="1:11" ht="15" customHeight="1">
      <c r="A310" s="136">
        <v>42355</v>
      </c>
      <c r="B310" s="307" t="s">
        <v>1317</v>
      </c>
      <c r="C310" s="137" t="s">
        <v>372</v>
      </c>
      <c r="D310" s="138">
        <v>62.81</v>
      </c>
      <c r="E310" s="138">
        <v>3.27</v>
      </c>
      <c r="G310" s="308" t="s">
        <v>378</v>
      </c>
      <c r="I310" s="138">
        <v>62.81</v>
      </c>
      <c r="K310" s="138">
        <f t="shared" ref="K310:K321" si="12">IF(D310&lt;&gt;"",D310-I310,"")</f>
        <v>0</v>
      </c>
    </row>
    <row r="311" spans="1:11" ht="15" customHeight="1">
      <c r="A311" s="136">
        <v>42355</v>
      </c>
      <c r="B311" s="307" t="s">
        <v>1314</v>
      </c>
      <c r="C311" s="137" t="s">
        <v>372</v>
      </c>
      <c r="D311" s="138">
        <v>22.21</v>
      </c>
      <c r="E311" s="138">
        <v>1.1599999999999999</v>
      </c>
      <c r="G311" s="308" t="s">
        <v>373</v>
      </c>
      <c r="I311" s="138">
        <v>22.21</v>
      </c>
      <c r="J311" s="137" t="s">
        <v>1540</v>
      </c>
      <c r="K311" s="138">
        <f t="shared" si="12"/>
        <v>0</v>
      </c>
    </row>
    <row r="312" spans="1:11" ht="15" customHeight="1">
      <c r="A312" s="136">
        <v>42355</v>
      </c>
      <c r="B312" s="307" t="s">
        <v>1322</v>
      </c>
      <c r="C312" s="137" t="s">
        <v>186</v>
      </c>
      <c r="D312" s="138">
        <v>647.37</v>
      </c>
      <c r="E312" s="138">
        <v>60.68</v>
      </c>
      <c r="G312" s="308" t="s">
        <v>378</v>
      </c>
      <c r="I312" s="138">
        <v>647.37</v>
      </c>
      <c r="J312" s="137" t="s">
        <v>1327</v>
      </c>
      <c r="K312" s="138">
        <f t="shared" si="12"/>
        <v>0</v>
      </c>
    </row>
    <row r="313" spans="1:11" ht="15" customHeight="1">
      <c r="A313" s="136">
        <v>42355</v>
      </c>
      <c r="B313" s="307" t="s">
        <v>1297</v>
      </c>
      <c r="C313" s="137" t="s">
        <v>187</v>
      </c>
      <c r="D313" s="138">
        <v>2130.12</v>
      </c>
      <c r="E313" s="138">
        <v>135.07</v>
      </c>
      <c r="G313" s="308" t="s">
        <v>378</v>
      </c>
      <c r="I313" s="138">
        <v>2130.12</v>
      </c>
      <c r="J313" s="137" t="s">
        <v>1298</v>
      </c>
      <c r="K313" s="138">
        <f t="shared" si="12"/>
        <v>0</v>
      </c>
    </row>
    <row r="314" spans="1:11" ht="15" customHeight="1">
      <c r="A314" s="136">
        <v>42356</v>
      </c>
      <c r="B314" s="307" t="s">
        <v>1315</v>
      </c>
      <c r="C314" s="137" t="s">
        <v>184</v>
      </c>
      <c r="D314" s="138">
        <v>1293.8499999999999</v>
      </c>
      <c r="E314" s="138">
        <v>93.41</v>
      </c>
      <c r="G314" s="308" t="s">
        <v>378</v>
      </c>
      <c r="I314" s="138">
        <v>1293.8499999999999</v>
      </c>
      <c r="J314" s="137" t="s">
        <v>1996</v>
      </c>
      <c r="K314" s="138">
        <f t="shared" si="12"/>
        <v>0</v>
      </c>
    </row>
    <row r="315" spans="1:11" ht="15" customHeight="1">
      <c r="A315" s="136">
        <v>42356</v>
      </c>
      <c r="B315" s="307" t="s">
        <v>1319</v>
      </c>
      <c r="C315" s="137" t="s">
        <v>372</v>
      </c>
      <c r="D315" s="138">
        <v>112.95</v>
      </c>
      <c r="E315" s="138">
        <v>5.89</v>
      </c>
      <c r="G315" s="308" t="s">
        <v>378</v>
      </c>
      <c r="I315" s="138">
        <v>112.95</v>
      </c>
      <c r="K315" s="138">
        <f t="shared" si="12"/>
        <v>0</v>
      </c>
    </row>
    <row r="316" spans="1:11" ht="15" customHeight="1">
      <c r="A316" s="136">
        <v>42356</v>
      </c>
      <c r="B316" s="307" t="s">
        <v>1311</v>
      </c>
      <c r="C316" s="137" t="s">
        <v>186</v>
      </c>
      <c r="D316" s="138">
        <v>30.47</v>
      </c>
      <c r="E316" s="138">
        <v>1.59</v>
      </c>
      <c r="G316" s="308" t="s">
        <v>373</v>
      </c>
      <c r="I316" s="138">
        <v>30.47</v>
      </c>
      <c r="J316" s="137" t="s">
        <v>1376</v>
      </c>
      <c r="K316" s="138">
        <f t="shared" si="12"/>
        <v>0</v>
      </c>
    </row>
    <row r="317" spans="1:11" ht="15" customHeight="1">
      <c r="A317" s="136">
        <v>42356</v>
      </c>
      <c r="B317" s="307" t="s">
        <v>1292</v>
      </c>
      <c r="C317" s="137" t="s">
        <v>187</v>
      </c>
      <c r="D317" s="138">
        <v>622.9</v>
      </c>
      <c r="E317" s="138">
        <v>42.7</v>
      </c>
      <c r="G317" s="308" t="s">
        <v>373</v>
      </c>
      <c r="I317" s="138">
        <v>622.9</v>
      </c>
      <c r="J317" s="137" t="s">
        <v>1293</v>
      </c>
      <c r="K317" s="138">
        <f t="shared" si="12"/>
        <v>0</v>
      </c>
    </row>
    <row r="318" spans="1:11" ht="15" customHeight="1">
      <c r="A318" s="136">
        <v>42357</v>
      </c>
      <c r="B318" s="307" t="s">
        <v>1301</v>
      </c>
      <c r="C318" s="137" t="s">
        <v>372</v>
      </c>
      <c r="D318" s="138">
        <v>116.29</v>
      </c>
      <c r="E318" s="138">
        <v>6.06</v>
      </c>
      <c r="G318" s="308" t="s">
        <v>378</v>
      </c>
      <c r="I318" s="138">
        <v>116.29</v>
      </c>
      <c r="K318" s="138">
        <f t="shared" si="12"/>
        <v>0</v>
      </c>
    </row>
    <row r="319" spans="1:11" ht="15" customHeight="1">
      <c r="A319" s="136">
        <v>42357</v>
      </c>
      <c r="B319" s="307" t="s">
        <v>1371</v>
      </c>
      <c r="C319" s="137" t="s">
        <v>187</v>
      </c>
      <c r="D319" s="138">
        <v>28.49</v>
      </c>
      <c r="E319" s="138">
        <v>1.49</v>
      </c>
      <c r="G319" s="308" t="s">
        <v>378</v>
      </c>
      <c r="I319" s="138">
        <v>28.49</v>
      </c>
      <c r="J319" s="137" t="s">
        <v>1372</v>
      </c>
      <c r="K319" s="138">
        <f t="shared" si="12"/>
        <v>0</v>
      </c>
    </row>
    <row r="320" spans="1:11" ht="15" customHeight="1">
      <c r="A320" s="136">
        <v>42359</v>
      </c>
      <c r="B320" s="307" t="s">
        <v>1304</v>
      </c>
      <c r="C320" s="137" t="s">
        <v>372</v>
      </c>
      <c r="D320" s="138">
        <v>28.9</v>
      </c>
      <c r="E320" s="138">
        <v>1.51</v>
      </c>
      <c r="G320" s="308" t="s">
        <v>378</v>
      </c>
      <c r="I320" s="138">
        <v>28.9</v>
      </c>
      <c r="K320" s="138">
        <f t="shared" si="12"/>
        <v>0</v>
      </c>
    </row>
    <row r="321" spans="1:11" ht="15" customHeight="1">
      <c r="A321" s="136">
        <v>42359</v>
      </c>
      <c r="B321" s="307" t="s">
        <v>1318</v>
      </c>
      <c r="C321" s="137" t="s">
        <v>372</v>
      </c>
      <c r="D321" s="138">
        <v>52.78</v>
      </c>
      <c r="E321" s="138">
        <v>2.75</v>
      </c>
      <c r="G321" s="308" t="s">
        <v>378</v>
      </c>
      <c r="I321" s="138">
        <v>52.78</v>
      </c>
      <c r="K321" s="138">
        <f t="shared" si="12"/>
        <v>0</v>
      </c>
    </row>
    <row r="322" spans="1:11" ht="15" customHeight="1">
      <c r="A322" s="136">
        <v>42360</v>
      </c>
      <c r="B322" s="307" t="s">
        <v>2050</v>
      </c>
      <c r="C322" s="137" t="s">
        <v>183</v>
      </c>
      <c r="D322" s="138">
        <v>2181.21</v>
      </c>
      <c r="E322" s="138">
        <v>137.25</v>
      </c>
      <c r="G322" s="308" t="s">
        <v>378</v>
      </c>
      <c r="I322" s="138">
        <v>2181.21</v>
      </c>
      <c r="J322" s="137" t="s">
        <v>2056</v>
      </c>
      <c r="K322" s="138">
        <v>0</v>
      </c>
    </row>
    <row r="323" spans="1:11" ht="15" customHeight="1">
      <c r="A323" s="136">
        <v>42360</v>
      </c>
      <c r="B323" s="307" t="s">
        <v>1303</v>
      </c>
      <c r="C323" s="137" t="s">
        <v>372</v>
      </c>
      <c r="D323" s="138">
        <v>20.47</v>
      </c>
      <c r="E323" s="138">
        <v>1.07</v>
      </c>
      <c r="G323" s="308" t="s">
        <v>378</v>
      </c>
      <c r="I323" s="138">
        <v>20.47</v>
      </c>
      <c r="K323" s="138">
        <f t="shared" ref="K323:K329" si="13">IF(D323&lt;&gt;"",D323-I323,"")</f>
        <v>0</v>
      </c>
    </row>
    <row r="324" spans="1:11" ht="15" customHeight="1">
      <c r="A324" s="136">
        <v>42360</v>
      </c>
      <c r="B324" s="307" t="s">
        <v>1300</v>
      </c>
      <c r="C324" s="137" t="s">
        <v>372</v>
      </c>
      <c r="D324" s="138">
        <v>37.06</v>
      </c>
      <c r="E324" s="138">
        <v>1.93</v>
      </c>
      <c r="G324" s="308" t="s">
        <v>378</v>
      </c>
      <c r="I324" s="138">
        <v>37.06</v>
      </c>
      <c r="K324" s="138">
        <f t="shared" si="13"/>
        <v>0</v>
      </c>
    </row>
    <row r="325" spans="1:11" ht="15" customHeight="1">
      <c r="A325" s="136">
        <v>42360</v>
      </c>
      <c r="B325" s="307" t="s">
        <v>1312</v>
      </c>
      <c r="C325" s="137" t="s">
        <v>186</v>
      </c>
      <c r="D325" s="138">
        <v>650.34</v>
      </c>
      <c r="E325" s="138">
        <v>39.24</v>
      </c>
      <c r="G325" s="308" t="s">
        <v>373</v>
      </c>
      <c r="I325" s="138">
        <v>650.34</v>
      </c>
      <c r="J325" s="137" t="s">
        <v>1313</v>
      </c>
      <c r="K325" s="138">
        <f t="shared" si="13"/>
        <v>0</v>
      </c>
    </row>
    <row r="326" spans="1:11" ht="15" customHeight="1">
      <c r="A326" s="136">
        <v>42361</v>
      </c>
      <c r="B326" s="307" t="s">
        <v>1296</v>
      </c>
      <c r="C326" s="137" t="s">
        <v>185</v>
      </c>
      <c r="D326" s="138">
        <v>93.84</v>
      </c>
      <c r="E326" s="138">
        <v>4.8899999999999997</v>
      </c>
      <c r="G326" s="308" t="s">
        <v>373</v>
      </c>
      <c r="I326" s="138">
        <v>93.84</v>
      </c>
      <c r="J326" s="137" t="s">
        <v>1531</v>
      </c>
      <c r="K326" s="138">
        <f t="shared" si="13"/>
        <v>0</v>
      </c>
    </row>
    <row r="327" spans="1:11" ht="15" customHeight="1">
      <c r="A327" s="136">
        <v>42361</v>
      </c>
      <c r="B327" s="307" t="s">
        <v>1302</v>
      </c>
      <c r="C327" s="137" t="s">
        <v>372</v>
      </c>
      <c r="D327" s="138">
        <v>102.89</v>
      </c>
      <c r="E327" s="138">
        <v>5.36</v>
      </c>
      <c r="G327" s="308" t="s">
        <v>378</v>
      </c>
      <c r="I327" s="138">
        <v>102.89</v>
      </c>
      <c r="K327" s="138">
        <f t="shared" si="13"/>
        <v>0</v>
      </c>
    </row>
    <row r="328" spans="1:11" ht="15" customHeight="1">
      <c r="A328" s="136">
        <v>42361</v>
      </c>
      <c r="B328" s="307" t="s">
        <v>1384</v>
      </c>
      <c r="C328" s="137" t="s">
        <v>188</v>
      </c>
      <c r="D328" s="138">
        <v>575.5</v>
      </c>
      <c r="E328" s="138">
        <v>30</v>
      </c>
      <c r="G328" s="308" t="s">
        <v>378</v>
      </c>
      <c r="I328" s="138">
        <v>575.5</v>
      </c>
      <c r="J328" s="137" t="s">
        <v>2065</v>
      </c>
      <c r="K328" s="138">
        <f t="shared" si="13"/>
        <v>0</v>
      </c>
    </row>
    <row r="329" spans="1:11" ht="15" customHeight="1">
      <c r="A329" s="136">
        <v>42361</v>
      </c>
      <c r="B329" s="307" t="s">
        <v>1478</v>
      </c>
      <c r="C329" s="137" t="s">
        <v>186</v>
      </c>
      <c r="D329" s="138">
        <v>1374.42</v>
      </c>
      <c r="E329" s="378">
        <v>103.83</v>
      </c>
      <c r="G329" s="308" t="s">
        <v>378</v>
      </c>
      <c r="I329" s="138">
        <v>1374.42</v>
      </c>
      <c r="J329" s="137" t="s">
        <v>1479</v>
      </c>
      <c r="K329" s="138">
        <f t="shared" si="13"/>
        <v>0</v>
      </c>
    </row>
    <row r="330" spans="1:11" ht="15" customHeight="1">
      <c r="A330" s="136">
        <v>42362</v>
      </c>
      <c r="B330" s="307" t="s">
        <v>2058</v>
      </c>
      <c r="C330" s="137" t="s">
        <v>183</v>
      </c>
      <c r="D330" s="138">
        <v>502.27</v>
      </c>
      <c r="E330" s="138">
        <v>47.17</v>
      </c>
      <c r="G330" s="308" t="s">
        <v>373</v>
      </c>
      <c r="I330" s="138">
        <v>502.27</v>
      </c>
      <c r="J330" s="137" t="s">
        <v>2059</v>
      </c>
      <c r="K330" s="138">
        <v>0</v>
      </c>
    </row>
    <row r="331" spans="1:11" ht="15" customHeight="1">
      <c r="A331" s="136">
        <v>42362</v>
      </c>
      <c r="B331" s="307" t="s">
        <v>1294</v>
      </c>
      <c r="C331" s="137" t="s">
        <v>184</v>
      </c>
      <c r="D331" s="138">
        <v>180.3</v>
      </c>
      <c r="E331" s="138">
        <v>23.8</v>
      </c>
      <c r="G331" s="308" t="s">
        <v>373</v>
      </c>
      <c r="I331" s="138">
        <v>180.3</v>
      </c>
      <c r="J331" s="137" t="s">
        <v>1998</v>
      </c>
      <c r="K331" s="138">
        <f t="shared" ref="K331:K343" si="14">IF(D331&lt;&gt;"",D331-I331,"")</f>
        <v>0</v>
      </c>
    </row>
    <row r="332" spans="1:11" ht="15" customHeight="1">
      <c r="A332" s="136">
        <v>42362</v>
      </c>
      <c r="B332" s="307" t="s">
        <v>1306</v>
      </c>
      <c r="C332" s="137" t="s">
        <v>184</v>
      </c>
      <c r="D332" s="138">
        <v>452.07</v>
      </c>
      <c r="E332" s="138">
        <v>32.58</v>
      </c>
      <c r="G332" s="308" t="s">
        <v>378</v>
      </c>
      <c r="I332" s="138">
        <v>452.07</v>
      </c>
      <c r="J332" s="137" t="s">
        <v>1856</v>
      </c>
      <c r="K332" s="138">
        <f t="shared" si="14"/>
        <v>0</v>
      </c>
    </row>
    <row r="333" spans="1:11">
      <c r="A333" s="136">
        <v>42362</v>
      </c>
      <c r="B333" s="307" t="s">
        <v>1323</v>
      </c>
      <c r="C333" s="137" t="s">
        <v>186</v>
      </c>
      <c r="D333" s="138">
        <v>62.77</v>
      </c>
      <c r="E333" s="138">
        <v>7.79</v>
      </c>
      <c r="G333" s="308" t="s">
        <v>378</v>
      </c>
      <c r="I333" s="138">
        <v>62.77</v>
      </c>
      <c r="J333" s="137" t="s">
        <v>1324</v>
      </c>
      <c r="K333" s="138">
        <f t="shared" si="14"/>
        <v>0</v>
      </c>
    </row>
    <row r="334" spans="1:11">
      <c r="A334" s="136">
        <v>42362</v>
      </c>
      <c r="B334" s="307" t="s">
        <v>1480</v>
      </c>
      <c r="C334" s="137" t="s">
        <v>187</v>
      </c>
      <c r="D334" s="138">
        <v>1092.98</v>
      </c>
      <c r="E334" s="138">
        <v>56.98</v>
      </c>
      <c r="G334" s="308" t="s">
        <v>378</v>
      </c>
      <c r="I334" s="138">
        <v>1092.98</v>
      </c>
      <c r="J334" s="137" t="s">
        <v>1481</v>
      </c>
      <c r="K334" s="138">
        <f t="shared" si="14"/>
        <v>0</v>
      </c>
    </row>
    <row r="335" spans="1:11">
      <c r="A335" s="136">
        <v>42362</v>
      </c>
      <c r="B335" s="307" t="s">
        <v>1506</v>
      </c>
      <c r="C335" s="137" t="s">
        <v>187</v>
      </c>
      <c r="D335" s="138">
        <v>828.2</v>
      </c>
      <c r="E335" s="138">
        <v>55.6</v>
      </c>
      <c r="G335" s="308" t="s">
        <v>373</v>
      </c>
      <c r="I335" s="138">
        <v>828.2</v>
      </c>
      <c r="J335" s="137" t="s">
        <v>1508</v>
      </c>
      <c r="K335" s="138">
        <f t="shared" si="14"/>
        <v>0</v>
      </c>
    </row>
    <row r="336" spans="1:11">
      <c r="A336" s="136">
        <v>42364</v>
      </c>
      <c r="B336" s="307" t="s">
        <v>1390</v>
      </c>
      <c r="C336" s="137" t="s">
        <v>187</v>
      </c>
      <c r="D336" s="138">
        <v>28.49</v>
      </c>
      <c r="E336" s="138">
        <v>1.49</v>
      </c>
      <c r="G336" s="308" t="s">
        <v>378</v>
      </c>
      <c r="I336" s="138">
        <v>28.49</v>
      </c>
      <c r="K336" s="138">
        <f t="shared" si="14"/>
        <v>0</v>
      </c>
    </row>
    <row r="337" spans="1:11">
      <c r="A337" s="136">
        <v>42366</v>
      </c>
      <c r="B337" s="307" t="s">
        <v>1305</v>
      </c>
      <c r="C337" s="137" t="s">
        <v>372</v>
      </c>
      <c r="D337" s="138">
        <v>65.34</v>
      </c>
      <c r="E337" s="138">
        <v>3.41</v>
      </c>
      <c r="G337" s="308" t="s">
        <v>378</v>
      </c>
      <c r="I337" s="138">
        <v>65.34</v>
      </c>
      <c r="K337" s="138">
        <f t="shared" si="14"/>
        <v>0</v>
      </c>
    </row>
    <row r="338" spans="1:11">
      <c r="A338" s="136">
        <v>42366</v>
      </c>
      <c r="B338" s="307" t="s">
        <v>1379</v>
      </c>
      <c r="C338" s="137" t="s">
        <v>372</v>
      </c>
      <c r="D338" s="138">
        <v>6.86</v>
      </c>
      <c r="E338" s="138">
        <v>0.36</v>
      </c>
      <c r="G338" s="308" t="s">
        <v>373</v>
      </c>
      <c r="I338" s="138">
        <v>6.86</v>
      </c>
      <c r="J338" s="137" t="s">
        <v>1540</v>
      </c>
      <c r="K338" s="138">
        <f t="shared" si="14"/>
        <v>0</v>
      </c>
    </row>
    <row r="339" spans="1:11">
      <c r="A339" s="136">
        <v>42366</v>
      </c>
      <c r="B339" s="307" t="s">
        <v>1381</v>
      </c>
      <c r="C339" s="137" t="s">
        <v>188</v>
      </c>
      <c r="D339" s="138">
        <v>503.56</v>
      </c>
      <c r="E339" s="138">
        <v>26.25</v>
      </c>
      <c r="G339" s="308" t="s">
        <v>378</v>
      </c>
      <c r="I339" s="138">
        <v>503.56</v>
      </c>
      <c r="J339" s="137" t="s">
        <v>2065</v>
      </c>
      <c r="K339" s="138">
        <f t="shared" si="14"/>
        <v>0</v>
      </c>
    </row>
    <row r="340" spans="1:11">
      <c r="A340" s="136">
        <v>42367</v>
      </c>
      <c r="B340" s="307" t="s">
        <v>1370</v>
      </c>
      <c r="C340" s="137" t="s">
        <v>372</v>
      </c>
      <c r="D340" s="138">
        <v>42.34</v>
      </c>
      <c r="E340" s="138">
        <v>2.21</v>
      </c>
      <c r="G340" s="308" t="s">
        <v>378</v>
      </c>
      <c r="I340" s="138">
        <v>42.34</v>
      </c>
      <c r="K340" s="138">
        <f t="shared" si="14"/>
        <v>0</v>
      </c>
    </row>
    <row r="341" spans="1:11">
      <c r="A341" s="136">
        <v>42367</v>
      </c>
      <c r="B341" s="307" t="s">
        <v>1368</v>
      </c>
      <c r="C341" s="137" t="s">
        <v>186</v>
      </c>
      <c r="D341" s="138">
        <v>30.36</v>
      </c>
      <c r="E341" s="138">
        <v>5.0599999999999996</v>
      </c>
      <c r="G341" s="308" t="s">
        <v>373</v>
      </c>
      <c r="I341" s="138">
        <v>30.36</v>
      </c>
      <c r="J341" s="137" t="s">
        <v>1369</v>
      </c>
      <c r="K341" s="138">
        <f t="shared" si="14"/>
        <v>0</v>
      </c>
    </row>
    <row r="342" spans="1:11">
      <c r="A342" s="136">
        <v>42367</v>
      </c>
      <c r="B342" s="307" t="s">
        <v>1366</v>
      </c>
      <c r="C342" s="137" t="s">
        <v>186</v>
      </c>
      <c r="D342" s="138">
        <v>370.19</v>
      </c>
      <c r="E342" s="138">
        <v>28.36</v>
      </c>
      <c r="G342" s="308" t="s">
        <v>378</v>
      </c>
      <c r="I342" s="138">
        <v>370.19</v>
      </c>
      <c r="J342" s="137" t="s">
        <v>1367</v>
      </c>
      <c r="K342" s="138">
        <f t="shared" si="14"/>
        <v>0</v>
      </c>
    </row>
    <row r="343" spans="1:11">
      <c r="A343" s="136">
        <v>42367</v>
      </c>
      <c r="B343" s="307" t="s">
        <v>1380</v>
      </c>
      <c r="C343" s="137" t="s">
        <v>372</v>
      </c>
      <c r="D343" s="138">
        <v>6.86</v>
      </c>
      <c r="E343" s="138">
        <v>0.36</v>
      </c>
      <c r="G343" s="308" t="s">
        <v>373</v>
      </c>
      <c r="I343" s="138">
        <v>6.86</v>
      </c>
      <c r="J343" s="137" t="s">
        <v>1540</v>
      </c>
      <c r="K343" s="138">
        <f t="shared" si="14"/>
        <v>0</v>
      </c>
    </row>
    <row r="344" spans="1:11">
      <c r="A344" s="136">
        <v>42367</v>
      </c>
      <c r="B344" s="307" t="s">
        <v>2057</v>
      </c>
      <c r="C344" s="137" t="s">
        <v>183</v>
      </c>
      <c r="D344" s="138">
        <v>1491.82</v>
      </c>
      <c r="E344" s="138">
        <v>97.75</v>
      </c>
      <c r="G344" s="308" t="s">
        <v>378</v>
      </c>
      <c r="I344" s="138">
        <v>1491.82</v>
      </c>
      <c r="J344" s="137" t="s">
        <v>2056</v>
      </c>
      <c r="K344" s="138">
        <v>0</v>
      </c>
    </row>
    <row r="345" spans="1:11">
      <c r="A345" s="136">
        <v>42368</v>
      </c>
      <c r="B345" s="307" t="s">
        <v>1373</v>
      </c>
      <c r="C345" s="137" t="s">
        <v>372</v>
      </c>
      <c r="D345" s="138">
        <v>54.75</v>
      </c>
      <c r="E345" s="138">
        <v>2.85</v>
      </c>
      <c r="G345" s="308" t="s">
        <v>378</v>
      </c>
      <c r="I345" s="138">
        <v>54.75</v>
      </c>
      <c r="K345" s="138">
        <f>IF(D345&lt;&gt;"",D345-I345,"")</f>
        <v>0</v>
      </c>
    </row>
    <row r="346" spans="1:11">
      <c r="A346" s="136">
        <v>42368</v>
      </c>
      <c r="B346" s="307" t="s">
        <v>1482</v>
      </c>
      <c r="C346" s="137" t="s">
        <v>188</v>
      </c>
      <c r="D346" s="138">
        <v>463.57</v>
      </c>
      <c r="E346" s="138">
        <v>24.17</v>
      </c>
      <c r="G346" s="308" t="s">
        <v>373</v>
      </c>
      <c r="K346" s="138">
        <f>IF(D346&lt;&gt;"",D346-I346,"")</f>
        <v>463.57</v>
      </c>
    </row>
    <row r="347" spans="1:11">
      <c r="A347" s="136">
        <v>42368</v>
      </c>
      <c r="B347" s="307" t="s">
        <v>1483</v>
      </c>
      <c r="C347" s="137" t="s">
        <v>187</v>
      </c>
      <c r="D347" s="138">
        <v>1264.82</v>
      </c>
      <c r="E347" s="138">
        <v>91.87</v>
      </c>
      <c r="G347" s="308" t="s">
        <v>378</v>
      </c>
      <c r="I347" s="138">
        <v>1264.82</v>
      </c>
      <c r="J347" s="137" t="s">
        <v>1484</v>
      </c>
      <c r="K347" s="138">
        <f>IF(D347&lt;&gt;"",D347-I347,"")</f>
        <v>0</v>
      </c>
    </row>
    <row r="348" spans="1:11">
      <c r="A348" s="136">
        <v>42369</v>
      </c>
      <c r="B348" s="307" t="s">
        <v>2060</v>
      </c>
      <c r="C348" s="137" t="s">
        <v>183</v>
      </c>
      <c r="D348" s="138">
        <v>178.08</v>
      </c>
      <c r="E348" s="138">
        <v>16.399999999999999</v>
      </c>
      <c r="G348" s="308" t="s">
        <v>373</v>
      </c>
      <c r="I348" s="138">
        <v>178.08</v>
      </c>
      <c r="J348" s="137" t="s">
        <v>2056</v>
      </c>
      <c r="K348" s="138">
        <v>0</v>
      </c>
    </row>
    <row r="349" spans="1:11">
      <c r="A349" s="136">
        <v>42369</v>
      </c>
      <c r="B349" s="307" t="s">
        <v>1365</v>
      </c>
      <c r="C349" s="137" t="s">
        <v>184</v>
      </c>
      <c r="D349" s="138">
        <v>939.52</v>
      </c>
      <c r="E349" s="138">
        <v>90.05</v>
      </c>
      <c r="G349" s="308" t="s">
        <v>378</v>
      </c>
      <c r="I349" s="138">
        <v>939.52</v>
      </c>
      <c r="J349" s="137" t="s">
        <v>1997</v>
      </c>
      <c r="K349" s="138">
        <f t="shared" ref="K349:K412" si="15">IF(D349&lt;&gt;"",D349-I349,"")</f>
        <v>0</v>
      </c>
    </row>
    <row r="350" spans="1:11">
      <c r="A350" s="136">
        <v>42369</v>
      </c>
      <c r="B350" s="307" t="s">
        <v>1375</v>
      </c>
      <c r="C350" s="137" t="s">
        <v>372</v>
      </c>
      <c r="D350" s="138">
        <v>109.21</v>
      </c>
      <c r="E350" s="138">
        <v>5.69</v>
      </c>
      <c r="G350" s="308" t="s">
        <v>378</v>
      </c>
      <c r="I350" s="138">
        <v>109.21</v>
      </c>
      <c r="K350" s="138">
        <f t="shared" si="15"/>
        <v>0</v>
      </c>
    </row>
    <row r="351" spans="1:11">
      <c r="A351" s="136">
        <v>42369</v>
      </c>
      <c r="B351" s="307" t="s">
        <v>1485</v>
      </c>
      <c r="C351" s="137" t="s">
        <v>187</v>
      </c>
      <c r="D351" s="138">
        <v>430.44</v>
      </c>
      <c r="E351" s="138">
        <v>22.44</v>
      </c>
      <c r="G351" s="308" t="s">
        <v>373</v>
      </c>
      <c r="I351" s="138">
        <v>430.44</v>
      </c>
      <c r="J351" s="137" t="s">
        <v>1486</v>
      </c>
      <c r="K351" s="138">
        <f t="shared" si="15"/>
        <v>0</v>
      </c>
    </row>
    <row r="352" spans="1:11">
      <c r="A352" s="136">
        <v>42369</v>
      </c>
      <c r="B352" s="307" t="s">
        <v>1520</v>
      </c>
      <c r="C352" s="137" t="s">
        <v>184</v>
      </c>
      <c r="D352" s="138">
        <v>86.8</v>
      </c>
      <c r="E352" s="138">
        <v>5.77</v>
      </c>
      <c r="G352" s="308" t="s">
        <v>378</v>
      </c>
      <c r="I352" s="138">
        <v>86.8</v>
      </c>
      <c r="J352" s="137" t="s">
        <v>1999</v>
      </c>
      <c r="K352" s="138">
        <f t="shared" si="15"/>
        <v>0</v>
      </c>
    </row>
    <row r="353" spans="1:11">
      <c r="A353" s="136">
        <v>42369</v>
      </c>
      <c r="B353" s="307" t="s">
        <v>1524</v>
      </c>
      <c r="C353" s="137" t="s">
        <v>424</v>
      </c>
      <c r="D353" s="138">
        <v>527.1</v>
      </c>
      <c r="E353" s="138">
        <v>87.85</v>
      </c>
      <c r="G353" s="308" t="s">
        <v>373</v>
      </c>
      <c r="I353" s="138">
        <v>527.1</v>
      </c>
      <c r="J353" s="137" t="s">
        <v>1525</v>
      </c>
      <c r="K353" s="138">
        <f t="shared" si="15"/>
        <v>0</v>
      </c>
    </row>
    <row r="354" spans="1:11">
      <c r="A354" s="136">
        <v>42370</v>
      </c>
      <c r="B354" s="307" t="s">
        <v>1464</v>
      </c>
      <c r="C354" s="137" t="s">
        <v>186</v>
      </c>
      <c r="D354" s="138">
        <v>322.04000000000002</v>
      </c>
      <c r="E354" s="138">
        <v>21.83</v>
      </c>
      <c r="G354" s="308" t="s">
        <v>373</v>
      </c>
      <c r="I354" s="138">
        <v>322.04000000000002</v>
      </c>
      <c r="J354" s="137" t="s">
        <v>1465</v>
      </c>
      <c r="K354" s="138">
        <f t="shared" si="15"/>
        <v>0</v>
      </c>
    </row>
    <row r="355" spans="1:11">
      <c r="A355" s="136">
        <v>42373</v>
      </c>
      <c r="B355" s="307" t="s">
        <v>1466</v>
      </c>
      <c r="C355" s="137" t="s">
        <v>372</v>
      </c>
      <c r="D355" s="138">
        <v>29.57</v>
      </c>
      <c r="E355" s="138">
        <v>1.54</v>
      </c>
      <c r="G355" s="308" t="s">
        <v>373</v>
      </c>
      <c r="I355" s="138">
        <v>29.57</v>
      </c>
      <c r="J355" s="137" t="s">
        <v>2277</v>
      </c>
      <c r="K355" s="138">
        <f t="shared" si="15"/>
        <v>0</v>
      </c>
    </row>
    <row r="356" spans="1:11">
      <c r="A356" s="136">
        <v>42373</v>
      </c>
      <c r="B356" s="307" t="s">
        <v>1467</v>
      </c>
      <c r="C356" s="137" t="s">
        <v>372</v>
      </c>
      <c r="D356" s="138">
        <v>69.72</v>
      </c>
      <c r="E356" s="138">
        <v>3.63</v>
      </c>
      <c r="G356" s="308" t="s">
        <v>378</v>
      </c>
      <c r="I356" s="138">
        <v>69.72</v>
      </c>
      <c r="K356" s="138">
        <f t="shared" si="15"/>
        <v>0</v>
      </c>
    </row>
    <row r="357" spans="1:11">
      <c r="A357" s="136">
        <v>42373</v>
      </c>
      <c r="B357" s="307" t="s">
        <v>1497</v>
      </c>
      <c r="C357" s="137" t="s">
        <v>182</v>
      </c>
      <c r="D357" s="138">
        <v>533.29999999999995</v>
      </c>
      <c r="E357" s="138">
        <v>27.8</v>
      </c>
      <c r="G357" s="308" t="s">
        <v>373</v>
      </c>
      <c r="I357" s="138">
        <v>533.29999999999995</v>
      </c>
      <c r="J357" s="137" t="s">
        <v>1498</v>
      </c>
      <c r="K357" s="138">
        <f t="shared" si="15"/>
        <v>0</v>
      </c>
    </row>
    <row r="358" spans="1:11">
      <c r="A358" s="136">
        <v>42374</v>
      </c>
      <c r="B358" s="307" t="s">
        <v>1468</v>
      </c>
      <c r="C358" s="137" t="s">
        <v>372</v>
      </c>
      <c r="D358" s="138">
        <v>22</v>
      </c>
      <c r="E358" s="138">
        <v>1.1499999999999999</v>
      </c>
      <c r="G358" s="308" t="s">
        <v>373</v>
      </c>
      <c r="I358" s="138">
        <v>22</v>
      </c>
      <c r="J358" s="137" t="s">
        <v>2277</v>
      </c>
      <c r="K358" s="138">
        <f t="shared" si="15"/>
        <v>0</v>
      </c>
    </row>
    <row r="359" spans="1:11">
      <c r="A359" s="136">
        <v>42374</v>
      </c>
      <c r="B359" s="307" t="s">
        <v>2144</v>
      </c>
      <c r="C359" s="137" t="s">
        <v>183</v>
      </c>
      <c r="D359" s="378">
        <v>1317.05</v>
      </c>
      <c r="E359" s="138">
        <v>79.61</v>
      </c>
      <c r="G359" s="308" t="s">
        <v>378</v>
      </c>
      <c r="I359" s="138">
        <v>0</v>
      </c>
      <c r="K359" s="138">
        <f t="shared" si="15"/>
        <v>1317.05</v>
      </c>
    </row>
    <row r="360" spans="1:11">
      <c r="A360" s="136">
        <v>42375</v>
      </c>
      <c r="B360" s="307" t="s">
        <v>1469</v>
      </c>
      <c r="C360" s="137" t="s">
        <v>372</v>
      </c>
      <c r="D360" s="138">
        <v>22</v>
      </c>
      <c r="E360" s="138">
        <v>1.1499999999999999</v>
      </c>
      <c r="G360" s="308" t="s">
        <v>373</v>
      </c>
      <c r="I360" s="138">
        <v>22</v>
      </c>
      <c r="J360" s="137" t="s">
        <v>2277</v>
      </c>
      <c r="K360" s="138">
        <f t="shared" si="15"/>
        <v>0</v>
      </c>
    </row>
    <row r="361" spans="1:11">
      <c r="A361" s="136">
        <v>42376</v>
      </c>
      <c r="B361" s="307" t="s">
        <v>2061</v>
      </c>
      <c r="C361" s="137" t="s">
        <v>183</v>
      </c>
      <c r="D361" s="138">
        <v>420.46</v>
      </c>
      <c r="E361" s="138">
        <v>33.82</v>
      </c>
      <c r="G361" s="308" t="s">
        <v>373</v>
      </c>
      <c r="I361" s="138">
        <v>420.46</v>
      </c>
      <c r="J361" s="137" t="s">
        <v>2056</v>
      </c>
      <c r="K361" s="138">
        <f t="shared" si="15"/>
        <v>0</v>
      </c>
    </row>
    <row r="362" spans="1:11">
      <c r="A362" s="136">
        <v>42376</v>
      </c>
      <c r="B362" s="307" t="s">
        <v>1470</v>
      </c>
      <c r="C362" s="137" t="s">
        <v>372</v>
      </c>
      <c r="D362" s="138">
        <v>21.68</v>
      </c>
      <c r="E362" s="138">
        <v>1.1299999999999999</v>
      </c>
      <c r="G362" s="308" t="s">
        <v>373</v>
      </c>
      <c r="I362" s="138">
        <v>21.68</v>
      </c>
      <c r="J362" s="137" t="s">
        <v>2277</v>
      </c>
      <c r="K362" s="138">
        <f t="shared" si="15"/>
        <v>0</v>
      </c>
    </row>
    <row r="363" spans="1:11">
      <c r="A363" s="136">
        <v>42376</v>
      </c>
      <c r="B363" s="307" t="s">
        <v>1499</v>
      </c>
      <c r="C363" s="137" t="s">
        <v>186</v>
      </c>
      <c r="D363" s="138">
        <v>1168.93</v>
      </c>
      <c r="E363" s="138">
        <v>72.069999999999993</v>
      </c>
      <c r="G363" s="308" t="s">
        <v>378</v>
      </c>
      <c r="I363" s="138">
        <v>1168.93</v>
      </c>
      <c r="J363" s="137" t="s">
        <v>1500</v>
      </c>
      <c r="K363" s="138">
        <f t="shared" si="15"/>
        <v>0</v>
      </c>
    </row>
    <row r="364" spans="1:11">
      <c r="A364" s="136">
        <v>42376</v>
      </c>
      <c r="B364" s="307" t="s">
        <v>1501</v>
      </c>
      <c r="C364" s="137" t="s">
        <v>372</v>
      </c>
      <c r="D364" s="138">
        <v>63.21</v>
      </c>
      <c r="E364" s="378">
        <v>3.3</v>
      </c>
      <c r="G364" s="308" t="s">
        <v>378</v>
      </c>
      <c r="I364" s="138">
        <v>63.21</v>
      </c>
      <c r="K364" s="138">
        <f t="shared" si="15"/>
        <v>0</v>
      </c>
    </row>
    <row r="365" spans="1:11">
      <c r="A365" s="136">
        <v>42377</v>
      </c>
      <c r="B365" s="307" t="s">
        <v>1471</v>
      </c>
      <c r="C365" s="137" t="s">
        <v>184</v>
      </c>
      <c r="D365" s="138">
        <v>1237.21</v>
      </c>
      <c r="E365" s="138">
        <v>101.14</v>
      </c>
      <c r="G365" s="308" t="s">
        <v>378</v>
      </c>
      <c r="I365" s="378">
        <v>1237.21</v>
      </c>
      <c r="J365" s="137" t="s">
        <v>2034</v>
      </c>
      <c r="K365" s="138">
        <f t="shared" si="15"/>
        <v>0</v>
      </c>
    </row>
    <row r="366" spans="1:11">
      <c r="A366" s="136">
        <v>42377</v>
      </c>
      <c r="B366" s="307" t="s">
        <v>1472</v>
      </c>
      <c r="C366" s="137" t="s">
        <v>372</v>
      </c>
      <c r="D366" s="138">
        <v>63.62</v>
      </c>
      <c r="E366" s="138">
        <v>3.32</v>
      </c>
      <c r="G366" s="308" t="s">
        <v>378</v>
      </c>
      <c r="I366" s="138">
        <v>63.62</v>
      </c>
      <c r="K366" s="138">
        <f t="shared" si="15"/>
        <v>0</v>
      </c>
    </row>
    <row r="367" spans="1:11">
      <c r="A367" s="136">
        <v>42377</v>
      </c>
      <c r="B367" s="307" t="s">
        <v>1473</v>
      </c>
      <c r="C367" s="137" t="s">
        <v>186</v>
      </c>
      <c r="D367" s="138">
        <v>351.04</v>
      </c>
      <c r="E367" s="138">
        <v>28.1</v>
      </c>
      <c r="G367" s="308" t="s">
        <v>373</v>
      </c>
      <c r="I367" s="138">
        <v>351.04</v>
      </c>
      <c r="J367" s="137" t="s">
        <v>1465</v>
      </c>
      <c r="K367" s="138">
        <f t="shared" si="15"/>
        <v>0</v>
      </c>
    </row>
    <row r="368" spans="1:11">
      <c r="A368" s="136">
        <v>42377</v>
      </c>
      <c r="B368" s="307" t="s">
        <v>1474</v>
      </c>
      <c r="C368" s="137" t="s">
        <v>184</v>
      </c>
      <c r="D368" s="138">
        <v>170.54</v>
      </c>
      <c r="E368" s="138">
        <v>8.89</v>
      </c>
      <c r="G368" s="308" t="s">
        <v>373</v>
      </c>
      <c r="I368" s="138">
        <v>170.54</v>
      </c>
      <c r="J368" s="137" t="s">
        <v>2266</v>
      </c>
      <c r="K368" s="138">
        <f t="shared" si="15"/>
        <v>0</v>
      </c>
    </row>
    <row r="369" spans="1:11">
      <c r="A369" s="136">
        <v>42377</v>
      </c>
      <c r="B369" s="307" t="s">
        <v>1475</v>
      </c>
      <c r="C369" s="137" t="s">
        <v>372</v>
      </c>
      <c r="D369" s="138">
        <v>13.9</v>
      </c>
      <c r="E369" s="138">
        <v>0.72</v>
      </c>
      <c r="G369" s="308" t="s">
        <v>373</v>
      </c>
      <c r="I369" s="138">
        <v>13.9</v>
      </c>
      <c r="J369" s="137" t="s">
        <v>2277</v>
      </c>
      <c r="K369" s="138">
        <f t="shared" si="15"/>
        <v>0</v>
      </c>
    </row>
    <row r="370" spans="1:11">
      <c r="A370" s="136">
        <v>42377</v>
      </c>
      <c r="B370" s="307" t="s">
        <v>1526</v>
      </c>
      <c r="C370" s="137" t="s">
        <v>187</v>
      </c>
      <c r="D370" s="138">
        <v>690.82</v>
      </c>
      <c r="E370" s="138">
        <v>45.93</v>
      </c>
      <c r="G370" s="308" t="s">
        <v>373</v>
      </c>
      <c r="I370" s="138">
        <v>690.82</v>
      </c>
      <c r="J370" s="137" t="s">
        <v>1527</v>
      </c>
      <c r="K370" s="138">
        <f t="shared" si="15"/>
        <v>0</v>
      </c>
    </row>
    <row r="371" spans="1:11">
      <c r="A371" s="136">
        <v>42378</v>
      </c>
      <c r="B371" s="307" t="s">
        <v>1503</v>
      </c>
      <c r="C371" s="137" t="s">
        <v>186</v>
      </c>
      <c r="D371" s="138">
        <v>36.31</v>
      </c>
      <c r="E371" s="138">
        <v>1.89</v>
      </c>
      <c r="G371" s="308" t="s">
        <v>373</v>
      </c>
      <c r="I371" s="138">
        <v>36.31</v>
      </c>
      <c r="J371" s="137" t="s">
        <v>1504</v>
      </c>
      <c r="K371" s="138">
        <f t="shared" si="15"/>
        <v>0</v>
      </c>
    </row>
    <row r="372" spans="1:11">
      <c r="A372" s="136">
        <v>42378</v>
      </c>
      <c r="B372" s="307" t="s">
        <v>1928</v>
      </c>
      <c r="C372" s="137" t="s">
        <v>372</v>
      </c>
      <c r="D372" s="378">
        <v>77.069999999999993</v>
      </c>
      <c r="E372" s="378">
        <v>4.0199999999999996</v>
      </c>
      <c r="F372" s="309"/>
      <c r="G372" s="308" t="s">
        <v>378</v>
      </c>
      <c r="I372" s="378">
        <v>77.069999999999993</v>
      </c>
      <c r="K372" s="138">
        <f t="shared" si="15"/>
        <v>0</v>
      </c>
    </row>
    <row r="373" spans="1:11">
      <c r="A373" s="136">
        <v>42380</v>
      </c>
      <c r="B373" s="307" t="s">
        <v>1476</v>
      </c>
      <c r="C373" s="137" t="s">
        <v>372</v>
      </c>
      <c r="D373" s="138">
        <v>63.92</v>
      </c>
      <c r="E373" s="138">
        <v>3.33</v>
      </c>
      <c r="G373" s="308" t="s">
        <v>378</v>
      </c>
      <c r="I373" s="138">
        <v>63.92</v>
      </c>
      <c r="J373" s="137" t="s">
        <v>1477</v>
      </c>
      <c r="K373" s="138">
        <f t="shared" si="15"/>
        <v>0</v>
      </c>
    </row>
    <row r="374" spans="1:11">
      <c r="A374" s="136">
        <v>42380</v>
      </c>
      <c r="B374" s="307" t="s">
        <v>1502</v>
      </c>
      <c r="C374" s="137" t="s">
        <v>372</v>
      </c>
      <c r="D374" s="138">
        <v>25.06</v>
      </c>
      <c r="E374" s="138">
        <v>1.31</v>
      </c>
      <c r="G374" s="308" t="s">
        <v>373</v>
      </c>
      <c r="I374" s="138">
        <v>25.06</v>
      </c>
      <c r="J374" s="137" t="s">
        <v>2277</v>
      </c>
      <c r="K374" s="138">
        <f t="shared" si="15"/>
        <v>0</v>
      </c>
    </row>
    <row r="375" spans="1:11">
      <c r="A375" s="136">
        <v>42381</v>
      </c>
      <c r="B375" s="307" t="s">
        <v>2143</v>
      </c>
      <c r="C375" s="137" t="s">
        <v>183</v>
      </c>
      <c r="D375" s="138">
        <v>1678.94</v>
      </c>
      <c r="E375" s="138">
        <v>95.17</v>
      </c>
      <c r="G375" s="308" t="s">
        <v>378</v>
      </c>
      <c r="K375" s="138">
        <f t="shared" si="15"/>
        <v>1678.94</v>
      </c>
    </row>
    <row r="376" spans="1:11">
      <c r="A376" s="136">
        <v>42382</v>
      </c>
      <c r="B376" s="307" t="s">
        <v>1512</v>
      </c>
      <c r="C376" s="137" t="s">
        <v>372</v>
      </c>
      <c r="D376" s="138">
        <v>20.41</v>
      </c>
      <c r="E376" s="138">
        <v>1.06</v>
      </c>
      <c r="G376" s="308" t="s">
        <v>373</v>
      </c>
      <c r="I376" s="138">
        <v>20.41</v>
      </c>
      <c r="J376" s="137" t="s">
        <v>2277</v>
      </c>
      <c r="K376" s="138">
        <f t="shared" si="15"/>
        <v>0</v>
      </c>
    </row>
    <row r="377" spans="1:11">
      <c r="A377" s="136">
        <v>42382</v>
      </c>
      <c r="B377" s="307" t="s">
        <v>1521</v>
      </c>
      <c r="C377" s="137" t="s">
        <v>852</v>
      </c>
      <c r="D377" s="138">
        <v>346.88</v>
      </c>
      <c r="E377" s="138">
        <v>18.079999999999998</v>
      </c>
      <c r="G377" s="308" t="s">
        <v>378</v>
      </c>
      <c r="I377" s="138">
        <v>346.88</v>
      </c>
      <c r="J377" s="137" t="s">
        <v>2870</v>
      </c>
      <c r="K377" s="138">
        <f t="shared" si="15"/>
        <v>0</v>
      </c>
    </row>
    <row r="378" spans="1:11">
      <c r="A378" s="136">
        <v>42382</v>
      </c>
      <c r="B378" s="307" t="s">
        <v>1528</v>
      </c>
      <c r="C378" s="137" t="s">
        <v>188</v>
      </c>
      <c r="D378" s="138">
        <v>431.62</v>
      </c>
      <c r="E378" s="138">
        <v>22.5</v>
      </c>
      <c r="G378" s="308" t="s">
        <v>373</v>
      </c>
      <c r="J378" s="137" t="s">
        <v>1529</v>
      </c>
      <c r="K378" s="138">
        <f t="shared" si="15"/>
        <v>431.62</v>
      </c>
    </row>
    <row r="379" spans="1:11">
      <c r="A379" s="136">
        <v>42382</v>
      </c>
      <c r="B379" s="307" t="s">
        <v>1557</v>
      </c>
      <c r="C379" s="137" t="s">
        <v>187</v>
      </c>
      <c r="D379" s="138">
        <v>1222.5899999999999</v>
      </c>
      <c r="E379" s="138">
        <v>70.989999999999995</v>
      </c>
      <c r="G379" s="308" t="s">
        <v>378</v>
      </c>
      <c r="I379" s="138">
        <v>1222.5899999999999</v>
      </c>
      <c r="J379" s="137" t="s">
        <v>1556</v>
      </c>
      <c r="K379" s="138">
        <f t="shared" si="15"/>
        <v>0</v>
      </c>
    </row>
    <row r="380" spans="1:11">
      <c r="A380" s="136">
        <v>42383</v>
      </c>
      <c r="B380" s="307" t="s">
        <v>1995</v>
      </c>
      <c r="C380" s="137" t="s">
        <v>183</v>
      </c>
      <c r="D380" s="138">
        <v>623.58000000000004</v>
      </c>
      <c r="E380" s="138">
        <v>0</v>
      </c>
      <c r="G380" s="308" t="s">
        <v>373</v>
      </c>
      <c r="I380" s="138">
        <v>623.58000000000004</v>
      </c>
      <c r="J380" s="137" t="s">
        <v>2534</v>
      </c>
      <c r="K380" s="138">
        <f t="shared" si="15"/>
        <v>0</v>
      </c>
    </row>
    <row r="381" spans="1:11">
      <c r="A381" s="136">
        <v>42383</v>
      </c>
      <c r="B381" s="307" t="s">
        <v>1509</v>
      </c>
      <c r="C381" s="137" t="s">
        <v>372</v>
      </c>
      <c r="D381" s="138">
        <v>51.43</v>
      </c>
      <c r="E381" s="138">
        <v>2.68</v>
      </c>
      <c r="G381" s="308" t="s">
        <v>378</v>
      </c>
      <c r="I381" s="138">
        <v>51.43</v>
      </c>
      <c r="K381" s="138">
        <f t="shared" si="15"/>
        <v>0</v>
      </c>
    </row>
    <row r="382" spans="1:11">
      <c r="A382" s="136">
        <v>42383</v>
      </c>
      <c r="B382" s="307" t="s">
        <v>1513</v>
      </c>
      <c r="C382" s="137" t="s">
        <v>372</v>
      </c>
      <c r="D382" s="138">
        <v>20.41</v>
      </c>
      <c r="E382" s="138">
        <v>1.06</v>
      </c>
      <c r="G382" s="308" t="s">
        <v>373</v>
      </c>
      <c r="I382" s="138">
        <v>20.41</v>
      </c>
      <c r="J382" s="137" t="s">
        <v>2277</v>
      </c>
      <c r="K382" s="138">
        <f t="shared" si="15"/>
        <v>0</v>
      </c>
    </row>
    <row r="383" spans="1:11">
      <c r="A383" s="136">
        <v>42383</v>
      </c>
      <c r="B383" s="307" t="s">
        <v>1518</v>
      </c>
      <c r="C383" s="137" t="s">
        <v>186</v>
      </c>
      <c r="D383" s="138">
        <v>767.56</v>
      </c>
      <c r="E383" s="138">
        <v>41.4</v>
      </c>
      <c r="G383" s="308" t="s">
        <v>378</v>
      </c>
      <c r="I383" s="138">
        <v>767.56</v>
      </c>
      <c r="J383" s="137" t="s">
        <v>1519</v>
      </c>
      <c r="K383" s="138">
        <f t="shared" si="15"/>
        <v>0</v>
      </c>
    </row>
    <row r="384" spans="1:11">
      <c r="A384" s="136">
        <v>42384</v>
      </c>
      <c r="B384" s="307" t="s">
        <v>1507</v>
      </c>
      <c r="C384" s="137" t="s">
        <v>184</v>
      </c>
      <c r="D384" s="138">
        <v>727.01</v>
      </c>
      <c r="E384" s="138">
        <v>47.47</v>
      </c>
      <c r="G384" s="308" t="s">
        <v>378</v>
      </c>
      <c r="I384" s="138">
        <v>727.01</v>
      </c>
      <c r="J384" s="137" t="s">
        <v>2265</v>
      </c>
      <c r="K384" s="138">
        <f t="shared" si="15"/>
        <v>0</v>
      </c>
    </row>
    <row r="385" spans="1:11">
      <c r="A385" s="136">
        <v>42384</v>
      </c>
      <c r="B385" s="307" t="s">
        <v>1510</v>
      </c>
      <c r="C385" s="137" t="s">
        <v>372</v>
      </c>
      <c r="D385" s="138">
        <v>88.62</v>
      </c>
      <c r="E385" s="138">
        <v>4.62</v>
      </c>
      <c r="G385" s="308" t="s">
        <v>378</v>
      </c>
      <c r="I385" s="138">
        <v>88.62</v>
      </c>
      <c r="K385" s="138">
        <f t="shared" si="15"/>
        <v>0</v>
      </c>
    </row>
    <row r="386" spans="1:11">
      <c r="A386" s="136">
        <v>42384</v>
      </c>
      <c r="B386" s="307" t="s">
        <v>1511</v>
      </c>
      <c r="C386" s="137" t="s">
        <v>372</v>
      </c>
      <c r="D386" s="138">
        <v>20.41</v>
      </c>
      <c r="E386" s="138">
        <v>1.06</v>
      </c>
      <c r="G386" s="308" t="s">
        <v>373</v>
      </c>
      <c r="I386" s="138">
        <v>20.41</v>
      </c>
      <c r="J386" s="137" t="s">
        <v>2277</v>
      </c>
      <c r="K386" s="138">
        <f t="shared" si="15"/>
        <v>0</v>
      </c>
    </row>
    <row r="387" spans="1:11">
      <c r="A387" s="136">
        <v>42384</v>
      </c>
      <c r="B387" s="307" t="s">
        <v>1550</v>
      </c>
      <c r="C387" s="137" t="s">
        <v>184</v>
      </c>
      <c r="D387" s="138">
        <v>9.1199999999999992</v>
      </c>
      <c r="E387" s="138">
        <v>0.48</v>
      </c>
      <c r="G387" s="308" t="s">
        <v>373</v>
      </c>
      <c r="I387" s="138">
        <v>9.1199999999999992</v>
      </c>
      <c r="J387" s="137" t="s">
        <v>2266</v>
      </c>
      <c r="K387" s="138">
        <f t="shared" si="15"/>
        <v>0</v>
      </c>
    </row>
    <row r="388" spans="1:11">
      <c r="A388" s="136">
        <v>42384</v>
      </c>
      <c r="B388" s="307" t="s">
        <v>1552</v>
      </c>
      <c r="C388" s="137" t="s">
        <v>187</v>
      </c>
      <c r="D388" s="138">
        <v>654.5</v>
      </c>
      <c r="E388" s="138">
        <v>44.35</v>
      </c>
      <c r="G388" s="308" t="s">
        <v>373</v>
      </c>
      <c r="I388" s="138">
        <v>654.5</v>
      </c>
      <c r="J388" s="137" t="s">
        <v>1529</v>
      </c>
      <c r="K388" s="138">
        <f t="shared" si="15"/>
        <v>0</v>
      </c>
    </row>
    <row r="389" spans="1:11">
      <c r="A389" s="136">
        <v>42385</v>
      </c>
      <c r="B389" s="307" t="s">
        <v>1505</v>
      </c>
      <c r="C389" s="137" t="s">
        <v>187</v>
      </c>
      <c r="D389" s="138">
        <v>1189.54</v>
      </c>
      <c r="E389" s="138">
        <v>76.64</v>
      </c>
      <c r="G389" s="308" t="s">
        <v>378</v>
      </c>
      <c r="I389" s="138">
        <v>1189.54</v>
      </c>
      <c r="J389" s="137" t="s">
        <v>1295</v>
      </c>
      <c r="K389" s="138">
        <f t="shared" si="15"/>
        <v>0</v>
      </c>
    </row>
    <row r="390" spans="1:11">
      <c r="A390" s="136">
        <v>42387</v>
      </c>
      <c r="B390" s="307" t="s">
        <v>1522</v>
      </c>
      <c r="C390" s="137" t="s">
        <v>184</v>
      </c>
      <c r="D390" s="138">
        <v>72.099999999999994</v>
      </c>
      <c r="E390" s="138">
        <v>3.76</v>
      </c>
      <c r="G390" s="308" t="s">
        <v>378</v>
      </c>
      <c r="I390" s="138">
        <v>72.099999999999994</v>
      </c>
      <c r="J390" s="137" t="s">
        <v>2265</v>
      </c>
      <c r="K390" s="138">
        <f t="shared" si="15"/>
        <v>0</v>
      </c>
    </row>
    <row r="391" spans="1:11">
      <c r="A391" s="136">
        <v>42387</v>
      </c>
      <c r="B391" s="307" t="s">
        <v>1534</v>
      </c>
      <c r="C391" s="137" t="s">
        <v>372</v>
      </c>
      <c r="D391" s="138">
        <v>69.790000000000006</v>
      </c>
      <c r="E391" s="138">
        <v>3.64</v>
      </c>
      <c r="G391" s="308" t="s">
        <v>378</v>
      </c>
      <c r="I391" s="138">
        <v>69.790000000000006</v>
      </c>
      <c r="K391" s="138">
        <f t="shared" si="15"/>
        <v>0</v>
      </c>
    </row>
    <row r="392" spans="1:11">
      <c r="A392" s="136">
        <v>42387</v>
      </c>
      <c r="B392" s="307" t="s">
        <v>1535</v>
      </c>
      <c r="C392" s="137" t="s">
        <v>372</v>
      </c>
      <c r="D392" s="138">
        <v>24.36</v>
      </c>
      <c r="E392" s="138">
        <v>1.27</v>
      </c>
      <c r="G392" s="308" t="s">
        <v>373</v>
      </c>
      <c r="I392" s="138">
        <v>24.36</v>
      </c>
      <c r="J392" s="137" t="s">
        <v>2277</v>
      </c>
      <c r="K392" s="138">
        <f t="shared" si="15"/>
        <v>0</v>
      </c>
    </row>
    <row r="393" spans="1:11">
      <c r="A393" s="136">
        <v>42387</v>
      </c>
      <c r="B393" s="307" t="s">
        <v>1906</v>
      </c>
      <c r="C393" s="137" t="s">
        <v>1973</v>
      </c>
      <c r="D393" s="390">
        <v>80.180000000000007</v>
      </c>
      <c r="E393" s="390">
        <v>4.18</v>
      </c>
      <c r="F393" s="391"/>
      <c r="G393" s="308" t="s">
        <v>378</v>
      </c>
      <c r="I393" s="390">
        <v>80.180000000000007</v>
      </c>
      <c r="J393" s="137" t="s">
        <v>1974</v>
      </c>
      <c r="K393" s="138">
        <f t="shared" si="15"/>
        <v>0</v>
      </c>
    </row>
    <row r="394" spans="1:11">
      <c r="A394" s="136">
        <v>42388</v>
      </c>
      <c r="B394" s="307" t="s">
        <v>1533</v>
      </c>
      <c r="C394" s="137" t="s">
        <v>372</v>
      </c>
      <c r="D394" s="138">
        <v>68.52</v>
      </c>
      <c r="E394" s="138">
        <v>3.57</v>
      </c>
      <c r="G394" s="308" t="s">
        <v>378</v>
      </c>
      <c r="I394" s="138">
        <v>68.52</v>
      </c>
      <c r="K394" s="138">
        <f t="shared" si="15"/>
        <v>0</v>
      </c>
    </row>
    <row r="395" spans="1:11">
      <c r="A395" s="136">
        <v>42388</v>
      </c>
      <c r="B395" s="307" t="s">
        <v>1536</v>
      </c>
      <c r="C395" s="137" t="s">
        <v>372</v>
      </c>
      <c r="D395" s="138">
        <v>22.1</v>
      </c>
      <c r="E395" s="138">
        <v>1.1499999999999999</v>
      </c>
      <c r="G395" s="308" t="s">
        <v>373</v>
      </c>
      <c r="I395" s="138">
        <v>22.1</v>
      </c>
      <c r="J395" s="137" t="s">
        <v>2277</v>
      </c>
      <c r="K395" s="138">
        <f t="shared" si="15"/>
        <v>0</v>
      </c>
    </row>
    <row r="396" spans="1:11">
      <c r="A396" s="136">
        <v>42388</v>
      </c>
      <c r="B396" s="307" t="s">
        <v>1553</v>
      </c>
      <c r="C396" s="137" t="s">
        <v>186</v>
      </c>
      <c r="D396" s="138">
        <v>664.02</v>
      </c>
      <c r="E396" s="138">
        <v>43.98</v>
      </c>
      <c r="G396" s="308" t="s">
        <v>373</v>
      </c>
      <c r="I396" s="138">
        <v>664.02</v>
      </c>
      <c r="J396" s="137" t="s">
        <v>1555</v>
      </c>
      <c r="K396" s="138">
        <f t="shared" si="15"/>
        <v>0</v>
      </c>
    </row>
    <row r="397" spans="1:11">
      <c r="A397" s="136">
        <v>42388</v>
      </c>
      <c r="B397" s="307" t="s">
        <v>2142</v>
      </c>
      <c r="C397" s="137" t="s">
        <v>183</v>
      </c>
      <c r="D397" s="138">
        <v>1563.14</v>
      </c>
      <c r="E397" s="138">
        <v>110.4</v>
      </c>
      <c r="G397" s="308" t="s">
        <v>378</v>
      </c>
      <c r="K397" s="138">
        <f t="shared" si="15"/>
        <v>1563.14</v>
      </c>
    </row>
    <row r="398" spans="1:11">
      <c r="A398" s="136">
        <v>42389</v>
      </c>
      <c r="B398" s="307" t="s">
        <v>1547</v>
      </c>
      <c r="C398" s="137" t="s">
        <v>372</v>
      </c>
      <c r="D398" s="138">
        <v>24.08</v>
      </c>
      <c r="E398" s="138">
        <v>1.26</v>
      </c>
      <c r="G398" s="308" t="s">
        <v>373</v>
      </c>
      <c r="I398" s="138">
        <v>24.08</v>
      </c>
      <c r="J398" s="137" t="s">
        <v>2277</v>
      </c>
      <c r="K398" s="138">
        <f t="shared" si="15"/>
        <v>0</v>
      </c>
    </row>
    <row r="399" spans="1:11">
      <c r="A399" s="136">
        <v>42389</v>
      </c>
      <c r="B399" s="307" t="s">
        <v>1558</v>
      </c>
      <c r="C399" s="137" t="s">
        <v>187</v>
      </c>
      <c r="D399" s="138">
        <v>1375.25</v>
      </c>
      <c r="E399" s="138">
        <v>78.95</v>
      </c>
      <c r="G399" s="308" t="s">
        <v>378</v>
      </c>
      <c r="I399" s="138">
        <v>1375.25</v>
      </c>
      <c r="J399" s="137" t="s">
        <v>1559</v>
      </c>
      <c r="K399" s="138">
        <f t="shared" si="15"/>
        <v>0</v>
      </c>
    </row>
    <row r="400" spans="1:11">
      <c r="A400" s="136">
        <v>42390</v>
      </c>
      <c r="B400" s="307" t="s">
        <v>1995</v>
      </c>
      <c r="C400" s="137" t="s">
        <v>183</v>
      </c>
      <c r="D400" s="138">
        <v>476.74</v>
      </c>
      <c r="E400" s="138">
        <v>0</v>
      </c>
      <c r="G400" s="308" t="s">
        <v>373</v>
      </c>
      <c r="I400" s="138">
        <v>476.74</v>
      </c>
      <c r="J400" s="137" t="s">
        <v>2534</v>
      </c>
      <c r="K400" s="138">
        <f t="shared" si="15"/>
        <v>0</v>
      </c>
    </row>
    <row r="401" spans="1:11">
      <c r="A401" s="136">
        <v>42390</v>
      </c>
      <c r="B401" s="307" t="s">
        <v>1548</v>
      </c>
      <c r="C401" s="137" t="s">
        <v>372</v>
      </c>
      <c r="D401" s="138">
        <v>57.23</v>
      </c>
      <c r="E401" s="138">
        <v>2.98</v>
      </c>
      <c r="G401" s="308" t="s">
        <v>378</v>
      </c>
      <c r="I401" s="138">
        <v>57.23</v>
      </c>
      <c r="K401" s="138">
        <f t="shared" si="15"/>
        <v>0</v>
      </c>
    </row>
    <row r="402" spans="1:11">
      <c r="A402" s="136">
        <v>42390</v>
      </c>
      <c r="B402" s="307" t="s">
        <v>1554</v>
      </c>
      <c r="C402" s="137" t="s">
        <v>372</v>
      </c>
      <c r="D402" s="138">
        <v>22.31</v>
      </c>
      <c r="E402" s="138">
        <v>1.1599999999999999</v>
      </c>
      <c r="G402" s="308" t="s">
        <v>373</v>
      </c>
      <c r="I402" s="138">
        <v>22.31</v>
      </c>
      <c r="J402" s="137" t="s">
        <v>2277</v>
      </c>
      <c r="K402" s="138">
        <f t="shared" si="15"/>
        <v>0</v>
      </c>
    </row>
    <row r="403" spans="1:11">
      <c r="A403" s="136">
        <v>42390</v>
      </c>
      <c r="B403" s="307" t="s">
        <v>1911</v>
      </c>
      <c r="C403" s="137" t="s">
        <v>186</v>
      </c>
      <c r="D403" s="138">
        <v>1094.03</v>
      </c>
      <c r="E403" s="138">
        <v>67.28</v>
      </c>
      <c r="G403" s="308" t="s">
        <v>378</v>
      </c>
      <c r="I403" s="138">
        <v>1094.03</v>
      </c>
      <c r="J403" s="137" t="s">
        <v>1295</v>
      </c>
      <c r="K403" s="138">
        <f t="shared" si="15"/>
        <v>0</v>
      </c>
    </row>
    <row r="404" spans="1:11">
      <c r="A404" s="136">
        <v>42391</v>
      </c>
      <c r="B404" s="307" t="s">
        <v>1546</v>
      </c>
      <c r="C404" s="137" t="s">
        <v>372</v>
      </c>
      <c r="D404" s="138">
        <v>50.94</v>
      </c>
      <c r="E404" s="138">
        <v>2.66</v>
      </c>
      <c r="G404" s="308" t="s">
        <v>378</v>
      </c>
      <c r="I404" s="138">
        <v>50.94</v>
      </c>
      <c r="K404" s="138">
        <f t="shared" si="15"/>
        <v>0</v>
      </c>
    </row>
    <row r="405" spans="1:11">
      <c r="A405" s="136">
        <v>42391</v>
      </c>
      <c r="B405" s="307" t="s">
        <v>1551</v>
      </c>
      <c r="C405" s="137" t="s">
        <v>184</v>
      </c>
      <c r="D405" s="138">
        <v>974.3</v>
      </c>
      <c r="E405" s="138">
        <v>58.46</v>
      </c>
      <c r="G405" s="308" t="s">
        <v>378</v>
      </c>
      <c r="I405" s="138">
        <v>974.3</v>
      </c>
      <c r="J405" s="137" t="s">
        <v>2265</v>
      </c>
      <c r="K405" s="138">
        <f t="shared" si="15"/>
        <v>0</v>
      </c>
    </row>
    <row r="406" spans="1:11">
      <c r="A406" s="136">
        <v>42391</v>
      </c>
      <c r="B406" s="307" t="s">
        <v>1549</v>
      </c>
      <c r="C406" s="137" t="s">
        <v>184</v>
      </c>
      <c r="D406" s="138">
        <v>29.52</v>
      </c>
      <c r="G406" s="308" t="s">
        <v>373</v>
      </c>
      <c r="I406" s="138">
        <v>29.52</v>
      </c>
      <c r="J406" s="137" t="s">
        <v>2266</v>
      </c>
      <c r="K406" s="138">
        <f t="shared" si="15"/>
        <v>0</v>
      </c>
    </row>
    <row r="407" spans="1:11">
      <c r="A407" s="136">
        <v>42391</v>
      </c>
      <c r="B407" s="307" t="s">
        <v>2193</v>
      </c>
      <c r="C407" s="137" t="s">
        <v>187</v>
      </c>
      <c r="D407" s="138">
        <v>568.12</v>
      </c>
      <c r="E407" s="138">
        <v>29.62</v>
      </c>
      <c r="G407" s="308" t="s">
        <v>373</v>
      </c>
      <c r="I407" s="138">
        <v>568.12</v>
      </c>
      <c r="J407" s="137" t="s">
        <v>2046</v>
      </c>
      <c r="K407" s="138">
        <f t="shared" si="15"/>
        <v>0</v>
      </c>
    </row>
    <row r="408" spans="1:11">
      <c r="A408" s="136">
        <v>42394</v>
      </c>
      <c r="B408" s="307" t="s">
        <v>1560</v>
      </c>
      <c r="C408" s="137" t="s">
        <v>372</v>
      </c>
      <c r="D408" s="138">
        <v>24.42</v>
      </c>
      <c r="E408" s="138">
        <v>1.27</v>
      </c>
      <c r="G408" s="308" t="s">
        <v>373</v>
      </c>
      <c r="I408" s="138">
        <v>24.42</v>
      </c>
      <c r="J408" s="137" t="s">
        <v>2277</v>
      </c>
      <c r="K408" s="138">
        <f t="shared" si="15"/>
        <v>0</v>
      </c>
    </row>
    <row r="409" spans="1:11">
      <c r="A409" s="136">
        <v>42394</v>
      </c>
      <c r="B409" s="307" t="s">
        <v>1919</v>
      </c>
      <c r="C409" s="137" t="s">
        <v>372</v>
      </c>
      <c r="D409" s="138">
        <v>59.51</v>
      </c>
      <c r="E409" s="138">
        <v>3.1</v>
      </c>
      <c r="G409" s="308" t="s">
        <v>378</v>
      </c>
      <c r="I409" s="138">
        <v>59.51</v>
      </c>
      <c r="K409" s="138">
        <f t="shared" si="15"/>
        <v>0</v>
      </c>
    </row>
    <row r="410" spans="1:11">
      <c r="A410" s="136">
        <v>42395</v>
      </c>
      <c r="B410" s="307" t="s">
        <v>2141</v>
      </c>
      <c r="C410" s="137" t="s">
        <v>183</v>
      </c>
      <c r="D410" s="138">
        <v>1630.51</v>
      </c>
      <c r="E410" s="138">
        <v>107.19</v>
      </c>
      <c r="G410" s="308" t="s">
        <v>378</v>
      </c>
      <c r="K410" s="138">
        <f t="shared" si="15"/>
        <v>1630.51</v>
      </c>
    </row>
    <row r="411" spans="1:11">
      <c r="A411" s="136">
        <v>42395</v>
      </c>
      <c r="B411" s="307" t="s">
        <v>1899</v>
      </c>
      <c r="C411" s="137" t="s">
        <v>186</v>
      </c>
      <c r="D411" s="138">
        <v>656.15</v>
      </c>
      <c r="E411" s="138">
        <v>41.11</v>
      </c>
      <c r="G411" s="308" t="s">
        <v>373</v>
      </c>
      <c r="I411" s="138">
        <v>656.15</v>
      </c>
      <c r="J411" s="137" t="s">
        <v>1529</v>
      </c>
      <c r="K411" s="138">
        <f t="shared" si="15"/>
        <v>0</v>
      </c>
    </row>
    <row r="412" spans="1:11">
      <c r="A412" s="136">
        <v>42395</v>
      </c>
      <c r="B412" s="307" t="s">
        <v>1900</v>
      </c>
      <c r="C412" s="137" t="s">
        <v>186</v>
      </c>
      <c r="D412" s="138">
        <v>21.95</v>
      </c>
      <c r="E412" s="138">
        <v>1.1399999999999999</v>
      </c>
      <c r="G412" s="308" t="s">
        <v>373</v>
      </c>
      <c r="I412" s="138">
        <v>21.95</v>
      </c>
      <c r="J412" s="137" t="s">
        <v>1901</v>
      </c>
      <c r="K412" s="138">
        <f t="shared" si="15"/>
        <v>0</v>
      </c>
    </row>
    <row r="413" spans="1:11">
      <c r="A413" s="136">
        <v>42395</v>
      </c>
      <c r="B413" s="307" t="s">
        <v>1912</v>
      </c>
      <c r="C413" s="137" t="s">
        <v>372</v>
      </c>
      <c r="D413" s="138">
        <v>16.489999999999998</v>
      </c>
      <c r="E413" s="138">
        <v>0.86</v>
      </c>
      <c r="G413" s="308" t="s">
        <v>373</v>
      </c>
      <c r="I413" s="138">
        <v>16.489999999999998</v>
      </c>
      <c r="J413" s="137" t="s">
        <v>2277</v>
      </c>
      <c r="K413" s="138">
        <f t="shared" ref="K413:K476" si="16">IF(D413&lt;&gt;"",D413-I413,"")</f>
        <v>0</v>
      </c>
    </row>
    <row r="414" spans="1:11">
      <c r="A414" s="136">
        <v>42395</v>
      </c>
      <c r="B414" s="307" t="s">
        <v>1909</v>
      </c>
      <c r="C414" s="137" t="s">
        <v>372</v>
      </c>
      <c r="D414" s="138">
        <v>43.73</v>
      </c>
      <c r="E414" s="138">
        <v>2.2799999999999998</v>
      </c>
      <c r="G414" s="308" t="s">
        <v>378</v>
      </c>
      <c r="I414" s="138">
        <v>43.73</v>
      </c>
      <c r="K414" s="138">
        <f t="shared" si="16"/>
        <v>0</v>
      </c>
    </row>
    <row r="415" spans="1:11">
      <c r="A415" s="136">
        <v>42396</v>
      </c>
      <c r="B415" s="307" t="s">
        <v>1905</v>
      </c>
      <c r="C415" s="137" t="s">
        <v>372</v>
      </c>
      <c r="D415" s="138">
        <v>16.71</v>
      </c>
      <c r="E415" s="138">
        <v>0.87</v>
      </c>
      <c r="G415" s="308" t="s">
        <v>373</v>
      </c>
      <c r="I415" s="138">
        <v>16.71</v>
      </c>
      <c r="J415" s="137" t="s">
        <v>2277</v>
      </c>
      <c r="K415" s="138">
        <f t="shared" si="16"/>
        <v>0</v>
      </c>
    </row>
    <row r="416" spans="1:11">
      <c r="A416" s="136">
        <v>42396</v>
      </c>
      <c r="B416" s="307" t="s">
        <v>1917</v>
      </c>
      <c r="C416" s="137" t="s">
        <v>187</v>
      </c>
      <c r="D416" s="138">
        <v>1663.31</v>
      </c>
      <c r="E416" s="138">
        <v>112.85</v>
      </c>
      <c r="G416" s="308" t="s">
        <v>378</v>
      </c>
      <c r="I416" s="138">
        <v>1662.31</v>
      </c>
      <c r="J416" s="137" t="s">
        <v>1918</v>
      </c>
      <c r="K416" s="138">
        <f t="shared" si="16"/>
        <v>1</v>
      </c>
    </row>
    <row r="417" spans="1:11">
      <c r="A417" s="136">
        <v>42396</v>
      </c>
      <c r="B417" s="307" t="s">
        <v>2194</v>
      </c>
      <c r="C417" s="137" t="s">
        <v>188</v>
      </c>
      <c r="D417" s="138">
        <v>431.62</v>
      </c>
      <c r="E417" s="138">
        <v>22.5</v>
      </c>
      <c r="G417" s="308" t="s">
        <v>373</v>
      </c>
      <c r="K417" s="138">
        <f t="shared" si="16"/>
        <v>431.62</v>
      </c>
    </row>
    <row r="418" spans="1:11">
      <c r="A418" s="136">
        <v>42397</v>
      </c>
      <c r="B418" s="307" t="s">
        <v>1904</v>
      </c>
      <c r="C418" s="137" t="s">
        <v>372</v>
      </c>
      <c r="D418" s="138">
        <v>18.38</v>
      </c>
      <c r="E418" s="138">
        <v>0.96</v>
      </c>
      <c r="G418" s="308" t="s">
        <v>373</v>
      </c>
      <c r="I418" s="138">
        <v>18.38</v>
      </c>
      <c r="J418" s="137" t="s">
        <v>2277</v>
      </c>
      <c r="K418" s="138">
        <f t="shared" si="16"/>
        <v>0</v>
      </c>
    </row>
    <row r="419" spans="1:11">
      <c r="A419" s="136">
        <v>42397</v>
      </c>
      <c r="B419" s="307" t="s">
        <v>1910</v>
      </c>
      <c r="C419" s="137" t="s">
        <v>372</v>
      </c>
      <c r="D419" s="138">
        <v>59.89</v>
      </c>
      <c r="E419" s="138">
        <v>3.12</v>
      </c>
      <c r="G419" s="308" t="s">
        <v>378</v>
      </c>
      <c r="I419" s="138">
        <v>59.89</v>
      </c>
      <c r="K419" s="138">
        <f t="shared" si="16"/>
        <v>0</v>
      </c>
    </row>
    <row r="420" spans="1:11">
      <c r="A420" s="136">
        <v>42397</v>
      </c>
      <c r="B420" s="307" t="s">
        <v>1916</v>
      </c>
      <c r="C420" s="137" t="s">
        <v>186</v>
      </c>
      <c r="D420" s="138">
        <v>1621.66</v>
      </c>
      <c r="E420" s="138">
        <v>90.17</v>
      </c>
      <c r="G420" s="308" t="s">
        <v>378</v>
      </c>
      <c r="I420" s="138">
        <v>1621.66</v>
      </c>
      <c r="K420" s="138">
        <f t="shared" si="16"/>
        <v>0</v>
      </c>
    </row>
    <row r="421" spans="1:11">
      <c r="A421" s="136">
        <v>42397</v>
      </c>
      <c r="B421" s="307" t="s">
        <v>1907</v>
      </c>
      <c r="C421" s="137" t="s">
        <v>1973</v>
      </c>
      <c r="D421" s="390">
        <v>160.36000000000001</v>
      </c>
      <c r="E421" s="390">
        <v>8.36</v>
      </c>
      <c r="F421" s="391"/>
      <c r="G421" s="308" t="s">
        <v>378</v>
      </c>
      <c r="I421" s="390">
        <v>160.36000000000001</v>
      </c>
      <c r="J421" s="137" t="s">
        <v>1974</v>
      </c>
      <c r="K421" s="138">
        <f t="shared" si="16"/>
        <v>0</v>
      </c>
    </row>
    <row r="422" spans="1:11">
      <c r="A422" s="136">
        <v>42397</v>
      </c>
      <c r="B422" s="307" t="s">
        <v>1995</v>
      </c>
      <c r="C422" s="137" t="s">
        <v>183</v>
      </c>
      <c r="D422" s="138">
        <v>290.64999999999998</v>
      </c>
      <c r="E422" s="138">
        <v>0</v>
      </c>
      <c r="G422" s="308" t="s">
        <v>373</v>
      </c>
      <c r="I422" s="138">
        <v>290.64999999999998</v>
      </c>
      <c r="J422" s="137" t="s">
        <v>2534</v>
      </c>
      <c r="K422" s="138">
        <f t="shared" si="16"/>
        <v>0</v>
      </c>
    </row>
    <row r="423" spans="1:11">
      <c r="A423" s="136">
        <v>42398</v>
      </c>
      <c r="B423" s="307" t="s">
        <v>1898</v>
      </c>
      <c r="C423" s="137" t="s">
        <v>184</v>
      </c>
      <c r="D423" s="138">
        <v>979.94</v>
      </c>
      <c r="E423" s="138">
        <v>97.04</v>
      </c>
      <c r="G423" s="308" t="s">
        <v>378</v>
      </c>
      <c r="I423" s="138">
        <v>979.94</v>
      </c>
      <c r="J423" s="137" t="s">
        <v>2565</v>
      </c>
      <c r="K423" s="138">
        <f t="shared" si="16"/>
        <v>0</v>
      </c>
    </row>
    <row r="424" spans="1:11">
      <c r="A424" s="136">
        <v>42398</v>
      </c>
      <c r="B424" s="307" t="s">
        <v>1902</v>
      </c>
      <c r="C424" s="137" t="s">
        <v>372</v>
      </c>
      <c r="D424" s="138">
        <v>26.7</v>
      </c>
      <c r="E424" s="138">
        <v>1.39</v>
      </c>
      <c r="G424" s="308" t="s">
        <v>373</v>
      </c>
      <c r="I424" s="138">
        <v>26.7</v>
      </c>
      <c r="J424" s="137" t="s">
        <v>2277</v>
      </c>
      <c r="K424" s="138">
        <f t="shared" si="16"/>
        <v>0</v>
      </c>
    </row>
    <row r="425" spans="1:11">
      <c r="A425" s="136">
        <v>42398</v>
      </c>
      <c r="B425" s="307" t="s">
        <v>1903</v>
      </c>
      <c r="C425" s="137" t="s">
        <v>184</v>
      </c>
      <c r="D425" s="138">
        <v>123.67</v>
      </c>
      <c r="E425" s="138">
        <v>6.45</v>
      </c>
      <c r="G425" s="308" t="s">
        <v>373</v>
      </c>
      <c r="I425" s="138">
        <v>123.67</v>
      </c>
      <c r="J425" s="137" t="s">
        <v>2266</v>
      </c>
      <c r="K425" s="138">
        <f t="shared" si="16"/>
        <v>0</v>
      </c>
    </row>
    <row r="426" spans="1:11">
      <c r="A426" s="136">
        <v>42398</v>
      </c>
      <c r="B426" s="307" t="s">
        <v>1897</v>
      </c>
      <c r="C426" s="137" t="s">
        <v>372</v>
      </c>
      <c r="D426" s="138">
        <v>48.16</v>
      </c>
      <c r="E426" s="138">
        <v>2.5099999999999998</v>
      </c>
      <c r="G426" s="308" t="s">
        <v>378</v>
      </c>
      <c r="I426" s="138">
        <v>48.16</v>
      </c>
      <c r="K426" s="138">
        <f t="shared" si="16"/>
        <v>0</v>
      </c>
    </row>
    <row r="427" spans="1:11">
      <c r="A427" s="136">
        <v>42398</v>
      </c>
      <c r="B427" s="307" t="s">
        <v>1975</v>
      </c>
      <c r="C427" s="137" t="s">
        <v>187</v>
      </c>
      <c r="D427" s="138">
        <v>629.44000000000005</v>
      </c>
      <c r="E427" s="138">
        <v>43.04</v>
      </c>
      <c r="G427" s="308" t="s">
        <v>373</v>
      </c>
      <c r="I427" s="138">
        <v>629.44000000000005</v>
      </c>
      <c r="J427" s="137" t="s">
        <v>1976</v>
      </c>
      <c r="K427" s="138">
        <f t="shared" si="16"/>
        <v>0</v>
      </c>
    </row>
    <row r="428" spans="1:11">
      <c r="A428" s="136">
        <v>42398</v>
      </c>
      <c r="B428" s="307" t="s">
        <v>1989</v>
      </c>
      <c r="C428" s="137" t="s">
        <v>424</v>
      </c>
      <c r="D428" s="138">
        <v>601.85</v>
      </c>
      <c r="E428" s="138">
        <v>100.31</v>
      </c>
      <c r="G428" s="308" t="s">
        <v>373</v>
      </c>
      <c r="I428" s="138">
        <v>601.85</v>
      </c>
      <c r="J428" s="137" t="s">
        <v>2535</v>
      </c>
      <c r="K428" s="138">
        <f t="shared" si="16"/>
        <v>0</v>
      </c>
    </row>
    <row r="429" spans="1:11">
      <c r="A429" s="136">
        <v>42399</v>
      </c>
      <c r="B429" s="307" t="s">
        <v>1929</v>
      </c>
      <c r="C429" s="137" t="s">
        <v>372</v>
      </c>
      <c r="D429" s="378">
        <v>94.15</v>
      </c>
      <c r="E429" s="378">
        <v>4.91</v>
      </c>
      <c r="F429" s="309"/>
      <c r="G429" s="308" t="s">
        <v>378</v>
      </c>
      <c r="I429" s="378">
        <v>94.15</v>
      </c>
      <c r="K429" s="138">
        <f t="shared" si="16"/>
        <v>0</v>
      </c>
    </row>
    <row r="430" spans="1:11">
      <c r="A430" s="136">
        <v>42401</v>
      </c>
      <c r="B430" s="307" t="s">
        <v>1920</v>
      </c>
      <c r="C430" s="137" t="s">
        <v>372</v>
      </c>
      <c r="D430" s="138">
        <v>68.8</v>
      </c>
      <c r="E430" s="138">
        <v>3.59</v>
      </c>
      <c r="G430" s="308" t="s">
        <v>378</v>
      </c>
      <c r="I430" s="138">
        <v>68.8</v>
      </c>
      <c r="J430" s="137" t="s">
        <v>2278</v>
      </c>
      <c r="K430" s="138">
        <f t="shared" si="16"/>
        <v>0</v>
      </c>
    </row>
    <row r="431" spans="1:11">
      <c r="A431" s="136">
        <v>42401</v>
      </c>
      <c r="B431" s="307" t="s">
        <v>1982</v>
      </c>
      <c r="C431" s="137" t="s">
        <v>182</v>
      </c>
      <c r="D431" s="138">
        <v>508.86</v>
      </c>
      <c r="E431" s="138">
        <v>26.53</v>
      </c>
      <c r="G431" s="308" t="s">
        <v>373</v>
      </c>
      <c r="I431" s="138">
        <v>508.86</v>
      </c>
      <c r="J431" s="137" t="s">
        <v>1983</v>
      </c>
      <c r="K431" s="138">
        <f t="shared" si="16"/>
        <v>0</v>
      </c>
    </row>
    <row r="432" spans="1:11">
      <c r="A432" s="136">
        <v>42402</v>
      </c>
      <c r="B432" s="307" t="s">
        <v>1930</v>
      </c>
      <c r="C432" s="137" t="s">
        <v>372</v>
      </c>
      <c r="D432" s="378">
        <v>63.3</v>
      </c>
      <c r="E432" s="378">
        <v>3.3</v>
      </c>
      <c r="F432" s="309"/>
      <c r="G432" s="308" t="s">
        <v>378</v>
      </c>
      <c r="I432" s="378">
        <v>63.3</v>
      </c>
      <c r="J432" s="137" t="s">
        <v>2278</v>
      </c>
      <c r="K432" s="138">
        <f t="shared" si="16"/>
        <v>0</v>
      </c>
    </row>
    <row r="433" spans="1:11">
      <c r="A433" s="136">
        <v>42402</v>
      </c>
      <c r="B433" s="307" t="s">
        <v>1981</v>
      </c>
      <c r="C433" s="137" t="s">
        <v>372</v>
      </c>
      <c r="D433" s="138">
        <v>23.17</v>
      </c>
      <c r="E433" s="138">
        <v>1.21</v>
      </c>
      <c r="G433" s="308" t="s">
        <v>373</v>
      </c>
      <c r="I433" s="138">
        <v>23.17</v>
      </c>
      <c r="J433" s="137" t="s">
        <v>2277</v>
      </c>
      <c r="K433" s="138">
        <f t="shared" si="16"/>
        <v>0</v>
      </c>
    </row>
    <row r="434" spans="1:11">
      <c r="A434" s="136">
        <v>42402</v>
      </c>
      <c r="B434" s="307" t="s">
        <v>2011</v>
      </c>
      <c r="C434" s="137" t="s">
        <v>186</v>
      </c>
      <c r="D434" s="138">
        <v>492.7</v>
      </c>
      <c r="E434" s="138">
        <v>37.96</v>
      </c>
      <c r="G434" s="308" t="s">
        <v>373</v>
      </c>
      <c r="I434" s="138">
        <v>492.7</v>
      </c>
      <c r="J434" s="137" t="s">
        <v>2012</v>
      </c>
      <c r="K434" s="138">
        <f t="shared" si="16"/>
        <v>0</v>
      </c>
    </row>
    <row r="435" spans="1:11">
      <c r="A435" s="136">
        <v>42402</v>
      </c>
      <c r="B435" s="307" t="s">
        <v>2014</v>
      </c>
      <c r="C435" s="137" t="s">
        <v>186</v>
      </c>
      <c r="D435" s="138">
        <v>16.329999999999998</v>
      </c>
      <c r="E435" s="138">
        <v>16.329999999999998</v>
      </c>
      <c r="G435" s="308" t="s">
        <v>373</v>
      </c>
      <c r="I435" s="138">
        <v>16.329999999999998</v>
      </c>
      <c r="J435" s="137" t="s">
        <v>1527</v>
      </c>
      <c r="K435" s="138">
        <f t="shared" si="16"/>
        <v>0</v>
      </c>
    </row>
    <row r="436" spans="1:11">
      <c r="A436" s="136">
        <v>42402</v>
      </c>
      <c r="B436" s="307" t="s">
        <v>2209</v>
      </c>
      <c r="C436" s="137" t="s">
        <v>183</v>
      </c>
      <c r="D436" s="138">
        <v>2809.98</v>
      </c>
      <c r="G436" s="308" t="s">
        <v>378</v>
      </c>
      <c r="J436" s="137" t="s">
        <v>2210</v>
      </c>
      <c r="K436" s="138">
        <f t="shared" si="16"/>
        <v>2809.98</v>
      </c>
    </row>
    <row r="437" spans="1:11">
      <c r="A437" s="136">
        <v>42403</v>
      </c>
      <c r="B437" s="307" t="s">
        <v>1990</v>
      </c>
      <c r="C437" s="137" t="s">
        <v>187</v>
      </c>
      <c r="D437" s="138">
        <v>1460.7</v>
      </c>
      <c r="E437" s="138">
        <v>89.73</v>
      </c>
      <c r="G437" s="308" t="s">
        <v>378</v>
      </c>
      <c r="I437" s="138">
        <v>1460.7</v>
      </c>
      <c r="J437" s="137" t="s">
        <v>1991</v>
      </c>
      <c r="K437" s="138">
        <f t="shared" si="16"/>
        <v>0</v>
      </c>
    </row>
    <row r="438" spans="1:11">
      <c r="A438" s="136">
        <v>42403</v>
      </c>
      <c r="B438" s="307" t="s">
        <v>1980</v>
      </c>
      <c r="C438" s="137" t="s">
        <v>372</v>
      </c>
      <c r="D438" s="138">
        <v>23.8</v>
      </c>
      <c r="E438" s="138">
        <v>1.24</v>
      </c>
      <c r="G438" s="308" t="s">
        <v>373</v>
      </c>
      <c r="I438" s="138">
        <v>23.8</v>
      </c>
      <c r="J438" s="137" t="s">
        <v>2277</v>
      </c>
      <c r="K438" s="138">
        <f t="shared" si="16"/>
        <v>0</v>
      </c>
    </row>
    <row r="439" spans="1:11">
      <c r="A439" s="136">
        <v>42404</v>
      </c>
      <c r="B439" s="307" t="s">
        <v>1977</v>
      </c>
      <c r="C439" s="137" t="s">
        <v>372</v>
      </c>
      <c r="D439" s="138">
        <v>25.17</v>
      </c>
      <c r="E439" s="138">
        <v>1.31</v>
      </c>
      <c r="G439" s="308" t="s">
        <v>373</v>
      </c>
      <c r="I439" s="138">
        <v>25.17</v>
      </c>
      <c r="J439" s="137" t="s">
        <v>2277</v>
      </c>
      <c r="K439" s="138">
        <f t="shared" si="16"/>
        <v>0</v>
      </c>
    </row>
    <row r="440" spans="1:11">
      <c r="A440" s="136">
        <v>42404</v>
      </c>
      <c r="B440" s="307" t="s">
        <v>2004</v>
      </c>
      <c r="C440" s="137" t="s">
        <v>183</v>
      </c>
      <c r="D440" s="138">
        <v>416.3</v>
      </c>
      <c r="E440" s="138">
        <v>25.36</v>
      </c>
      <c r="G440" s="308" t="s">
        <v>373</v>
      </c>
      <c r="I440" s="138">
        <v>416.3</v>
      </c>
      <c r="J440" s="137" t="s">
        <v>2534</v>
      </c>
      <c r="K440" s="138">
        <f t="shared" si="16"/>
        <v>0</v>
      </c>
    </row>
    <row r="441" spans="1:11">
      <c r="A441" s="136">
        <v>42404</v>
      </c>
      <c r="B441" s="307" t="s">
        <v>2013</v>
      </c>
      <c r="C441" s="137" t="s">
        <v>186</v>
      </c>
      <c r="D441" s="138">
        <v>888.27</v>
      </c>
      <c r="E441" s="138">
        <v>52.67</v>
      </c>
      <c r="G441" s="308" t="s">
        <v>378</v>
      </c>
      <c r="I441" s="138">
        <v>888.27</v>
      </c>
      <c r="J441" s="137" t="s">
        <v>1559</v>
      </c>
      <c r="K441" s="138">
        <f t="shared" si="16"/>
        <v>0</v>
      </c>
    </row>
    <row r="442" spans="1:11">
      <c r="A442" s="136">
        <v>42404</v>
      </c>
      <c r="B442" s="307" t="s">
        <v>2024</v>
      </c>
      <c r="C442" s="137" t="s">
        <v>372</v>
      </c>
      <c r="D442" s="138">
        <v>70.61</v>
      </c>
      <c r="E442" s="378">
        <v>3.68</v>
      </c>
      <c r="G442" s="308" t="s">
        <v>378</v>
      </c>
      <c r="I442" s="138">
        <v>70.61</v>
      </c>
      <c r="J442" s="137" t="s">
        <v>2278</v>
      </c>
      <c r="K442" s="138">
        <f t="shared" si="16"/>
        <v>0</v>
      </c>
    </row>
    <row r="443" spans="1:11">
      <c r="A443" s="136">
        <v>42405</v>
      </c>
      <c r="B443" s="307" t="s">
        <v>1978</v>
      </c>
      <c r="C443" s="137" t="s">
        <v>372</v>
      </c>
      <c r="D443" s="138">
        <v>65.41</v>
      </c>
      <c r="E443" s="138">
        <v>3.41</v>
      </c>
      <c r="F443" s="309"/>
      <c r="G443" s="308" t="s">
        <v>378</v>
      </c>
      <c r="I443" s="138">
        <v>65.41</v>
      </c>
      <c r="J443" s="137" t="s">
        <v>2278</v>
      </c>
      <c r="K443" s="138">
        <f t="shared" si="16"/>
        <v>0</v>
      </c>
    </row>
    <row r="444" spans="1:11">
      <c r="A444" s="136">
        <v>42405</v>
      </c>
      <c r="B444" s="307" t="s">
        <v>1979</v>
      </c>
      <c r="C444" s="137" t="s">
        <v>184</v>
      </c>
      <c r="D444" s="138">
        <v>921.96</v>
      </c>
      <c r="E444" s="138">
        <v>66.52</v>
      </c>
      <c r="G444" s="308" t="s">
        <v>378</v>
      </c>
      <c r="I444" s="138">
        <v>921.96</v>
      </c>
      <c r="J444" s="137" t="s">
        <v>2565</v>
      </c>
      <c r="K444" s="138">
        <f t="shared" si="16"/>
        <v>0</v>
      </c>
    </row>
    <row r="445" spans="1:11">
      <c r="A445" s="136">
        <v>42405</v>
      </c>
      <c r="B445" s="307" t="s">
        <v>1984</v>
      </c>
      <c r="C445" s="137" t="s">
        <v>184</v>
      </c>
      <c r="D445" s="138">
        <v>73.959999999999994</v>
      </c>
      <c r="E445" s="138">
        <v>3.86</v>
      </c>
      <c r="G445" s="308" t="s">
        <v>373</v>
      </c>
      <c r="I445" s="138">
        <v>73.959999999999994</v>
      </c>
      <c r="J445" s="137" t="s">
        <v>2266</v>
      </c>
      <c r="K445" s="138">
        <f t="shared" si="16"/>
        <v>0</v>
      </c>
    </row>
    <row r="446" spans="1:11">
      <c r="A446" s="136">
        <v>42405</v>
      </c>
      <c r="B446" s="307" t="s">
        <v>2027</v>
      </c>
      <c r="C446" s="137" t="s">
        <v>187</v>
      </c>
      <c r="D446" s="138">
        <v>651.65</v>
      </c>
      <c r="E446" s="138">
        <v>44.2</v>
      </c>
      <c r="G446" s="308" t="s">
        <v>373</v>
      </c>
      <c r="J446" s="137" t="s">
        <v>2028</v>
      </c>
      <c r="K446" s="138">
        <f t="shared" si="16"/>
        <v>651.65</v>
      </c>
    </row>
    <row r="447" spans="1:11">
      <c r="A447" s="136">
        <v>42408</v>
      </c>
      <c r="B447" s="307" t="s">
        <v>1992</v>
      </c>
      <c r="C447" s="137" t="s">
        <v>372</v>
      </c>
      <c r="D447" s="138">
        <v>154</v>
      </c>
      <c r="E447" s="138">
        <v>8.0299999999999994</v>
      </c>
      <c r="G447" s="308" t="s">
        <v>378</v>
      </c>
      <c r="I447" s="138">
        <v>154</v>
      </c>
      <c r="J447" s="137" t="s">
        <v>2278</v>
      </c>
      <c r="K447" s="138">
        <f t="shared" si="16"/>
        <v>0</v>
      </c>
    </row>
    <row r="448" spans="1:11">
      <c r="A448" s="136">
        <v>42408</v>
      </c>
      <c r="B448" s="307" t="s">
        <v>2001</v>
      </c>
      <c r="C448" s="137" t="s">
        <v>372</v>
      </c>
      <c r="D448" s="138">
        <v>10.55</v>
      </c>
      <c r="E448" s="138">
        <v>0.55000000000000004</v>
      </c>
      <c r="G448" s="308" t="s">
        <v>378</v>
      </c>
      <c r="I448" s="138">
        <v>10.55</v>
      </c>
      <c r="J448" s="137" t="s">
        <v>2278</v>
      </c>
      <c r="K448" s="138">
        <f t="shared" si="16"/>
        <v>0</v>
      </c>
    </row>
    <row r="449" spans="1:11">
      <c r="A449" s="136">
        <v>42408</v>
      </c>
      <c r="B449" s="307" t="s">
        <v>2015</v>
      </c>
      <c r="C449" s="137" t="s">
        <v>372</v>
      </c>
      <c r="D449" s="138">
        <v>23.53</v>
      </c>
      <c r="E449" s="138">
        <v>1.23</v>
      </c>
      <c r="G449" s="308" t="s">
        <v>373</v>
      </c>
      <c r="I449" s="138">
        <v>23.53</v>
      </c>
      <c r="J449" s="137" t="s">
        <v>2277</v>
      </c>
      <c r="K449" s="138">
        <f t="shared" si="16"/>
        <v>0</v>
      </c>
    </row>
    <row r="450" spans="1:11">
      <c r="A450" s="136">
        <v>42409</v>
      </c>
      <c r="B450" s="307" t="s">
        <v>2010</v>
      </c>
      <c r="C450" s="137" t="s">
        <v>183</v>
      </c>
      <c r="D450" s="138">
        <v>1774.99</v>
      </c>
      <c r="E450" s="138">
        <v>104.38</v>
      </c>
      <c r="G450" s="308" t="s">
        <v>378</v>
      </c>
      <c r="K450" s="138">
        <f t="shared" si="16"/>
        <v>1774.99</v>
      </c>
    </row>
    <row r="451" spans="1:11">
      <c r="A451" s="136">
        <v>42409</v>
      </c>
      <c r="B451" s="307" t="s">
        <v>2017</v>
      </c>
      <c r="C451" s="137" t="s">
        <v>372</v>
      </c>
      <c r="D451" s="138">
        <v>23.23</v>
      </c>
      <c r="E451" s="138">
        <v>1.21</v>
      </c>
      <c r="G451" s="308" t="s">
        <v>373</v>
      </c>
      <c r="I451" s="138">
        <v>23.23</v>
      </c>
      <c r="J451" s="137" t="s">
        <v>2277</v>
      </c>
      <c r="K451" s="138">
        <f t="shared" si="16"/>
        <v>0</v>
      </c>
    </row>
    <row r="452" spans="1:11">
      <c r="A452" s="136">
        <v>42409</v>
      </c>
      <c r="B452" s="307" t="s">
        <v>2018</v>
      </c>
      <c r="C452" s="137" t="s">
        <v>372</v>
      </c>
      <c r="D452" s="138">
        <v>64.680000000000007</v>
      </c>
      <c r="E452" s="138">
        <v>3.37</v>
      </c>
      <c r="G452" s="308" t="s">
        <v>378</v>
      </c>
      <c r="I452" s="138">
        <v>64.680000000000007</v>
      </c>
      <c r="J452" s="137" t="s">
        <v>2278</v>
      </c>
      <c r="K452" s="138">
        <f t="shared" si="16"/>
        <v>0</v>
      </c>
    </row>
    <row r="453" spans="1:11">
      <c r="A453" s="136">
        <v>42409</v>
      </c>
      <c r="B453" s="307" t="s">
        <v>2019</v>
      </c>
      <c r="C453" s="137" t="s">
        <v>1973</v>
      </c>
      <c r="D453" s="138">
        <v>160.36000000000001</v>
      </c>
      <c r="E453" s="138">
        <v>8.36</v>
      </c>
      <c r="G453" s="308" t="s">
        <v>378</v>
      </c>
      <c r="I453" s="138">
        <v>160.36000000000001</v>
      </c>
      <c r="J453" s="137" t="s">
        <v>2020</v>
      </c>
      <c r="K453" s="138">
        <f t="shared" si="16"/>
        <v>0</v>
      </c>
    </row>
    <row r="454" spans="1:11">
      <c r="A454" s="136">
        <v>42409</v>
      </c>
      <c r="B454" s="307" t="s">
        <v>2029</v>
      </c>
      <c r="C454" s="137" t="s">
        <v>186</v>
      </c>
      <c r="D454" s="138">
        <v>889.56</v>
      </c>
      <c r="E454" s="138">
        <v>66.95</v>
      </c>
      <c r="G454" s="308" t="s">
        <v>373</v>
      </c>
      <c r="I454" s="138">
        <v>889.56</v>
      </c>
      <c r="J454" s="137" t="s">
        <v>2012</v>
      </c>
      <c r="K454" s="138">
        <f t="shared" si="16"/>
        <v>0</v>
      </c>
    </row>
    <row r="455" spans="1:11">
      <c r="A455" s="136">
        <v>42409</v>
      </c>
      <c r="B455" s="307" t="s">
        <v>2030</v>
      </c>
      <c r="C455" s="137" t="s">
        <v>188</v>
      </c>
      <c r="D455" s="138">
        <v>431.62</v>
      </c>
      <c r="E455" s="138">
        <v>22.5</v>
      </c>
      <c r="G455" s="308" t="s">
        <v>373</v>
      </c>
      <c r="K455" s="138">
        <f t="shared" si="16"/>
        <v>431.62</v>
      </c>
    </row>
    <row r="456" spans="1:11">
      <c r="A456" s="136">
        <v>42410</v>
      </c>
      <c r="B456" s="307" t="s">
        <v>2021</v>
      </c>
      <c r="C456" s="137" t="s">
        <v>372</v>
      </c>
      <c r="D456" s="138">
        <v>15.92</v>
      </c>
      <c r="E456" s="138">
        <v>0.83</v>
      </c>
      <c r="G456" s="308" t="s">
        <v>373</v>
      </c>
      <c r="I456" s="138">
        <v>15.92</v>
      </c>
      <c r="J456" s="137" t="s">
        <v>2277</v>
      </c>
      <c r="K456" s="138">
        <f t="shared" si="16"/>
        <v>0</v>
      </c>
    </row>
    <row r="457" spans="1:11">
      <c r="A457" s="136">
        <v>42410</v>
      </c>
      <c r="B457" s="307" t="s">
        <v>2023</v>
      </c>
      <c r="C457" s="137" t="s">
        <v>182</v>
      </c>
      <c r="D457" s="390">
        <v>533.47</v>
      </c>
      <c r="E457" s="390">
        <v>27.81</v>
      </c>
      <c r="F457" s="391"/>
      <c r="G457" s="308" t="s">
        <v>378</v>
      </c>
      <c r="I457" s="390">
        <v>533.47</v>
      </c>
      <c r="J457" s="137" t="s">
        <v>2263</v>
      </c>
      <c r="K457" s="138">
        <f t="shared" si="16"/>
        <v>0</v>
      </c>
    </row>
    <row r="458" spans="1:11">
      <c r="A458" s="136">
        <v>42411</v>
      </c>
      <c r="B458" s="307" t="s">
        <v>2016</v>
      </c>
      <c r="C458" s="137" t="s">
        <v>372</v>
      </c>
      <c r="D458" s="138">
        <v>69.87</v>
      </c>
      <c r="E458" s="138">
        <v>3.64</v>
      </c>
      <c r="G458" s="308" t="s">
        <v>378</v>
      </c>
      <c r="I458" s="138">
        <v>69.87</v>
      </c>
      <c r="J458" s="137" t="s">
        <v>2278</v>
      </c>
      <c r="K458" s="138">
        <f t="shared" si="16"/>
        <v>0</v>
      </c>
    </row>
    <row r="459" spans="1:11">
      <c r="A459" s="136">
        <v>42411</v>
      </c>
      <c r="B459" s="307" t="s">
        <v>2022</v>
      </c>
      <c r="C459" s="137" t="s">
        <v>372</v>
      </c>
      <c r="D459" s="138">
        <v>15.76</v>
      </c>
      <c r="E459" s="138">
        <v>0.82</v>
      </c>
      <c r="G459" s="308" t="s">
        <v>373</v>
      </c>
      <c r="I459" s="138">
        <v>15.76</v>
      </c>
      <c r="J459" s="137" t="s">
        <v>2277</v>
      </c>
      <c r="K459" s="138">
        <f t="shared" si="16"/>
        <v>0</v>
      </c>
    </row>
    <row r="460" spans="1:11">
      <c r="A460" s="136">
        <v>42411</v>
      </c>
      <c r="B460" s="307" t="s">
        <v>2038</v>
      </c>
      <c r="C460" s="137" t="s">
        <v>186</v>
      </c>
      <c r="D460" s="138">
        <v>473.55</v>
      </c>
      <c r="E460" s="138">
        <v>38.71</v>
      </c>
      <c r="G460" s="308" t="s">
        <v>378</v>
      </c>
      <c r="I460" s="138">
        <v>473.55</v>
      </c>
      <c r="J460" s="137" t="s">
        <v>1918</v>
      </c>
      <c r="K460" s="138">
        <f t="shared" si="16"/>
        <v>0</v>
      </c>
    </row>
    <row r="461" spans="1:11">
      <c r="A461" s="136">
        <v>42411</v>
      </c>
      <c r="B461" s="307" t="s">
        <v>2041</v>
      </c>
      <c r="C461" s="137" t="s">
        <v>183</v>
      </c>
      <c r="D461" s="138">
        <v>462.85</v>
      </c>
      <c r="E461" s="138">
        <v>33.17</v>
      </c>
      <c r="G461" s="308" t="s">
        <v>373</v>
      </c>
      <c r="I461" s="138">
        <v>462.85</v>
      </c>
      <c r="J461" s="137" t="s">
        <v>2534</v>
      </c>
      <c r="K461" s="138">
        <f t="shared" si="16"/>
        <v>0</v>
      </c>
    </row>
    <row r="462" spans="1:11">
      <c r="A462" s="136">
        <v>42412</v>
      </c>
      <c r="B462" s="307" t="s">
        <v>2003</v>
      </c>
      <c r="C462" s="137" t="s">
        <v>184</v>
      </c>
      <c r="D462" s="138">
        <v>1103.83</v>
      </c>
      <c r="E462" s="138">
        <v>88.88</v>
      </c>
      <c r="G462" s="308" t="s">
        <v>378</v>
      </c>
      <c r="I462" s="138">
        <v>1103.83</v>
      </c>
      <c r="J462" s="137" t="s">
        <v>2565</v>
      </c>
      <c r="K462" s="138">
        <f t="shared" si="16"/>
        <v>0</v>
      </c>
    </row>
    <row r="463" spans="1:11">
      <c r="A463" s="136">
        <v>42412</v>
      </c>
      <c r="B463" s="307" t="s">
        <v>2026</v>
      </c>
      <c r="C463" s="137" t="s">
        <v>184</v>
      </c>
      <c r="D463" s="138">
        <v>89.25</v>
      </c>
      <c r="E463" s="138">
        <v>4.6500000000000004</v>
      </c>
      <c r="G463" s="308" t="s">
        <v>373</v>
      </c>
      <c r="I463" s="138">
        <v>89.25</v>
      </c>
      <c r="J463" s="137" t="s">
        <v>2266</v>
      </c>
      <c r="K463" s="138">
        <f t="shared" si="16"/>
        <v>0</v>
      </c>
    </row>
    <row r="464" spans="1:11">
      <c r="A464" s="136">
        <v>42412</v>
      </c>
      <c r="B464" s="307" t="s">
        <v>2036</v>
      </c>
      <c r="C464" s="137" t="s">
        <v>187</v>
      </c>
      <c r="D464" s="138">
        <v>1471.83</v>
      </c>
      <c r="E464" s="138">
        <v>85.53</v>
      </c>
      <c r="G464" s="308" t="s">
        <v>378</v>
      </c>
      <c r="I464" s="138">
        <v>1471.83</v>
      </c>
      <c r="J464" s="137" t="s">
        <v>2037</v>
      </c>
      <c r="K464" s="138">
        <f t="shared" si="16"/>
        <v>0</v>
      </c>
    </row>
    <row r="465" spans="1:11">
      <c r="A465" s="136">
        <v>42412</v>
      </c>
      <c r="B465" s="307" t="s">
        <v>2039</v>
      </c>
      <c r="C465" s="137" t="s">
        <v>187</v>
      </c>
      <c r="D465" s="138">
        <v>701.71</v>
      </c>
      <c r="E465" s="138">
        <v>46.81</v>
      </c>
      <c r="G465" s="308" t="s">
        <v>373</v>
      </c>
      <c r="J465" s="137" t="s">
        <v>2040</v>
      </c>
      <c r="K465" s="138">
        <f t="shared" si="16"/>
        <v>701.71</v>
      </c>
    </row>
    <row r="466" spans="1:11">
      <c r="A466" s="136">
        <v>42413</v>
      </c>
      <c r="B466" s="307" t="s">
        <v>2000</v>
      </c>
      <c r="C466" s="137" t="s">
        <v>372</v>
      </c>
      <c r="D466" s="138">
        <v>171.37</v>
      </c>
      <c r="E466" s="138">
        <v>8.93</v>
      </c>
      <c r="G466" s="308" t="s">
        <v>378</v>
      </c>
      <c r="I466" s="138">
        <v>171.37</v>
      </c>
      <c r="J466" s="137" t="s">
        <v>2278</v>
      </c>
      <c r="K466" s="138">
        <f t="shared" si="16"/>
        <v>0</v>
      </c>
    </row>
    <row r="467" spans="1:11">
      <c r="A467" s="136">
        <v>42415</v>
      </c>
      <c r="B467" s="307" t="s">
        <v>2002</v>
      </c>
      <c r="C467" s="137" t="s">
        <v>372</v>
      </c>
      <c r="D467" s="138">
        <v>62</v>
      </c>
      <c r="E467" s="138">
        <v>3.23</v>
      </c>
      <c r="G467" s="308" t="s">
        <v>378</v>
      </c>
      <c r="I467" s="138">
        <v>62</v>
      </c>
      <c r="J467" s="137" t="s">
        <v>2278</v>
      </c>
      <c r="K467" s="138">
        <f t="shared" si="16"/>
        <v>0</v>
      </c>
    </row>
    <row r="468" spans="1:11">
      <c r="A468" s="136">
        <v>42415</v>
      </c>
      <c r="B468" s="307" t="s">
        <v>2033</v>
      </c>
      <c r="C468" s="137" t="s">
        <v>372</v>
      </c>
      <c r="D468" s="138">
        <v>21.03</v>
      </c>
      <c r="E468" s="138">
        <v>1.1000000000000001</v>
      </c>
      <c r="G468" s="308" t="s">
        <v>373</v>
      </c>
      <c r="I468" s="138">
        <v>21.03</v>
      </c>
      <c r="J468" s="137" t="s">
        <v>2277</v>
      </c>
      <c r="K468" s="138">
        <f t="shared" si="16"/>
        <v>0</v>
      </c>
    </row>
    <row r="469" spans="1:11">
      <c r="A469" s="136">
        <v>42416</v>
      </c>
      <c r="B469" s="307" t="s">
        <v>2031</v>
      </c>
      <c r="C469" s="137" t="s">
        <v>372</v>
      </c>
      <c r="D469" s="138">
        <v>11.98</v>
      </c>
      <c r="E469" s="138">
        <v>0.62</v>
      </c>
      <c r="G469" s="308" t="s">
        <v>373</v>
      </c>
      <c r="I469" s="138">
        <v>11.98</v>
      </c>
      <c r="J469" s="137" t="s">
        <v>2277</v>
      </c>
      <c r="K469" s="138">
        <f t="shared" si="16"/>
        <v>0</v>
      </c>
    </row>
    <row r="470" spans="1:11">
      <c r="A470" s="136">
        <v>42416</v>
      </c>
      <c r="B470" s="307" t="s">
        <v>2032</v>
      </c>
      <c r="C470" s="137" t="s">
        <v>372</v>
      </c>
      <c r="D470" s="138">
        <v>9.18</v>
      </c>
      <c r="E470" s="138">
        <v>0.48</v>
      </c>
      <c r="G470" s="308" t="s">
        <v>373</v>
      </c>
      <c r="I470" s="138">
        <v>9.18</v>
      </c>
      <c r="J470" s="137" t="s">
        <v>2277</v>
      </c>
      <c r="K470" s="138">
        <f t="shared" si="16"/>
        <v>0</v>
      </c>
    </row>
    <row r="471" spans="1:11" ht="15" customHeight="1">
      <c r="A471" s="136">
        <v>42416</v>
      </c>
      <c r="B471" s="307" t="s">
        <v>2042</v>
      </c>
      <c r="C471" s="137" t="s">
        <v>183</v>
      </c>
      <c r="D471" s="138">
        <v>2049.65</v>
      </c>
      <c r="E471" s="138">
        <v>151.6</v>
      </c>
      <c r="G471" s="308" t="s">
        <v>378</v>
      </c>
      <c r="K471" s="138">
        <f t="shared" si="16"/>
        <v>2049.65</v>
      </c>
    </row>
    <row r="472" spans="1:11" ht="15" customHeight="1">
      <c r="A472" s="136">
        <v>42416</v>
      </c>
      <c r="B472" s="307" t="s">
        <v>2045</v>
      </c>
      <c r="C472" s="137" t="s">
        <v>186</v>
      </c>
      <c r="D472" s="138">
        <v>13.39</v>
      </c>
      <c r="E472" s="378">
        <v>13.39</v>
      </c>
      <c r="G472" s="308" t="s">
        <v>373</v>
      </c>
      <c r="I472" s="138">
        <v>13.39</v>
      </c>
      <c r="J472" s="137" t="s">
        <v>2046</v>
      </c>
      <c r="K472" s="138">
        <f t="shared" si="16"/>
        <v>0</v>
      </c>
    </row>
    <row r="473" spans="1:11" ht="15" customHeight="1">
      <c r="A473" s="136">
        <v>42416</v>
      </c>
      <c r="B473" s="307" t="s">
        <v>2047</v>
      </c>
      <c r="C473" s="137" t="s">
        <v>186</v>
      </c>
      <c r="D473" s="138">
        <v>585.19000000000005</v>
      </c>
      <c r="E473" s="138">
        <v>26.21</v>
      </c>
      <c r="G473" s="308" t="s">
        <v>373</v>
      </c>
      <c r="I473" s="138">
        <v>585.19000000000005</v>
      </c>
      <c r="J473" s="137" t="s">
        <v>2048</v>
      </c>
      <c r="K473" s="138">
        <f t="shared" si="16"/>
        <v>0</v>
      </c>
    </row>
    <row r="474" spans="1:11" ht="15" customHeight="1">
      <c r="A474" s="136">
        <v>42417</v>
      </c>
      <c r="B474" s="307" t="s">
        <v>2122</v>
      </c>
      <c r="C474" s="137" t="s">
        <v>372</v>
      </c>
      <c r="D474" s="138">
        <v>17.21</v>
      </c>
      <c r="E474" s="138">
        <v>0.9</v>
      </c>
      <c r="G474" s="308" t="s">
        <v>373</v>
      </c>
      <c r="I474" s="138">
        <v>17.21</v>
      </c>
      <c r="J474" s="137" t="s">
        <v>2277</v>
      </c>
      <c r="K474" s="138">
        <f t="shared" si="16"/>
        <v>0</v>
      </c>
    </row>
    <row r="475" spans="1:11" ht="15" customHeight="1">
      <c r="A475" s="136">
        <v>42418</v>
      </c>
      <c r="B475" s="307" t="s">
        <v>2052</v>
      </c>
      <c r="C475" s="137" t="s">
        <v>186</v>
      </c>
      <c r="D475" s="138">
        <v>570.76</v>
      </c>
      <c r="E475" s="138">
        <v>41.18</v>
      </c>
      <c r="G475" s="308" t="s">
        <v>378</v>
      </c>
      <c r="I475" s="138">
        <v>570.76</v>
      </c>
      <c r="J475" s="137" t="s">
        <v>1991</v>
      </c>
      <c r="K475" s="138">
        <f t="shared" si="16"/>
        <v>0</v>
      </c>
    </row>
    <row r="476" spans="1:11" ht="15" customHeight="1">
      <c r="A476" s="136">
        <v>42418</v>
      </c>
      <c r="B476" s="307" t="s">
        <v>2055</v>
      </c>
      <c r="C476" s="137" t="s">
        <v>1973</v>
      </c>
      <c r="D476" s="138">
        <v>200.45</v>
      </c>
      <c r="E476" s="138">
        <v>10.45</v>
      </c>
      <c r="G476" s="308" t="s">
        <v>378</v>
      </c>
      <c r="I476" s="138">
        <v>200.45</v>
      </c>
      <c r="J476" s="137" t="s">
        <v>2322</v>
      </c>
      <c r="K476" s="138">
        <f t="shared" si="16"/>
        <v>0</v>
      </c>
    </row>
    <row r="477" spans="1:11" ht="15" customHeight="1">
      <c r="A477" s="136">
        <v>42418</v>
      </c>
      <c r="B477" s="307" t="s">
        <v>2116</v>
      </c>
      <c r="C477" s="137" t="s">
        <v>372</v>
      </c>
      <c r="D477" s="138">
        <v>21.73</v>
      </c>
      <c r="E477" s="138">
        <v>1.1299999999999999</v>
      </c>
      <c r="G477" s="308" t="s">
        <v>373</v>
      </c>
      <c r="I477" s="138">
        <v>21.73</v>
      </c>
      <c r="J477" s="137" t="s">
        <v>2277</v>
      </c>
      <c r="K477" s="138">
        <f t="shared" ref="K477:K540" si="17">IF(D477&lt;&gt;"",D477-I477,"")</f>
        <v>0</v>
      </c>
    </row>
    <row r="478" spans="1:11" ht="15" customHeight="1">
      <c r="A478" s="136">
        <v>42418</v>
      </c>
      <c r="B478" s="307" t="s">
        <v>2130</v>
      </c>
      <c r="C478" s="137" t="s">
        <v>183</v>
      </c>
      <c r="D478" s="138">
        <v>453.59</v>
      </c>
      <c r="E478" s="138">
        <v>35.81</v>
      </c>
      <c r="G478" s="308" t="s">
        <v>373</v>
      </c>
      <c r="I478" s="138">
        <v>453.59</v>
      </c>
      <c r="J478" s="137" t="s">
        <v>2534</v>
      </c>
      <c r="K478" s="138">
        <f t="shared" si="17"/>
        <v>0</v>
      </c>
    </row>
    <row r="479" spans="1:11" ht="15" customHeight="1">
      <c r="A479" s="136">
        <v>42419</v>
      </c>
      <c r="B479" s="307" t="s">
        <v>2035</v>
      </c>
      <c r="C479" s="137" t="s">
        <v>372</v>
      </c>
      <c r="D479" s="138">
        <v>91.37</v>
      </c>
      <c r="E479" s="138">
        <v>4.76</v>
      </c>
      <c r="G479" s="308" t="s">
        <v>378</v>
      </c>
      <c r="I479" s="138">
        <v>91.37</v>
      </c>
      <c r="J479" s="137" t="s">
        <v>2278</v>
      </c>
      <c r="K479" s="138">
        <f t="shared" si="17"/>
        <v>0</v>
      </c>
    </row>
    <row r="480" spans="1:11" ht="15" customHeight="1">
      <c r="A480" s="136">
        <v>42419</v>
      </c>
      <c r="B480" s="307" t="s">
        <v>2043</v>
      </c>
      <c r="C480" s="137" t="s">
        <v>184</v>
      </c>
      <c r="D480" s="138">
        <v>97.29</v>
      </c>
      <c r="E480" s="138">
        <v>5.07</v>
      </c>
      <c r="G480" s="308" t="s">
        <v>373</v>
      </c>
      <c r="I480" s="138">
        <v>97.29</v>
      </c>
      <c r="J480" s="137" t="s">
        <v>2266</v>
      </c>
      <c r="K480" s="138">
        <f t="shared" si="17"/>
        <v>0</v>
      </c>
    </row>
    <row r="481" spans="1:11" ht="15" customHeight="1">
      <c r="A481" s="136">
        <v>42419</v>
      </c>
      <c r="B481" s="307" t="s">
        <v>2044</v>
      </c>
      <c r="C481" s="137" t="s">
        <v>184</v>
      </c>
      <c r="D481" s="138">
        <v>659.4</v>
      </c>
      <c r="E481" s="138">
        <v>48.18</v>
      </c>
      <c r="G481" s="308" t="s">
        <v>378</v>
      </c>
      <c r="I481" s="138">
        <v>659.4</v>
      </c>
      <c r="J481" s="137" t="s">
        <v>2565</v>
      </c>
      <c r="K481" s="138">
        <f t="shared" si="17"/>
        <v>0</v>
      </c>
    </row>
    <row r="482" spans="1:11" ht="15" customHeight="1">
      <c r="A482" s="136">
        <v>42419</v>
      </c>
      <c r="B482" s="307" t="s">
        <v>2121</v>
      </c>
      <c r="C482" s="137" t="s">
        <v>372</v>
      </c>
      <c r="D482" s="138">
        <v>6.01</v>
      </c>
      <c r="E482" s="138">
        <v>0.31</v>
      </c>
      <c r="G482" s="308" t="s">
        <v>373</v>
      </c>
      <c r="I482" s="138">
        <v>6.01</v>
      </c>
      <c r="J482" s="137" t="s">
        <v>2277</v>
      </c>
      <c r="K482" s="138">
        <f t="shared" si="17"/>
        <v>0</v>
      </c>
    </row>
    <row r="483" spans="1:11" ht="15" customHeight="1">
      <c r="A483" s="136">
        <v>42419</v>
      </c>
      <c r="B483" s="307" t="s">
        <v>2124</v>
      </c>
      <c r="C483" s="137" t="s">
        <v>188</v>
      </c>
      <c r="D483" s="138">
        <v>488.7</v>
      </c>
      <c r="E483" s="138">
        <v>25.48</v>
      </c>
      <c r="G483" s="308" t="s">
        <v>373</v>
      </c>
      <c r="K483" s="138">
        <f t="shared" si="17"/>
        <v>488.7</v>
      </c>
    </row>
    <row r="484" spans="1:11" ht="15" customHeight="1">
      <c r="A484" s="136">
        <v>42419</v>
      </c>
      <c r="B484" s="307" t="s">
        <v>2125</v>
      </c>
      <c r="C484" s="137" t="s">
        <v>187</v>
      </c>
      <c r="D484" s="138">
        <v>534.17999999999995</v>
      </c>
      <c r="E484" s="138">
        <v>31.48</v>
      </c>
      <c r="G484" s="308" t="s">
        <v>373</v>
      </c>
      <c r="J484" s="137" t="s">
        <v>2126</v>
      </c>
      <c r="K484" s="138">
        <f t="shared" si="17"/>
        <v>534.17999999999995</v>
      </c>
    </row>
    <row r="485" spans="1:11" ht="15" customHeight="1">
      <c r="A485" s="136">
        <v>42419</v>
      </c>
      <c r="B485" s="307" t="s">
        <v>2154</v>
      </c>
      <c r="C485" s="137" t="s">
        <v>187</v>
      </c>
      <c r="D485" s="138">
        <v>1602.7</v>
      </c>
      <c r="E485" s="138">
        <v>1118.07</v>
      </c>
      <c r="G485" s="308" t="s">
        <v>378</v>
      </c>
      <c r="I485" s="138">
        <v>1602.7</v>
      </c>
      <c r="J485" s="137" t="s">
        <v>2155</v>
      </c>
      <c r="K485" s="138">
        <f t="shared" si="17"/>
        <v>0</v>
      </c>
    </row>
    <row r="486" spans="1:11">
      <c r="A486" s="136">
        <v>42420</v>
      </c>
      <c r="B486" s="307" t="s">
        <v>2049</v>
      </c>
      <c r="C486" s="137" t="s">
        <v>372</v>
      </c>
      <c r="D486" s="138">
        <v>114.07</v>
      </c>
      <c r="E486" s="138">
        <v>5.95</v>
      </c>
      <c r="G486" s="308" t="s">
        <v>378</v>
      </c>
      <c r="I486" s="138">
        <v>114.07</v>
      </c>
      <c r="J486" s="137" t="s">
        <v>2278</v>
      </c>
      <c r="K486" s="138">
        <f t="shared" si="17"/>
        <v>0</v>
      </c>
    </row>
    <row r="487" spans="1:11" ht="15" customHeight="1">
      <c r="A487" s="136">
        <v>42422</v>
      </c>
      <c r="B487" s="307" t="s">
        <v>2051</v>
      </c>
      <c r="C487" s="137" t="s">
        <v>372</v>
      </c>
      <c r="D487" s="138">
        <v>58.87</v>
      </c>
      <c r="E487" s="138">
        <v>3.07</v>
      </c>
      <c r="G487" s="308" t="s">
        <v>378</v>
      </c>
      <c r="I487" s="138">
        <v>58.87</v>
      </c>
      <c r="J487" s="137" t="s">
        <v>2278</v>
      </c>
      <c r="K487" s="138">
        <f t="shared" si="17"/>
        <v>0</v>
      </c>
    </row>
    <row r="488" spans="1:11" ht="15" customHeight="1">
      <c r="A488" s="136">
        <v>42422</v>
      </c>
      <c r="B488" s="307" t="s">
        <v>2054</v>
      </c>
      <c r="C488" s="137" t="s">
        <v>182</v>
      </c>
      <c r="D488" s="138">
        <v>299.02</v>
      </c>
      <c r="E488" s="138">
        <v>15.59</v>
      </c>
      <c r="G488" s="308" t="s">
        <v>378</v>
      </c>
      <c r="I488" s="138">
        <v>299.02</v>
      </c>
      <c r="J488" s="137" t="s">
        <v>2263</v>
      </c>
      <c r="K488" s="138">
        <f t="shared" si="17"/>
        <v>0</v>
      </c>
    </row>
    <row r="489" spans="1:11" ht="15" customHeight="1">
      <c r="A489" s="136">
        <v>42422</v>
      </c>
      <c r="B489" s="307" t="s">
        <v>2119</v>
      </c>
      <c r="C489" s="137" t="s">
        <v>372</v>
      </c>
      <c r="D489" s="138">
        <v>21.12</v>
      </c>
      <c r="E489" s="138">
        <v>1.1000000000000001</v>
      </c>
      <c r="G489" s="308" t="s">
        <v>373</v>
      </c>
      <c r="I489" s="138">
        <v>21.12</v>
      </c>
      <c r="J489" s="137" t="s">
        <v>2277</v>
      </c>
      <c r="K489" s="138">
        <f t="shared" si="17"/>
        <v>0</v>
      </c>
    </row>
    <row r="490" spans="1:11" ht="15" customHeight="1">
      <c r="A490" s="136">
        <v>42423</v>
      </c>
      <c r="B490" s="307" t="s">
        <v>2145</v>
      </c>
      <c r="C490" s="137" t="s">
        <v>183</v>
      </c>
      <c r="D490" s="138">
        <v>1573.31</v>
      </c>
      <c r="E490" s="138">
        <v>121.21</v>
      </c>
      <c r="G490" s="308" t="s">
        <v>378</v>
      </c>
      <c r="K490" s="138">
        <f t="shared" si="17"/>
        <v>1573.31</v>
      </c>
    </row>
    <row r="491" spans="1:11" ht="15" customHeight="1">
      <c r="A491" s="136">
        <v>42423</v>
      </c>
      <c r="B491" s="307" t="s">
        <v>2053</v>
      </c>
      <c r="C491" s="137" t="s">
        <v>372</v>
      </c>
      <c r="D491" s="138">
        <v>57.02</v>
      </c>
      <c r="E491" s="138">
        <v>2.97</v>
      </c>
      <c r="G491" s="308" t="s">
        <v>378</v>
      </c>
      <c r="I491" s="138">
        <v>57.02</v>
      </c>
      <c r="J491" s="137" t="s">
        <v>2278</v>
      </c>
      <c r="K491" s="138">
        <f t="shared" si="17"/>
        <v>0</v>
      </c>
    </row>
    <row r="492" spans="1:11" ht="15" customHeight="1">
      <c r="A492" s="136">
        <v>42423</v>
      </c>
      <c r="B492" s="307" t="s">
        <v>2120</v>
      </c>
      <c r="C492" s="137" t="s">
        <v>372</v>
      </c>
      <c r="D492" s="138">
        <v>14.85</v>
      </c>
      <c r="E492" s="138">
        <v>0.77</v>
      </c>
      <c r="G492" s="308" t="s">
        <v>373</v>
      </c>
      <c r="I492" s="138">
        <v>14.85</v>
      </c>
      <c r="J492" s="137" t="s">
        <v>2277</v>
      </c>
      <c r="K492" s="138">
        <f t="shared" si="17"/>
        <v>0</v>
      </c>
    </row>
    <row r="493" spans="1:11" ht="15" customHeight="1">
      <c r="A493" s="136">
        <v>42423</v>
      </c>
      <c r="B493" s="307" t="s">
        <v>2123</v>
      </c>
      <c r="C493" s="137" t="s">
        <v>186</v>
      </c>
      <c r="D493" s="138">
        <v>482.37</v>
      </c>
      <c r="E493" s="138">
        <v>35.69</v>
      </c>
      <c r="G493" s="308" t="s">
        <v>373</v>
      </c>
      <c r="I493" s="138">
        <v>482.37</v>
      </c>
      <c r="J493" s="137" t="s">
        <v>2127</v>
      </c>
      <c r="K493" s="138">
        <f t="shared" si="17"/>
        <v>0</v>
      </c>
    </row>
    <row r="494" spans="1:11" ht="15" customHeight="1">
      <c r="A494" s="136">
        <v>42424</v>
      </c>
      <c r="B494" s="307" t="s">
        <v>2871</v>
      </c>
      <c r="C494" s="137" t="s">
        <v>852</v>
      </c>
      <c r="D494" s="138">
        <v>346.88</v>
      </c>
      <c r="E494" s="138">
        <v>18.079999999999998</v>
      </c>
      <c r="G494" s="308" t="s">
        <v>378</v>
      </c>
      <c r="I494" s="138">
        <v>346.88</v>
      </c>
      <c r="J494" s="137" t="s">
        <v>2872</v>
      </c>
      <c r="K494" s="138">
        <f t="shared" si="17"/>
        <v>0</v>
      </c>
    </row>
    <row r="495" spans="1:11" ht="15" customHeight="1">
      <c r="A495" s="136">
        <v>42425</v>
      </c>
      <c r="B495" s="307" t="s">
        <v>2118</v>
      </c>
      <c r="C495" s="137" t="s">
        <v>372</v>
      </c>
      <c r="D495" s="138">
        <v>21.94</v>
      </c>
      <c r="E495" s="138">
        <v>1.1399999999999999</v>
      </c>
      <c r="G495" s="308" t="s">
        <v>373</v>
      </c>
      <c r="I495" s="138">
        <v>21.94</v>
      </c>
      <c r="J495" s="137" t="s">
        <v>2277</v>
      </c>
      <c r="K495" s="138">
        <f t="shared" si="17"/>
        <v>0</v>
      </c>
    </row>
    <row r="496" spans="1:11">
      <c r="A496" s="136">
        <v>42425</v>
      </c>
      <c r="B496" s="307" t="s">
        <v>2136</v>
      </c>
      <c r="C496" s="137" t="s">
        <v>186</v>
      </c>
      <c r="D496" s="138">
        <v>899.56</v>
      </c>
      <c r="E496" s="138">
        <v>53.28</v>
      </c>
      <c r="G496" s="308" t="s">
        <v>378</v>
      </c>
      <c r="I496" s="138">
        <v>899.56</v>
      </c>
      <c r="J496" s="137" t="s">
        <v>2137</v>
      </c>
      <c r="K496" s="138">
        <f t="shared" si="17"/>
        <v>0</v>
      </c>
    </row>
    <row r="497" spans="1:11">
      <c r="A497" s="136">
        <v>42425</v>
      </c>
      <c r="B497" s="307" t="s">
        <v>2146</v>
      </c>
      <c r="C497" s="137" t="s">
        <v>183</v>
      </c>
      <c r="D497" s="378">
        <v>191.35</v>
      </c>
      <c r="E497" s="378">
        <v>9.98</v>
      </c>
      <c r="F497" s="309"/>
      <c r="G497" s="308" t="s">
        <v>373</v>
      </c>
      <c r="I497" s="378">
        <v>191.35</v>
      </c>
      <c r="J497" s="137" t="s">
        <v>2534</v>
      </c>
      <c r="K497" s="138">
        <f t="shared" si="17"/>
        <v>0</v>
      </c>
    </row>
    <row r="498" spans="1:11">
      <c r="A498" s="136">
        <v>42425</v>
      </c>
      <c r="B498" s="307" t="s">
        <v>2153</v>
      </c>
      <c r="C498" s="137" t="s">
        <v>372</v>
      </c>
      <c r="D498" s="138">
        <v>83.96</v>
      </c>
      <c r="E498" s="138">
        <v>4.38</v>
      </c>
      <c r="G498" s="308" t="s">
        <v>378</v>
      </c>
      <c r="I498" s="138">
        <v>83.96</v>
      </c>
      <c r="J498" s="137" t="s">
        <v>2278</v>
      </c>
      <c r="K498" s="138">
        <f t="shared" si="17"/>
        <v>0</v>
      </c>
    </row>
    <row r="499" spans="1:11">
      <c r="A499" s="136">
        <v>42426</v>
      </c>
      <c r="B499" s="307" t="s">
        <v>2117</v>
      </c>
      <c r="C499" s="137" t="s">
        <v>372</v>
      </c>
      <c r="D499" s="138">
        <v>79.28</v>
      </c>
      <c r="E499" s="138">
        <v>4.13</v>
      </c>
      <c r="G499" s="308" t="s">
        <v>378</v>
      </c>
      <c r="I499" s="138">
        <v>79.28</v>
      </c>
      <c r="J499" s="137" t="s">
        <v>2278</v>
      </c>
      <c r="K499" s="138">
        <f t="shared" si="17"/>
        <v>0</v>
      </c>
    </row>
    <row r="500" spans="1:11">
      <c r="A500" s="136">
        <v>42426</v>
      </c>
      <c r="B500" s="307" t="s">
        <v>2129</v>
      </c>
      <c r="C500" s="137" t="s">
        <v>184</v>
      </c>
      <c r="D500" s="138">
        <v>483.63</v>
      </c>
      <c r="E500" s="138">
        <v>40.21</v>
      </c>
      <c r="G500" s="308" t="s">
        <v>378</v>
      </c>
      <c r="I500" s="138">
        <v>483.63</v>
      </c>
      <c r="J500" s="137" t="s">
        <v>2265</v>
      </c>
      <c r="K500" s="138">
        <f t="shared" si="17"/>
        <v>0</v>
      </c>
    </row>
    <row r="501" spans="1:11">
      <c r="A501" s="136">
        <v>42426</v>
      </c>
      <c r="B501" s="307" t="s">
        <v>2138</v>
      </c>
      <c r="C501" s="137" t="s">
        <v>187</v>
      </c>
      <c r="D501" s="138">
        <v>766.49</v>
      </c>
      <c r="E501" s="138">
        <v>43.59</v>
      </c>
      <c r="G501" s="308" t="s">
        <v>378</v>
      </c>
      <c r="J501" s="137" t="s">
        <v>2139</v>
      </c>
      <c r="K501" s="138">
        <f t="shared" si="17"/>
        <v>766.49</v>
      </c>
    </row>
    <row r="502" spans="1:11">
      <c r="A502" s="136">
        <v>42426</v>
      </c>
      <c r="B502" s="307" t="s">
        <v>2165</v>
      </c>
      <c r="C502" s="137" t="s">
        <v>187</v>
      </c>
      <c r="D502" s="138">
        <v>666.99</v>
      </c>
      <c r="E502" s="138">
        <v>48.01</v>
      </c>
      <c r="G502" s="308" t="s">
        <v>373</v>
      </c>
      <c r="J502" s="137" t="s">
        <v>2171</v>
      </c>
      <c r="K502" s="138">
        <f t="shared" si="17"/>
        <v>666.99</v>
      </c>
    </row>
    <row r="503" spans="1:11">
      <c r="A503" s="136">
        <v>42427</v>
      </c>
      <c r="B503" s="307" t="s">
        <v>2128</v>
      </c>
      <c r="C503" s="137" t="s">
        <v>372</v>
      </c>
      <c r="D503" s="138">
        <v>79.38</v>
      </c>
      <c r="E503" s="138">
        <v>4.1399999999999997</v>
      </c>
      <c r="G503" s="308" t="s">
        <v>378</v>
      </c>
      <c r="I503" s="138">
        <v>79.38</v>
      </c>
      <c r="J503" s="137" t="s">
        <v>2278</v>
      </c>
      <c r="K503" s="138">
        <f t="shared" si="17"/>
        <v>0</v>
      </c>
    </row>
    <row r="504" spans="1:11">
      <c r="A504" s="136">
        <v>42429</v>
      </c>
      <c r="B504" s="307" t="s">
        <v>2115</v>
      </c>
      <c r="C504" s="137" t="s">
        <v>372</v>
      </c>
      <c r="D504" s="138">
        <v>78.02</v>
      </c>
      <c r="E504" s="138">
        <v>4.07</v>
      </c>
      <c r="G504" s="308" t="s">
        <v>378</v>
      </c>
      <c r="I504" s="138">
        <v>78.02</v>
      </c>
      <c r="J504" s="137" t="s">
        <v>2278</v>
      </c>
      <c r="K504" s="138">
        <f t="shared" si="17"/>
        <v>0</v>
      </c>
    </row>
    <row r="505" spans="1:11">
      <c r="A505" s="136">
        <v>42429</v>
      </c>
      <c r="B505" s="307" t="s">
        <v>2147</v>
      </c>
      <c r="C505" s="137" t="s">
        <v>183</v>
      </c>
      <c r="D505" s="138">
        <v>1286.3599999999999</v>
      </c>
      <c r="E505" s="138">
        <v>79.599999999999994</v>
      </c>
      <c r="G505" s="308" t="s">
        <v>378</v>
      </c>
      <c r="K505" s="138">
        <f t="shared" si="17"/>
        <v>1286.3599999999999</v>
      </c>
    </row>
    <row r="506" spans="1:11">
      <c r="A506" s="136">
        <v>42429</v>
      </c>
      <c r="B506" s="307" t="s">
        <v>2149</v>
      </c>
      <c r="C506" s="137" t="s">
        <v>372</v>
      </c>
      <c r="D506" s="138">
        <v>20.03</v>
      </c>
      <c r="E506" s="138">
        <v>1.04</v>
      </c>
      <c r="G506" s="308" t="s">
        <v>373</v>
      </c>
      <c r="I506" s="138">
        <v>20.03</v>
      </c>
      <c r="J506" s="137" t="s">
        <v>2277</v>
      </c>
      <c r="K506" s="138">
        <f t="shared" si="17"/>
        <v>0</v>
      </c>
    </row>
    <row r="507" spans="1:11">
      <c r="A507" s="136">
        <v>42429</v>
      </c>
      <c r="B507" s="307" t="s">
        <v>2156</v>
      </c>
      <c r="C507" s="137" t="s">
        <v>424</v>
      </c>
      <c r="D507" s="138">
        <v>480.82</v>
      </c>
      <c r="E507" s="138">
        <v>80.14</v>
      </c>
      <c r="G507" s="308" t="s">
        <v>373</v>
      </c>
      <c r="I507" s="138">
        <v>480.82</v>
      </c>
      <c r="J507" s="137" t="s">
        <v>2535</v>
      </c>
      <c r="K507" s="138">
        <f t="shared" si="17"/>
        <v>0</v>
      </c>
    </row>
    <row r="508" spans="1:11">
      <c r="A508" s="136">
        <v>42430</v>
      </c>
      <c r="B508" s="307" t="s">
        <v>2140</v>
      </c>
      <c r="C508" s="137" t="s">
        <v>1973</v>
      </c>
      <c r="D508" s="138">
        <v>200.45</v>
      </c>
      <c r="E508" s="138">
        <v>10.45</v>
      </c>
      <c r="G508" s="308" t="s">
        <v>378</v>
      </c>
      <c r="I508" s="138">
        <v>200.45</v>
      </c>
      <c r="J508" s="137" t="s">
        <v>2323</v>
      </c>
      <c r="K508" s="138">
        <f t="shared" si="17"/>
        <v>0</v>
      </c>
    </row>
    <row r="509" spans="1:11">
      <c r="A509" s="136">
        <v>42430</v>
      </c>
      <c r="B509" s="307" t="s">
        <v>2150</v>
      </c>
      <c r="C509" s="137" t="s">
        <v>372</v>
      </c>
      <c r="D509" s="138">
        <v>14.7</v>
      </c>
      <c r="E509" s="138">
        <v>0.77</v>
      </c>
      <c r="G509" s="308" t="s">
        <v>373</v>
      </c>
      <c r="I509" s="138">
        <v>14.7</v>
      </c>
      <c r="J509" s="137" t="s">
        <v>2582</v>
      </c>
      <c r="K509" s="138">
        <f t="shared" si="17"/>
        <v>0</v>
      </c>
    </row>
    <row r="510" spans="1:11">
      <c r="A510" s="136">
        <v>42430</v>
      </c>
      <c r="B510" s="307" t="s">
        <v>2157</v>
      </c>
      <c r="C510" s="137" t="s">
        <v>372</v>
      </c>
      <c r="D510" s="138">
        <v>41.25</v>
      </c>
      <c r="E510" s="138">
        <v>2.15</v>
      </c>
      <c r="G510" s="308" t="s">
        <v>378</v>
      </c>
      <c r="I510" s="138">
        <v>41.25</v>
      </c>
      <c r="J510" s="137" t="s">
        <v>2581</v>
      </c>
      <c r="K510" s="138">
        <f t="shared" si="17"/>
        <v>0</v>
      </c>
    </row>
    <row r="511" spans="1:11">
      <c r="A511" s="136">
        <v>42430</v>
      </c>
      <c r="B511" s="307" t="s">
        <v>2158</v>
      </c>
      <c r="C511" s="137" t="s">
        <v>184</v>
      </c>
      <c r="D511" s="138">
        <v>160.59</v>
      </c>
      <c r="E511" s="138">
        <v>9.49</v>
      </c>
      <c r="G511" s="308" t="s">
        <v>378</v>
      </c>
      <c r="K511" s="138">
        <f t="shared" si="17"/>
        <v>160.59</v>
      </c>
    </row>
    <row r="512" spans="1:11">
      <c r="A512" s="136">
        <v>42430</v>
      </c>
      <c r="B512" s="307" t="s">
        <v>2166</v>
      </c>
      <c r="C512" s="137" t="s">
        <v>186</v>
      </c>
      <c r="D512" s="138">
        <v>371.48</v>
      </c>
      <c r="E512" s="138">
        <v>48.36</v>
      </c>
      <c r="G512" s="308" t="s">
        <v>373</v>
      </c>
      <c r="I512" s="138">
        <v>371.48</v>
      </c>
      <c r="J512" s="137" t="s">
        <v>2168</v>
      </c>
      <c r="K512" s="138">
        <f t="shared" si="17"/>
        <v>0</v>
      </c>
    </row>
    <row r="513" spans="1:11">
      <c r="A513" s="136">
        <v>42430</v>
      </c>
      <c r="B513" s="307" t="s">
        <v>2167</v>
      </c>
      <c r="C513" s="137" t="s">
        <v>186</v>
      </c>
      <c r="D513" s="138">
        <v>332.04</v>
      </c>
      <c r="E513" s="138">
        <v>17.309999999999999</v>
      </c>
      <c r="G513" s="308" t="s">
        <v>373</v>
      </c>
      <c r="I513" s="138">
        <v>332.04</v>
      </c>
      <c r="J513" s="137" t="s">
        <v>2168</v>
      </c>
      <c r="K513" s="138">
        <f t="shared" si="17"/>
        <v>0</v>
      </c>
    </row>
    <row r="514" spans="1:11">
      <c r="A514" s="136">
        <v>42430</v>
      </c>
      <c r="B514" s="307" t="s">
        <v>2170</v>
      </c>
      <c r="C514" s="137" t="s">
        <v>186</v>
      </c>
      <c r="D514" s="138">
        <v>11.63</v>
      </c>
      <c r="E514" s="138">
        <v>0.61</v>
      </c>
      <c r="G514" s="308" t="s">
        <v>373</v>
      </c>
      <c r="I514" s="138">
        <v>11.63</v>
      </c>
      <c r="J514" s="137" t="s">
        <v>2028</v>
      </c>
      <c r="K514" s="138">
        <f t="shared" si="17"/>
        <v>0</v>
      </c>
    </row>
    <row r="515" spans="1:11">
      <c r="A515" s="136">
        <v>42431</v>
      </c>
      <c r="B515" s="307" t="s">
        <v>2151</v>
      </c>
      <c r="C515" s="137" t="s">
        <v>372</v>
      </c>
      <c r="D515" s="138">
        <v>14.62</v>
      </c>
      <c r="E515" s="138">
        <v>0.76</v>
      </c>
      <c r="G515" s="308" t="s">
        <v>373</v>
      </c>
      <c r="I515" s="138">
        <v>14.62</v>
      </c>
      <c r="J515" s="137" t="s">
        <v>2582</v>
      </c>
      <c r="K515" s="138">
        <f t="shared" si="17"/>
        <v>0</v>
      </c>
    </row>
    <row r="516" spans="1:11">
      <c r="A516" s="136">
        <v>42432</v>
      </c>
      <c r="B516" s="307" t="s">
        <v>2159</v>
      </c>
      <c r="C516" s="137" t="s">
        <v>187</v>
      </c>
      <c r="D516" s="378">
        <v>1286.55</v>
      </c>
      <c r="E516" s="378">
        <v>70.7</v>
      </c>
      <c r="F516" s="309"/>
      <c r="G516" s="308" t="s">
        <v>378</v>
      </c>
      <c r="I516" s="378"/>
      <c r="K516" s="138">
        <f t="shared" si="17"/>
        <v>1286.55</v>
      </c>
    </row>
    <row r="517" spans="1:11">
      <c r="A517" s="136">
        <v>42432</v>
      </c>
      <c r="B517" s="307" t="s">
        <v>2164</v>
      </c>
      <c r="C517" s="137" t="s">
        <v>186</v>
      </c>
      <c r="D517" s="138">
        <v>219.16</v>
      </c>
      <c r="E517" s="138">
        <v>11.43</v>
      </c>
      <c r="G517" s="308" t="s">
        <v>378</v>
      </c>
      <c r="I517" s="138">
        <v>219.16</v>
      </c>
      <c r="J517" s="137" t="s">
        <v>2169</v>
      </c>
      <c r="K517" s="138">
        <f t="shared" si="17"/>
        <v>0</v>
      </c>
    </row>
    <row r="518" spans="1:11">
      <c r="A518" s="136">
        <v>42432</v>
      </c>
      <c r="B518" s="307" t="s">
        <v>2243</v>
      </c>
      <c r="C518" s="137" t="s">
        <v>183</v>
      </c>
      <c r="D518" s="138">
        <v>635.41999999999996</v>
      </c>
      <c r="E518" s="138">
        <v>48</v>
      </c>
      <c r="G518" s="308" t="s">
        <v>373</v>
      </c>
      <c r="I518" s="138">
        <v>635.41999999999996</v>
      </c>
      <c r="J518" s="137" t="s">
        <v>2534</v>
      </c>
      <c r="K518" s="138">
        <f t="shared" si="17"/>
        <v>0</v>
      </c>
    </row>
    <row r="519" spans="1:11">
      <c r="A519" s="136">
        <v>42433</v>
      </c>
      <c r="B519" s="307" t="s">
        <v>2148</v>
      </c>
      <c r="C519" s="137" t="s">
        <v>372</v>
      </c>
      <c r="D519" s="138">
        <v>24.43</v>
      </c>
      <c r="E519" s="138">
        <v>1.27</v>
      </c>
      <c r="G519" s="308" t="s">
        <v>378</v>
      </c>
      <c r="I519" s="138">
        <v>24.43</v>
      </c>
      <c r="J519" s="137" t="s">
        <v>2581</v>
      </c>
      <c r="K519" s="138">
        <f t="shared" si="17"/>
        <v>0</v>
      </c>
    </row>
    <row r="520" spans="1:11">
      <c r="A520" s="136">
        <v>42433</v>
      </c>
      <c r="B520" s="307" t="s">
        <v>2152</v>
      </c>
      <c r="C520" s="137" t="s">
        <v>184</v>
      </c>
      <c r="D520" s="138">
        <v>840.61</v>
      </c>
      <c r="E520" s="138">
        <v>72.91</v>
      </c>
      <c r="G520" s="308" t="s">
        <v>378</v>
      </c>
      <c r="K520" s="138">
        <f t="shared" si="17"/>
        <v>840.61</v>
      </c>
    </row>
    <row r="521" spans="1:11">
      <c r="A521" s="136">
        <v>42433</v>
      </c>
      <c r="B521" s="307" t="s">
        <v>2160</v>
      </c>
      <c r="C521" s="137" t="s">
        <v>184</v>
      </c>
      <c r="D521" s="138">
        <v>149.96</v>
      </c>
      <c r="E521" s="138">
        <v>11.53</v>
      </c>
      <c r="G521" s="308" t="s">
        <v>373</v>
      </c>
      <c r="I521" s="138">
        <v>149.96</v>
      </c>
      <c r="J521" s="137" t="s">
        <v>2266</v>
      </c>
      <c r="K521" s="138">
        <f t="shared" si="17"/>
        <v>0</v>
      </c>
    </row>
    <row r="522" spans="1:11">
      <c r="A522" s="136">
        <v>42433</v>
      </c>
      <c r="B522" s="307" t="s">
        <v>2162</v>
      </c>
      <c r="C522" s="137" t="s">
        <v>372</v>
      </c>
      <c r="D522" s="138">
        <v>14.45</v>
      </c>
      <c r="E522" s="138">
        <v>0.75</v>
      </c>
      <c r="G522" s="308" t="s">
        <v>373</v>
      </c>
      <c r="I522" s="138">
        <v>14.45</v>
      </c>
      <c r="J522" s="137" t="s">
        <v>2582</v>
      </c>
      <c r="K522" s="138">
        <f t="shared" si="17"/>
        <v>0</v>
      </c>
    </row>
    <row r="523" spans="1:11">
      <c r="A523" s="136">
        <v>42433</v>
      </c>
      <c r="B523" s="307" t="s">
        <v>2188</v>
      </c>
      <c r="C523" s="137" t="s">
        <v>188</v>
      </c>
      <c r="D523" s="138">
        <v>523.24</v>
      </c>
      <c r="E523" s="138">
        <v>27.28</v>
      </c>
      <c r="G523" s="308" t="s">
        <v>373</v>
      </c>
      <c r="K523" s="138">
        <f t="shared" si="17"/>
        <v>523.24</v>
      </c>
    </row>
    <row r="524" spans="1:11">
      <c r="A524" s="136">
        <v>42433</v>
      </c>
      <c r="B524" s="307" t="s">
        <v>2230</v>
      </c>
      <c r="C524" s="137" t="s">
        <v>187</v>
      </c>
      <c r="D524" s="138">
        <v>664.05</v>
      </c>
      <c r="E524" s="138">
        <v>42.65</v>
      </c>
      <c r="G524" s="308" t="s">
        <v>373</v>
      </c>
      <c r="J524" s="137" t="s">
        <v>2231</v>
      </c>
      <c r="K524" s="138">
        <f t="shared" si="17"/>
        <v>664.05</v>
      </c>
    </row>
    <row r="525" spans="1:11">
      <c r="A525" s="136">
        <v>42436</v>
      </c>
      <c r="B525" s="307" t="s">
        <v>2161</v>
      </c>
      <c r="C525" s="137" t="s">
        <v>372</v>
      </c>
      <c r="D525" s="138">
        <v>20.32</v>
      </c>
      <c r="E525" s="138">
        <v>1.06</v>
      </c>
      <c r="G525" s="308" t="s">
        <v>373</v>
      </c>
      <c r="I525" s="138">
        <v>20.32</v>
      </c>
      <c r="J525" s="137" t="s">
        <v>2582</v>
      </c>
      <c r="K525" s="138">
        <f t="shared" si="17"/>
        <v>0</v>
      </c>
    </row>
    <row r="526" spans="1:11">
      <c r="A526" s="136">
        <v>42436</v>
      </c>
      <c r="B526" s="307" t="s">
        <v>2198</v>
      </c>
      <c r="C526" s="137" t="s">
        <v>182</v>
      </c>
      <c r="D526" s="138">
        <v>620.78</v>
      </c>
      <c r="E526" s="138">
        <v>32.36</v>
      </c>
      <c r="G526" s="308" t="s">
        <v>373</v>
      </c>
      <c r="I526" s="138">
        <v>620.78</v>
      </c>
      <c r="J526" s="137" t="s">
        <v>2533</v>
      </c>
      <c r="K526" s="138">
        <f t="shared" si="17"/>
        <v>0</v>
      </c>
    </row>
    <row r="527" spans="1:11">
      <c r="A527" s="136">
        <v>42437</v>
      </c>
      <c r="B527" s="307" t="s">
        <v>2163</v>
      </c>
      <c r="C527" s="137" t="s">
        <v>372</v>
      </c>
      <c r="D527" s="138">
        <v>124.51</v>
      </c>
      <c r="E527" s="138">
        <v>6.49</v>
      </c>
      <c r="G527" s="308" t="s">
        <v>378</v>
      </c>
      <c r="I527" s="138">
        <v>124.51</v>
      </c>
      <c r="J527" s="137" t="s">
        <v>2581</v>
      </c>
      <c r="K527" s="138">
        <f t="shared" si="17"/>
        <v>0</v>
      </c>
    </row>
    <row r="528" spans="1:11">
      <c r="A528" s="136">
        <v>42437</v>
      </c>
      <c r="B528" s="307" t="s">
        <v>2189</v>
      </c>
      <c r="C528" s="137" t="s">
        <v>186</v>
      </c>
      <c r="D528" s="138">
        <v>16.670000000000002</v>
      </c>
      <c r="E528" s="138">
        <v>1.28</v>
      </c>
      <c r="G528" s="308" t="s">
        <v>373</v>
      </c>
      <c r="I528" s="138">
        <v>16.670000000000002</v>
      </c>
      <c r="J528" s="137" t="s">
        <v>2191</v>
      </c>
      <c r="K528" s="138">
        <f t="shared" si="17"/>
        <v>0</v>
      </c>
    </row>
    <row r="529" spans="1:11">
      <c r="A529" s="136">
        <v>42437</v>
      </c>
      <c r="B529" s="307" t="s">
        <v>2190</v>
      </c>
      <c r="C529" s="137" t="s">
        <v>186</v>
      </c>
      <c r="D529" s="138">
        <v>656.25</v>
      </c>
      <c r="E529" s="138">
        <v>78.709999999999994</v>
      </c>
      <c r="G529" s="308" t="s">
        <v>373</v>
      </c>
      <c r="I529" s="138">
        <v>656.25</v>
      </c>
      <c r="J529" s="137" t="s">
        <v>2192</v>
      </c>
      <c r="K529" s="138">
        <f t="shared" si="17"/>
        <v>0</v>
      </c>
    </row>
    <row r="530" spans="1:11">
      <c r="A530" s="136">
        <v>42437</v>
      </c>
      <c r="B530" s="307" t="s">
        <v>2225</v>
      </c>
      <c r="C530" s="137" t="s">
        <v>372</v>
      </c>
      <c r="D530" s="138">
        <v>5.32</v>
      </c>
      <c r="E530" s="138">
        <v>0.28000000000000003</v>
      </c>
      <c r="G530" s="308" t="s">
        <v>373</v>
      </c>
      <c r="I530" s="138">
        <v>5.32</v>
      </c>
      <c r="J530" s="137" t="s">
        <v>2582</v>
      </c>
      <c r="K530" s="138">
        <f t="shared" si="17"/>
        <v>0</v>
      </c>
    </row>
    <row r="531" spans="1:11">
      <c r="A531" s="136">
        <v>42437</v>
      </c>
      <c r="B531" s="307" t="s">
        <v>2226</v>
      </c>
      <c r="C531" s="137" t="s">
        <v>372</v>
      </c>
      <c r="D531" s="138">
        <v>8.86</v>
      </c>
      <c r="E531" s="138">
        <v>0.46</v>
      </c>
      <c r="G531" s="308" t="s">
        <v>373</v>
      </c>
      <c r="I531" s="138">
        <v>8.86</v>
      </c>
      <c r="J531" s="137" t="s">
        <v>2582</v>
      </c>
      <c r="K531" s="138">
        <f t="shared" si="17"/>
        <v>0</v>
      </c>
    </row>
    <row r="532" spans="1:11">
      <c r="A532" s="136">
        <v>42439</v>
      </c>
      <c r="B532" s="307" t="s">
        <v>2182</v>
      </c>
      <c r="C532" s="137" t="s">
        <v>187</v>
      </c>
      <c r="D532" s="138">
        <v>986.43</v>
      </c>
      <c r="E532" s="138">
        <v>56.98</v>
      </c>
      <c r="G532" s="308" t="s">
        <v>378</v>
      </c>
      <c r="J532" s="137" t="s">
        <v>2126</v>
      </c>
      <c r="K532" s="138">
        <f t="shared" si="17"/>
        <v>986.43</v>
      </c>
    </row>
    <row r="533" spans="1:11">
      <c r="A533" s="136">
        <v>42439</v>
      </c>
      <c r="B533" s="307" t="s">
        <v>2196</v>
      </c>
      <c r="C533" s="137" t="s">
        <v>372</v>
      </c>
      <c r="D533" s="138">
        <v>19.75</v>
      </c>
      <c r="E533" s="138">
        <v>1.03</v>
      </c>
      <c r="G533" s="308" t="s">
        <v>378</v>
      </c>
      <c r="I533" s="138">
        <v>19.75</v>
      </c>
      <c r="J533" s="137" t="s">
        <v>2581</v>
      </c>
      <c r="K533" s="138">
        <f t="shared" si="17"/>
        <v>0</v>
      </c>
    </row>
    <row r="534" spans="1:11">
      <c r="A534" s="136">
        <v>42439</v>
      </c>
      <c r="B534" s="307" t="s">
        <v>2197</v>
      </c>
      <c r="C534" s="137" t="s">
        <v>182</v>
      </c>
      <c r="D534" s="138">
        <v>390.62</v>
      </c>
      <c r="E534" s="138">
        <v>20.36</v>
      </c>
      <c r="G534" s="308" t="s">
        <v>378</v>
      </c>
      <c r="I534" s="138">
        <v>390.62</v>
      </c>
      <c r="J534" s="137" t="s">
        <v>2263</v>
      </c>
      <c r="K534" s="138">
        <f t="shared" si="17"/>
        <v>0</v>
      </c>
    </row>
    <row r="535" spans="1:11">
      <c r="A535" s="136">
        <v>42439</v>
      </c>
      <c r="B535" s="307" t="s">
        <v>2217</v>
      </c>
      <c r="C535" s="137" t="s">
        <v>372</v>
      </c>
      <c r="D535" s="138">
        <v>21.1</v>
      </c>
      <c r="E535" s="138">
        <v>1.1000000000000001</v>
      </c>
      <c r="G535" s="308" t="s">
        <v>373</v>
      </c>
      <c r="I535" s="138">
        <v>21.1</v>
      </c>
      <c r="J535" s="137" t="s">
        <v>2582</v>
      </c>
      <c r="K535" s="138">
        <f t="shared" si="17"/>
        <v>0</v>
      </c>
    </row>
    <row r="536" spans="1:11">
      <c r="A536" s="136">
        <v>42439</v>
      </c>
      <c r="B536" s="307" t="s">
        <v>1995</v>
      </c>
      <c r="C536" s="137" t="s">
        <v>183</v>
      </c>
      <c r="D536" s="138">
        <v>319.36</v>
      </c>
      <c r="G536" s="308" t="s">
        <v>373</v>
      </c>
      <c r="I536" s="138">
        <v>319.36</v>
      </c>
      <c r="J536" s="137" t="s">
        <v>2534</v>
      </c>
      <c r="K536" s="138">
        <f t="shared" si="17"/>
        <v>0</v>
      </c>
    </row>
    <row r="537" spans="1:11">
      <c r="A537" s="136">
        <v>42440</v>
      </c>
      <c r="B537" s="307" t="s">
        <v>2195</v>
      </c>
      <c r="C537" s="137" t="s">
        <v>184</v>
      </c>
      <c r="D537" s="138">
        <v>2396.73</v>
      </c>
      <c r="E537" s="138">
        <v>185.94</v>
      </c>
      <c r="G537" s="308" t="s">
        <v>378</v>
      </c>
      <c r="K537" s="138">
        <f t="shared" si="17"/>
        <v>2396.73</v>
      </c>
    </row>
    <row r="538" spans="1:11">
      <c r="A538" s="136">
        <v>42440</v>
      </c>
      <c r="B538" s="307" t="s">
        <v>2218</v>
      </c>
      <c r="C538" s="137" t="s">
        <v>184</v>
      </c>
      <c r="D538" s="138">
        <v>74.16</v>
      </c>
      <c r="E538" s="138">
        <v>1.46</v>
      </c>
      <c r="G538" s="308" t="s">
        <v>373</v>
      </c>
      <c r="I538" s="138">
        <v>74.16</v>
      </c>
      <c r="J538" s="137" t="s">
        <v>2266</v>
      </c>
      <c r="K538" s="138">
        <f t="shared" si="17"/>
        <v>0</v>
      </c>
    </row>
    <row r="539" spans="1:11">
      <c r="A539" s="136">
        <v>42440</v>
      </c>
      <c r="B539" s="307" t="s">
        <v>2227</v>
      </c>
      <c r="C539" s="137" t="s">
        <v>187</v>
      </c>
      <c r="D539" s="138">
        <v>555.22</v>
      </c>
      <c r="E539" s="138">
        <v>32.57</v>
      </c>
      <c r="G539" s="308" t="s">
        <v>373</v>
      </c>
      <c r="J539" s="137" t="s">
        <v>2228</v>
      </c>
      <c r="K539" s="138">
        <f t="shared" si="17"/>
        <v>555.22</v>
      </c>
    </row>
    <row r="540" spans="1:11">
      <c r="A540" s="136">
        <v>42443</v>
      </c>
      <c r="B540" s="307" t="s">
        <v>2199</v>
      </c>
      <c r="C540" s="137" t="s">
        <v>2200</v>
      </c>
      <c r="D540" s="138">
        <v>217.41</v>
      </c>
      <c r="E540" s="138">
        <v>11.34</v>
      </c>
      <c r="G540" s="308" t="s">
        <v>378</v>
      </c>
      <c r="I540" s="138">
        <v>217.41</v>
      </c>
      <c r="J540" s="137" t="s">
        <v>2387</v>
      </c>
      <c r="K540" s="138">
        <f t="shared" si="17"/>
        <v>0</v>
      </c>
    </row>
    <row r="541" spans="1:11">
      <c r="A541" s="136">
        <v>42443</v>
      </c>
      <c r="B541" s="307" t="s">
        <v>2186</v>
      </c>
      <c r="C541" s="137" t="s">
        <v>372</v>
      </c>
      <c r="D541" s="138">
        <v>221.54</v>
      </c>
      <c r="E541" s="138">
        <v>11.55</v>
      </c>
      <c r="G541" s="308" t="s">
        <v>378</v>
      </c>
      <c r="I541" s="138">
        <v>221.54</v>
      </c>
      <c r="J541" s="137" t="s">
        <v>2581</v>
      </c>
      <c r="K541" s="138">
        <f t="shared" ref="K541:K604" si="18">IF(D541&lt;&gt;"",D541-I541,"")</f>
        <v>0</v>
      </c>
    </row>
    <row r="542" spans="1:11">
      <c r="A542" s="136">
        <v>42443</v>
      </c>
      <c r="B542" s="307" t="s">
        <v>2187</v>
      </c>
      <c r="C542" s="137" t="s">
        <v>372</v>
      </c>
      <c r="D542" s="138">
        <v>209.52</v>
      </c>
      <c r="E542" s="138">
        <v>10.92</v>
      </c>
      <c r="G542" s="308" t="s">
        <v>378</v>
      </c>
      <c r="I542" s="138">
        <v>209.52</v>
      </c>
      <c r="J542" s="137" t="s">
        <v>2581</v>
      </c>
      <c r="K542" s="138">
        <f t="shared" si="18"/>
        <v>0</v>
      </c>
    </row>
    <row r="543" spans="1:11">
      <c r="A543" s="136">
        <v>42443</v>
      </c>
      <c r="B543" s="307" t="s">
        <v>2213</v>
      </c>
      <c r="C543" s="137" t="s">
        <v>1973</v>
      </c>
      <c r="D543" s="138">
        <v>260.58999999999997</v>
      </c>
      <c r="E543" s="138">
        <v>13.59</v>
      </c>
      <c r="G543" s="308" t="s">
        <v>378</v>
      </c>
      <c r="I543" s="138">
        <v>260.58999999999997</v>
      </c>
      <c r="J543" s="137" t="s">
        <v>2323</v>
      </c>
      <c r="K543" s="138">
        <f t="shared" si="18"/>
        <v>0</v>
      </c>
    </row>
    <row r="544" spans="1:11">
      <c r="A544" s="136">
        <v>42443</v>
      </c>
      <c r="B544" s="307" t="s">
        <v>2221</v>
      </c>
      <c r="C544" s="137" t="s">
        <v>372</v>
      </c>
      <c r="D544" s="138">
        <v>12.79</v>
      </c>
      <c r="E544" s="138">
        <v>0.67</v>
      </c>
      <c r="G544" s="308" t="s">
        <v>373</v>
      </c>
      <c r="I544" s="138">
        <v>12.79</v>
      </c>
      <c r="J544" s="137" t="s">
        <v>2582</v>
      </c>
      <c r="K544" s="138">
        <f t="shared" si="18"/>
        <v>0</v>
      </c>
    </row>
    <row r="545" spans="1:11">
      <c r="A545" s="136">
        <v>42443</v>
      </c>
      <c r="B545" s="307" t="s">
        <v>2222</v>
      </c>
      <c r="C545" s="137" t="s">
        <v>372</v>
      </c>
      <c r="D545" s="378">
        <v>22.28</v>
      </c>
      <c r="E545" s="138">
        <v>1.1599999999999999</v>
      </c>
      <c r="G545" s="308" t="s">
        <v>373</v>
      </c>
      <c r="I545" s="138">
        <v>22.28</v>
      </c>
      <c r="J545" s="137" t="s">
        <v>2582</v>
      </c>
      <c r="K545" s="138">
        <f t="shared" si="18"/>
        <v>0</v>
      </c>
    </row>
    <row r="546" spans="1:11">
      <c r="A546" s="136">
        <v>42443</v>
      </c>
      <c r="B546" s="307" t="s">
        <v>2229</v>
      </c>
      <c r="C546" s="137" t="s">
        <v>186</v>
      </c>
      <c r="D546" s="138">
        <v>143.47</v>
      </c>
      <c r="E546" s="138">
        <v>15.42</v>
      </c>
      <c r="G546" s="308" t="s">
        <v>373</v>
      </c>
      <c r="I546" s="138">
        <v>143.47</v>
      </c>
      <c r="J546" s="137" t="s">
        <v>2232</v>
      </c>
      <c r="K546" s="138">
        <f t="shared" si="18"/>
        <v>0</v>
      </c>
    </row>
    <row r="547" spans="1:11">
      <c r="A547" s="136">
        <v>42444</v>
      </c>
      <c r="B547" s="307" t="s">
        <v>2207</v>
      </c>
      <c r="C547" s="137" t="s">
        <v>2200</v>
      </c>
      <c r="D547" s="138">
        <v>1142.94</v>
      </c>
      <c r="E547" s="138">
        <v>63.13</v>
      </c>
      <c r="G547" s="308" t="s">
        <v>378</v>
      </c>
      <c r="I547" s="138">
        <v>1142.94</v>
      </c>
      <c r="J547" s="137" t="s">
        <v>2562</v>
      </c>
      <c r="K547" s="138">
        <f t="shared" si="18"/>
        <v>0</v>
      </c>
    </row>
    <row r="548" spans="1:11">
      <c r="A548" s="136">
        <v>42444</v>
      </c>
      <c r="B548" s="307" t="s">
        <v>2184</v>
      </c>
      <c r="C548" s="137" t="s">
        <v>372</v>
      </c>
      <c r="D548" s="138">
        <v>53.17</v>
      </c>
      <c r="E548" s="138">
        <v>2.77</v>
      </c>
      <c r="G548" s="308" t="s">
        <v>378</v>
      </c>
      <c r="I548" s="138">
        <v>53.17</v>
      </c>
      <c r="J548" s="137" t="s">
        <v>2581</v>
      </c>
      <c r="K548" s="138">
        <f t="shared" si="18"/>
        <v>0</v>
      </c>
    </row>
    <row r="549" spans="1:11">
      <c r="A549" s="136">
        <v>42444</v>
      </c>
      <c r="B549" s="307" t="s">
        <v>2185</v>
      </c>
      <c r="C549" s="137" t="s">
        <v>184</v>
      </c>
      <c r="D549" s="138">
        <v>1851.63</v>
      </c>
      <c r="E549" s="138">
        <v>298.05</v>
      </c>
      <c r="G549" s="308" t="s">
        <v>378</v>
      </c>
      <c r="K549" s="138">
        <f t="shared" si="18"/>
        <v>1851.63</v>
      </c>
    </row>
    <row r="550" spans="1:11">
      <c r="A550" s="136">
        <v>42444</v>
      </c>
      <c r="B550" s="307" t="s">
        <v>2208</v>
      </c>
      <c r="C550" s="137" t="s">
        <v>2200</v>
      </c>
      <c r="D550" s="138">
        <v>1482.65</v>
      </c>
      <c r="E550" s="138">
        <v>77.67</v>
      </c>
      <c r="G550" s="308" t="s">
        <v>378</v>
      </c>
      <c r="I550" s="138">
        <v>1482.65</v>
      </c>
      <c r="J550" s="137" t="s">
        <v>2387</v>
      </c>
      <c r="K550" s="138">
        <f t="shared" si="18"/>
        <v>0</v>
      </c>
    </row>
    <row r="551" spans="1:11">
      <c r="A551" s="136">
        <v>42444</v>
      </c>
      <c r="B551" s="307" t="s">
        <v>2219</v>
      </c>
      <c r="C551" s="137" t="s">
        <v>372</v>
      </c>
      <c r="D551" s="138">
        <v>22.28</v>
      </c>
      <c r="E551" s="138">
        <v>1.1599999999999999</v>
      </c>
      <c r="G551" s="308" t="s">
        <v>373</v>
      </c>
      <c r="I551" s="138">
        <v>22.28</v>
      </c>
      <c r="J551" s="137" t="s">
        <v>2582</v>
      </c>
      <c r="K551" s="138">
        <f t="shared" si="18"/>
        <v>0</v>
      </c>
    </row>
    <row r="552" spans="1:11">
      <c r="A552" s="136">
        <v>42445</v>
      </c>
      <c r="B552" s="307" t="s">
        <v>2216</v>
      </c>
      <c r="C552" s="137" t="s">
        <v>2200</v>
      </c>
      <c r="D552" s="138">
        <v>1071.42</v>
      </c>
      <c r="E552" s="138">
        <v>74.97</v>
      </c>
      <c r="G552" s="308" t="s">
        <v>373</v>
      </c>
      <c r="I552" s="138">
        <v>1071.42</v>
      </c>
      <c r="J552" s="137" t="s">
        <v>2388</v>
      </c>
      <c r="K552" s="138">
        <f t="shared" si="18"/>
        <v>0</v>
      </c>
    </row>
    <row r="553" spans="1:11">
      <c r="A553" s="136">
        <v>42445</v>
      </c>
      <c r="B553" s="307" t="s">
        <v>2220</v>
      </c>
      <c r="C553" s="137" t="s">
        <v>372</v>
      </c>
      <c r="D553" s="138">
        <v>16.25</v>
      </c>
      <c r="E553" s="138">
        <v>0.85</v>
      </c>
      <c r="G553" s="308" t="s">
        <v>373</v>
      </c>
      <c r="I553" s="138">
        <v>16.25</v>
      </c>
      <c r="J553" s="137" t="s">
        <v>2582</v>
      </c>
      <c r="K553" s="138">
        <f t="shared" si="18"/>
        <v>0</v>
      </c>
    </row>
    <row r="554" spans="1:11">
      <c r="A554" s="136">
        <v>42446</v>
      </c>
      <c r="B554" s="307" t="s">
        <v>2201</v>
      </c>
      <c r="C554" s="137" t="s">
        <v>2200</v>
      </c>
      <c r="D554" s="138">
        <v>11.52</v>
      </c>
      <c r="E554" s="138">
        <v>0.6</v>
      </c>
      <c r="G554" s="308" t="s">
        <v>378</v>
      </c>
      <c r="I554" s="138">
        <v>11.52</v>
      </c>
      <c r="J554" s="137" t="s">
        <v>2562</v>
      </c>
      <c r="K554" s="138">
        <f t="shared" si="18"/>
        <v>0</v>
      </c>
    </row>
    <row r="555" spans="1:11">
      <c r="A555" s="136">
        <v>42446</v>
      </c>
      <c r="B555" s="307" t="s">
        <v>2183</v>
      </c>
      <c r="C555" s="137" t="s">
        <v>372</v>
      </c>
      <c r="D555" s="138">
        <v>127.87</v>
      </c>
      <c r="E555" s="138">
        <v>6.67</v>
      </c>
      <c r="G555" s="308" t="s">
        <v>378</v>
      </c>
      <c r="I555" s="138">
        <v>127.87</v>
      </c>
      <c r="J555" s="137" t="s">
        <v>2581</v>
      </c>
      <c r="K555" s="138">
        <f t="shared" si="18"/>
        <v>0</v>
      </c>
    </row>
    <row r="556" spans="1:11">
      <c r="A556" s="136">
        <v>42446</v>
      </c>
      <c r="B556" s="307" t="s">
        <v>2202</v>
      </c>
      <c r="C556" s="137" t="s">
        <v>2200</v>
      </c>
      <c r="D556" s="138">
        <v>119.46</v>
      </c>
      <c r="E556" s="138">
        <v>6.51</v>
      </c>
      <c r="G556" s="308" t="s">
        <v>378</v>
      </c>
      <c r="I556" s="138">
        <v>119.46</v>
      </c>
      <c r="J556" s="137" t="s">
        <v>2562</v>
      </c>
      <c r="K556" s="138">
        <f t="shared" si="18"/>
        <v>0</v>
      </c>
    </row>
    <row r="557" spans="1:11">
      <c r="A557" s="136">
        <v>42446</v>
      </c>
      <c r="B557" s="307" t="s">
        <v>2203</v>
      </c>
      <c r="C557" s="137" t="s">
        <v>2200</v>
      </c>
      <c r="D557" s="138">
        <v>46.51</v>
      </c>
      <c r="E557" s="138">
        <v>7.75</v>
      </c>
      <c r="G557" s="308" t="s">
        <v>378</v>
      </c>
      <c r="I557" s="138">
        <v>46.51</v>
      </c>
      <c r="J557" s="137" t="s">
        <v>2562</v>
      </c>
      <c r="K557" s="138">
        <f t="shared" si="18"/>
        <v>0</v>
      </c>
    </row>
    <row r="558" spans="1:11">
      <c r="A558" s="136">
        <v>42446</v>
      </c>
      <c r="B558" s="307" t="s">
        <v>2204</v>
      </c>
      <c r="C558" s="137" t="s">
        <v>2200</v>
      </c>
      <c r="D558" s="138">
        <v>151.53</v>
      </c>
      <c r="E558" s="138">
        <v>7.89</v>
      </c>
      <c r="G558" s="308" t="s">
        <v>378</v>
      </c>
      <c r="I558" s="138">
        <v>151.53</v>
      </c>
      <c r="J558" s="137" t="s">
        <v>2593</v>
      </c>
      <c r="K558" s="138">
        <f t="shared" si="18"/>
        <v>0</v>
      </c>
    </row>
    <row r="559" spans="1:11">
      <c r="A559" s="136">
        <v>42446</v>
      </c>
      <c r="B559" s="307" t="s">
        <v>2205</v>
      </c>
      <c r="C559" s="137" t="s">
        <v>2200</v>
      </c>
      <c r="D559" s="138">
        <v>257.83</v>
      </c>
      <c r="E559" s="138">
        <v>39.49</v>
      </c>
      <c r="G559" s="308" t="s">
        <v>378</v>
      </c>
      <c r="I559" s="138">
        <v>257.83</v>
      </c>
      <c r="J559" s="137" t="s">
        <v>2562</v>
      </c>
      <c r="K559" s="138">
        <f t="shared" si="18"/>
        <v>0</v>
      </c>
    </row>
    <row r="560" spans="1:11">
      <c r="A560" s="136">
        <v>42446</v>
      </c>
      <c r="B560" s="307" t="s">
        <v>2206</v>
      </c>
      <c r="C560" s="137" t="s">
        <v>2200</v>
      </c>
      <c r="D560" s="138">
        <v>513.87</v>
      </c>
      <c r="E560" s="138">
        <v>26.79</v>
      </c>
      <c r="G560" s="308" t="s">
        <v>378</v>
      </c>
      <c r="I560" s="138">
        <v>513.87</v>
      </c>
      <c r="J560" s="137" t="s">
        <v>2387</v>
      </c>
      <c r="K560" s="138">
        <f t="shared" si="18"/>
        <v>0</v>
      </c>
    </row>
    <row r="561" spans="1:11">
      <c r="A561" s="136">
        <v>42446</v>
      </c>
      <c r="B561" s="307" t="s">
        <v>2223</v>
      </c>
      <c r="C561" s="137" t="s">
        <v>372</v>
      </c>
      <c r="D561" s="138">
        <v>22.47</v>
      </c>
      <c r="E561" s="138">
        <v>1.17</v>
      </c>
      <c r="G561" s="308" t="s">
        <v>373</v>
      </c>
      <c r="I561" s="138">
        <v>22.47</v>
      </c>
      <c r="J561" s="137" t="s">
        <v>2582</v>
      </c>
      <c r="K561" s="138">
        <f t="shared" si="18"/>
        <v>0</v>
      </c>
    </row>
    <row r="562" spans="1:11">
      <c r="A562" s="136">
        <v>42446</v>
      </c>
      <c r="B562" s="307" t="s">
        <v>2235</v>
      </c>
      <c r="C562" s="137" t="s">
        <v>372</v>
      </c>
      <c r="D562" s="378">
        <v>9.2100000000000009</v>
      </c>
      <c r="E562" s="138">
        <v>0.48</v>
      </c>
      <c r="G562" s="308" t="s">
        <v>378</v>
      </c>
      <c r="I562" s="138">
        <v>9.2100000000000009</v>
      </c>
      <c r="J562" s="137" t="s">
        <v>2581</v>
      </c>
      <c r="K562" s="138">
        <f t="shared" si="18"/>
        <v>0</v>
      </c>
    </row>
    <row r="563" spans="1:11">
      <c r="A563" s="136">
        <v>42446</v>
      </c>
      <c r="B563" s="307" t="s">
        <v>2264</v>
      </c>
      <c r="C563" s="137" t="s">
        <v>187</v>
      </c>
      <c r="D563" s="138">
        <v>1409.23</v>
      </c>
      <c r="E563" s="138">
        <v>93.68</v>
      </c>
      <c r="G563" s="308" t="s">
        <v>378</v>
      </c>
      <c r="J563" s="137" t="s">
        <v>2171</v>
      </c>
      <c r="K563" s="138">
        <f t="shared" si="18"/>
        <v>1409.23</v>
      </c>
    </row>
    <row r="564" spans="1:11">
      <c r="A564" s="136">
        <v>42447</v>
      </c>
      <c r="B564" s="307" t="s">
        <v>2241</v>
      </c>
      <c r="C564" s="137" t="s">
        <v>2200</v>
      </c>
      <c r="D564" s="138">
        <v>377.26</v>
      </c>
      <c r="E564" s="138">
        <v>26.67</v>
      </c>
      <c r="G564" s="308" t="s">
        <v>378</v>
      </c>
      <c r="I564" s="138">
        <v>377.26</v>
      </c>
      <c r="J564" s="137" t="s">
        <v>2593</v>
      </c>
      <c r="K564" s="138">
        <f t="shared" si="18"/>
        <v>0</v>
      </c>
    </row>
    <row r="565" spans="1:11">
      <c r="A565" s="136">
        <v>42447</v>
      </c>
      <c r="B565" s="307" t="s">
        <v>2211</v>
      </c>
      <c r="C565" s="137" t="s">
        <v>183</v>
      </c>
      <c r="D565" s="138">
        <v>1581.29</v>
      </c>
      <c r="E565" s="138">
        <v>105.23</v>
      </c>
      <c r="G565" s="308" t="s">
        <v>378</v>
      </c>
      <c r="J565" s="137" t="s">
        <v>2212</v>
      </c>
      <c r="K565" s="138">
        <f t="shared" si="18"/>
        <v>1581.29</v>
      </c>
    </row>
    <row r="566" spans="1:11">
      <c r="A566" s="136">
        <v>42447</v>
      </c>
      <c r="B566" s="307" t="s">
        <v>2224</v>
      </c>
      <c r="C566" s="137" t="s">
        <v>372</v>
      </c>
      <c r="D566" s="138">
        <v>5.55</v>
      </c>
      <c r="E566" s="138">
        <v>0.28999999999999998</v>
      </c>
      <c r="G566" s="308" t="s">
        <v>373</v>
      </c>
      <c r="I566" s="138">
        <v>5.55</v>
      </c>
      <c r="J566" s="137" t="s">
        <v>2582</v>
      </c>
      <c r="K566" s="138">
        <f t="shared" si="18"/>
        <v>0</v>
      </c>
    </row>
    <row r="567" spans="1:11">
      <c r="A567" s="136">
        <v>42447</v>
      </c>
      <c r="B567" s="307" t="s">
        <v>2234</v>
      </c>
      <c r="C567" s="137" t="s">
        <v>372</v>
      </c>
      <c r="D567" s="138">
        <v>175.35</v>
      </c>
      <c r="E567" s="138">
        <v>9.14</v>
      </c>
      <c r="G567" s="308" t="s">
        <v>378</v>
      </c>
      <c r="I567" s="138">
        <v>175.35</v>
      </c>
      <c r="J567" s="137" t="s">
        <v>2581</v>
      </c>
      <c r="K567" s="138">
        <f t="shared" si="18"/>
        <v>0</v>
      </c>
    </row>
    <row r="568" spans="1:11">
      <c r="A568" s="136">
        <v>42447</v>
      </c>
      <c r="B568" s="307" t="s">
        <v>2236</v>
      </c>
      <c r="C568" s="137" t="s">
        <v>372</v>
      </c>
      <c r="D568" s="138">
        <v>6.65</v>
      </c>
      <c r="E568" s="138">
        <v>0.35</v>
      </c>
      <c r="G568" s="308" t="s">
        <v>378</v>
      </c>
      <c r="I568" s="138">
        <v>6.65</v>
      </c>
      <c r="J568" s="137" t="s">
        <v>2581</v>
      </c>
      <c r="K568" s="138">
        <f t="shared" si="18"/>
        <v>0</v>
      </c>
    </row>
    <row r="569" spans="1:11">
      <c r="A569" s="136">
        <v>42447</v>
      </c>
      <c r="B569" s="307" t="s">
        <v>2242</v>
      </c>
      <c r="C569" s="137" t="s">
        <v>184</v>
      </c>
      <c r="D569" s="138">
        <v>360.84</v>
      </c>
      <c r="E569" s="138">
        <v>33.68</v>
      </c>
      <c r="G569" s="308" t="s">
        <v>378</v>
      </c>
      <c r="K569" s="138">
        <f t="shared" si="18"/>
        <v>360.84</v>
      </c>
    </row>
    <row r="570" spans="1:11">
      <c r="A570" s="136">
        <v>42447</v>
      </c>
      <c r="B570" s="307" t="s">
        <v>2321</v>
      </c>
      <c r="C570" s="137" t="s">
        <v>187</v>
      </c>
      <c r="D570" s="138">
        <v>710.67</v>
      </c>
      <c r="E570" s="138">
        <v>49.47</v>
      </c>
      <c r="G570" s="308" t="s">
        <v>373</v>
      </c>
      <c r="K570" s="138">
        <f t="shared" si="18"/>
        <v>710.67</v>
      </c>
    </row>
    <row r="571" spans="1:11">
      <c r="A571" s="136">
        <v>42448</v>
      </c>
      <c r="B571" s="307" t="s">
        <v>2233</v>
      </c>
      <c r="C571" s="137" t="s">
        <v>372</v>
      </c>
      <c r="D571" s="138">
        <v>125.84</v>
      </c>
      <c r="E571" s="138">
        <v>6.56</v>
      </c>
      <c r="G571" s="308" t="s">
        <v>378</v>
      </c>
      <c r="I571" s="138">
        <v>125.84</v>
      </c>
      <c r="J571" s="137" t="s">
        <v>2581</v>
      </c>
      <c r="K571" s="138">
        <f t="shared" si="18"/>
        <v>0</v>
      </c>
    </row>
    <row r="572" spans="1:11">
      <c r="A572" s="136">
        <v>42448</v>
      </c>
      <c r="B572" s="307" t="s">
        <v>2237</v>
      </c>
      <c r="C572" s="137" t="s">
        <v>372</v>
      </c>
      <c r="D572" s="138">
        <v>54.52</v>
      </c>
      <c r="E572" s="138">
        <v>2.84</v>
      </c>
      <c r="G572" s="308" t="s">
        <v>378</v>
      </c>
      <c r="I572" s="138">
        <v>54.52</v>
      </c>
      <c r="J572" s="137" t="s">
        <v>2581</v>
      </c>
      <c r="K572" s="138">
        <f t="shared" si="18"/>
        <v>0</v>
      </c>
    </row>
    <row r="573" spans="1:11">
      <c r="A573" s="136">
        <v>42450</v>
      </c>
      <c r="B573" s="307" t="s">
        <v>2238</v>
      </c>
      <c r="C573" s="137" t="s">
        <v>2200</v>
      </c>
      <c r="D573" s="138">
        <v>26.1</v>
      </c>
      <c r="E573" s="138">
        <v>1.36</v>
      </c>
      <c r="G573" s="308" t="s">
        <v>378</v>
      </c>
      <c r="I573" s="138">
        <v>26.1</v>
      </c>
      <c r="J573" s="137" t="s">
        <v>2593</v>
      </c>
      <c r="K573" s="138">
        <f t="shared" si="18"/>
        <v>0</v>
      </c>
    </row>
    <row r="574" spans="1:11">
      <c r="A574" s="136">
        <v>42450</v>
      </c>
      <c r="B574" s="307" t="s">
        <v>2239</v>
      </c>
      <c r="C574" s="137" t="s">
        <v>2200</v>
      </c>
      <c r="D574" s="138">
        <v>692.47</v>
      </c>
      <c r="E574" s="138">
        <v>37.01</v>
      </c>
      <c r="G574" s="308" t="s">
        <v>378</v>
      </c>
      <c r="I574" s="138">
        <v>692.47</v>
      </c>
      <c r="J574" s="137" t="s">
        <v>2593</v>
      </c>
      <c r="K574" s="138">
        <f t="shared" si="18"/>
        <v>0</v>
      </c>
    </row>
    <row r="575" spans="1:11">
      <c r="A575" s="136">
        <v>42450</v>
      </c>
      <c r="B575" s="307" t="s">
        <v>2240</v>
      </c>
      <c r="C575" s="137" t="s">
        <v>2200</v>
      </c>
      <c r="D575" s="138">
        <v>6.71</v>
      </c>
      <c r="E575" s="138">
        <v>1.1200000000000001</v>
      </c>
      <c r="G575" s="308" t="s">
        <v>378</v>
      </c>
      <c r="I575" s="138">
        <v>6.71</v>
      </c>
      <c r="J575" s="137" t="s">
        <v>2593</v>
      </c>
      <c r="K575" s="138">
        <f t="shared" si="18"/>
        <v>0</v>
      </c>
    </row>
    <row r="576" spans="1:11">
      <c r="A576" s="136">
        <v>42451</v>
      </c>
      <c r="B576" s="307" t="s">
        <v>2253</v>
      </c>
      <c r="C576" s="137" t="s">
        <v>2200</v>
      </c>
      <c r="D576" s="138">
        <v>1289.24</v>
      </c>
      <c r="E576" s="138">
        <v>85.52</v>
      </c>
      <c r="G576" s="308" t="s">
        <v>378</v>
      </c>
      <c r="I576" s="138">
        <v>1289.24</v>
      </c>
      <c r="J576" s="137" t="s">
        <v>2593</v>
      </c>
      <c r="K576" s="138">
        <f t="shared" si="18"/>
        <v>0</v>
      </c>
    </row>
    <row r="577" spans="1:11">
      <c r="A577" s="136">
        <v>42451</v>
      </c>
      <c r="B577" s="307" t="s">
        <v>2251</v>
      </c>
      <c r="C577" s="137" t="s">
        <v>2252</v>
      </c>
      <c r="D577" s="138">
        <v>355.95</v>
      </c>
      <c r="E577" s="138">
        <v>18.559999999999999</v>
      </c>
      <c r="G577" s="308" t="s">
        <v>378</v>
      </c>
      <c r="I577" s="138">
        <v>355.95</v>
      </c>
      <c r="J577" s="137" t="s">
        <v>2530</v>
      </c>
      <c r="K577" s="138">
        <f t="shared" si="18"/>
        <v>0</v>
      </c>
    </row>
    <row r="578" spans="1:11">
      <c r="A578" s="136">
        <v>42451</v>
      </c>
      <c r="B578" s="307" t="s">
        <v>2254</v>
      </c>
      <c r="C578" s="137" t="s">
        <v>2200</v>
      </c>
      <c r="D578" s="138">
        <v>602.30999999999995</v>
      </c>
      <c r="E578" s="138">
        <v>31.4</v>
      </c>
      <c r="G578" s="308" t="s">
        <v>378</v>
      </c>
      <c r="I578" s="138">
        <v>602.30999999999995</v>
      </c>
      <c r="J578" s="137" t="s">
        <v>2593</v>
      </c>
      <c r="K578" s="138">
        <f t="shared" si="18"/>
        <v>0</v>
      </c>
    </row>
    <row r="579" spans="1:11">
      <c r="A579" s="136">
        <v>42451</v>
      </c>
      <c r="B579" s="307" t="s">
        <v>2255</v>
      </c>
      <c r="C579" s="137" t="s">
        <v>2200</v>
      </c>
      <c r="D579" s="138">
        <v>122.02</v>
      </c>
      <c r="E579" s="138">
        <v>6.36</v>
      </c>
      <c r="G579" s="308" t="s">
        <v>378</v>
      </c>
      <c r="I579" s="378">
        <v>122.02</v>
      </c>
      <c r="J579" s="137" t="s">
        <v>2593</v>
      </c>
      <c r="K579" s="138">
        <f t="shared" si="18"/>
        <v>0</v>
      </c>
    </row>
    <row r="580" spans="1:11">
      <c r="A580" s="136">
        <v>42451</v>
      </c>
      <c r="B580" s="307" t="s">
        <v>2256</v>
      </c>
      <c r="C580" s="137" t="s">
        <v>2200</v>
      </c>
      <c r="D580" s="138">
        <v>38.47</v>
      </c>
      <c r="E580" s="138">
        <v>2.2799999999999998</v>
      </c>
      <c r="G580" s="308" t="s">
        <v>378</v>
      </c>
      <c r="I580" s="138">
        <v>38.47</v>
      </c>
      <c r="J580" s="137" t="s">
        <v>2593</v>
      </c>
      <c r="K580" s="138">
        <f t="shared" si="18"/>
        <v>0</v>
      </c>
    </row>
    <row r="581" spans="1:11">
      <c r="A581" s="136">
        <v>42451</v>
      </c>
      <c r="B581" s="307" t="s">
        <v>2258</v>
      </c>
      <c r="C581" s="137" t="s">
        <v>372</v>
      </c>
      <c r="D581" s="138">
        <v>93.97</v>
      </c>
      <c r="E581" s="138">
        <v>4.9000000000000004</v>
      </c>
      <c r="G581" s="308" t="s">
        <v>378</v>
      </c>
      <c r="I581" s="138">
        <v>93.97</v>
      </c>
      <c r="J581" s="137" t="s">
        <v>2581</v>
      </c>
      <c r="K581" s="138">
        <f t="shared" si="18"/>
        <v>0</v>
      </c>
    </row>
    <row r="582" spans="1:11">
      <c r="A582" s="136">
        <v>42451</v>
      </c>
      <c r="B582" s="307" t="s">
        <v>2319</v>
      </c>
      <c r="C582" s="137" t="s">
        <v>372</v>
      </c>
      <c r="D582" s="138">
        <v>22.37</v>
      </c>
      <c r="E582" s="138">
        <v>1.17</v>
      </c>
      <c r="G582" s="308" t="s">
        <v>373</v>
      </c>
      <c r="I582" s="138">
        <v>22.37</v>
      </c>
      <c r="J582" s="137" t="s">
        <v>2582</v>
      </c>
      <c r="K582" s="138">
        <f t="shared" si="18"/>
        <v>0</v>
      </c>
    </row>
    <row r="583" spans="1:11">
      <c r="A583" s="136">
        <v>42451</v>
      </c>
      <c r="B583" s="307" t="s">
        <v>2320</v>
      </c>
      <c r="C583" s="137" t="s">
        <v>372</v>
      </c>
      <c r="D583" s="138">
        <v>36.950000000000003</v>
      </c>
      <c r="E583" s="138">
        <v>1.93</v>
      </c>
      <c r="G583" s="308" t="s">
        <v>373</v>
      </c>
      <c r="I583" s="138">
        <v>36.950000000000003</v>
      </c>
      <c r="J583" s="137" t="s">
        <v>2582</v>
      </c>
      <c r="K583" s="138">
        <f t="shared" si="18"/>
        <v>0</v>
      </c>
    </row>
    <row r="584" spans="1:11">
      <c r="A584" s="136">
        <v>42452</v>
      </c>
      <c r="B584" s="307" t="s">
        <v>2314</v>
      </c>
      <c r="C584" s="137" t="s">
        <v>2200</v>
      </c>
      <c r="D584" s="138">
        <v>1462.6</v>
      </c>
      <c r="E584" s="138">
        <v>89.55</v>
      </c>
      <c r="G584" s="308" t="s">
        <v>373</v>
      </c>
      <c r="I584" s="138">
        <v>1462.6</v>
      </c>
      <c r="J584" s="137" t="s">
        <v>2563</v>
      </c>
      <c r="K584" s="138">
        <f t="shared" si="18"/>
        <v>0</v>
      </c>
    </row>
    <row r="585" spans="1:11">
      <c r="A585" s="136">
        <v>42452</v>
      </c>
      <c r="B585" s="307" t="s">
        <v>2257</v>
      </c>
      <c r="C585" s="137" t="s">
        <v>182</v>
      </c>
      <c r="D585" s="138">
        <v>255.3</v>
      </c>
      <c r="E585" s="138">
        <v>13.31</v>
      </c>
      <c r="G585" s="308" t="s">
        <v>378</v>
      </c>
      <c r="I585" s="138">
        <v>255.3</v>
      </c>
      <c r="J585" s="137" t="s">
        <v>2494</v>
      </c>
      <c r="K585" s="138">
        <f t="shared" si="18"/>
        <v>0</v>
      </c>
    </row>
    <row r="586" spans="1:11">
      <c r="A586" s="136">
        <v>42452</v>
      </c>
      <c r="B586" s="307" t="s">
        <v>2315</v>
      </c>
      <c r="C586" s="137" t="s">
        <v>2200</v>
      </c>
      <c r="D586" s="138">
        <v>19.75</v>
      </c>
      <c r="E586" s="138">
        <v>1.03</v>
      </c>
      <c r="G586" s="308" t="s">
        <v>373</v>
      </c>
      <c r="I586" s="138">
        <v>19.75</v>
      </c>
      <c r="J586" s="137" t="s">
        <v>2388</v>
      </c>
      <c r="K586" s="138">
        <f t="shared" si="18"/>
        <v>0</v>
      </c>
    </row>
    <row r="587" spans="1:11">
      <c r="A587" s="136">
        <v>42453</v>
      </c>
      <c r="B587" s="307" t="s">
        <v>2244</v>
      </c>
      <c r="C587" s="137" t="s">
        <v>2200</v>
      </c>
      <c r="D587" s="138">
        <v>249.81</v>
      </c>
      <c r="E587" s="138">
        <v>13.96</v>
      </c>
      <c r="G587" s="308" t="s">
        <v>378</v>
      </c>
      <c r="I587" s="138">
        <v>249.81</v>
      </c>
      <c r="J587" s="137" t="s">
        <v>2593</v>
      </c>
      <c r="K587" s="138">
        <f t="shared" si="18"/>
        <v>0</v>
      </c>
    </row>
    <row r="588" spans="1:11">
      <c r="A588" s="136">
        <v>42453</v>
      </c>
      <c r="B588" s="307" t="s">
        <v>2245</v>
      </c>
      <c r="C588" s="137" t="s">
        <v>2200</v>
      </c>
      <c r="D588" s="138">
        <v>45.25</v>
      </c>
      <c r="E588" s="138">
        <v>2.36</v>
      </c>
      <c r="G588" s="308" t="s">
        <v>378</v>
      </c>
      <c r="I588" s="138">
        <v>45.25</v>
      </c>
      <c r="J588" s="137" t="s">
        <v>2593</v>
      </c>
      <c r="K588" s="138">
        <f t="shared" si="18"/>
        <v>0</v>
      </c>
    </row>
    <row r="589" spans="1:11">
      <c r="A589" s="136">
        <v>42453</v>
      </c>
      <c r="B589" s="307" t="s">
        <v>2246</v>
      </c>
      <c r="C589" s="137" t="s">
        <v>2200</v>
      </c>
      <c r="D589" s="138">
        <v>34.07</v>
      </c>
      <c r="E589" s="138">
        <v>5.68</v>
      </c>
      <c r="G589" s="308" t="s">
        <v>378</v>
      </c>
      <c r="I589" s="138">
        <v>34.07</v>
      </c>
      <c r="J589" s="137" t="s">
        <v>2593</v>
      </c>
      <c r="K589" s="138">
        <f t="shared" si="18"/>
        <v>0</v>
      </c>
    </row>
    <row r="590" spans="1:11">
      <c r="A590" s="136">
        <v>42453</v>
      </c>
      <c r="B590" s="307" t="s">
        <v>2247</v>
      </c>
      <c r="C590" s="137" t="s">
        <v>2200</v>
      </c>
      <c r="D590" s="138">
        <v>596.61</v>
      </c>
      <c r="E590" s="138">
        <v>37.31</v>
      </c>
      <c r="G590" s="308" t="s">
        <v>378</v>
      </c>
      <c r="I590" s="138">
        <v>596.61</v>
      </c>
      <c r="J590" s="137" t="s">
        <v>2593</v>
      </c>
      <c r="K590" s="138">
        <f t="shared" si="18"/>
        <v>0</v>
      </c>
    </row>
    <row r="591" spans="1:11">
      <c r="A591" s="136">
        <v>42453</v>
      </c>
      <c r="B591" s="307" t="s">
        <v>2316</v>
      </c>
      <c r="C591" s="137" t="s">
        <v>2200</v>
      </c>
      <c r="D591" s="138">
        <v>188.41</v>
      </c>
      <c r="E591" s="138">
        <v>9.82</v>
      </c>
      <c r="G591" s="308" t="s">
        <v>373</v>
      </c>
      <c r="I591" s="138">
        <v>188.41</v>
      </c>
      <c r="J591" s="137" t="s">
        <v>2388</v>
      </c>
      <c r="K591" s="138">
        <f t="shared" si="18"/>
        <v>0</v>
      </c>
    </row>
    <row r="592" spans="1:11">
      <c r="A592" s="136">
        <v>42453</v>
      </c>
      <c r="B592" s="307" t="s">
        <v>2303</v>
      </c>
      <c r="C592" s="137" t="s">
        <v>187</v>
      </c>
      <c r="D592" s="138">
        <v>925.39</v>
      </c>
      <c r="E592" s="138">
        <v>48.24</v>
      </c>
      <c r="G592" s="308" t="s">
        <v>378</v>
      </c>
      <c r="K592" s="138">
        <f t="shared" si="18"/>
        <v>925.39</v>
      </c>
    </row>
    <row r="593" spans="1:11">
      <c r="A593" s="136">
        <v>42453</v>
      </c>
      <c r="B593" s="307" t="s">
        <v>2317</v>
      </c>
      <c r="C593" s="137" t="s">
        <v>2200</v>
      </c>
      <c r="D593" s="138">
        <v>8.91</v>
      </c>
      <c r="E593" s="138">
        <v>0.46</v>
      </c>
      <c r="G593" s="308" t="s">
        <v>373</v>
      </c>
      <c r="I593" s="138">
        <v>8.91</v>
      </c>
      <c r="J593" s="137" t="s">
        <v>2388</v>
      </c>
      <c r="K593" s="138">
        <f t="shared" si="18"/>
        <v>0</v>
      </c>
    </row>
    <row r="594" spans="1:11">
      <c r="A594" s="136">
        <v>42453</v>
      </c>
      <c r="B594" s="307" t="s">
        <v>2318</v>
      </c>
      <c r="C594" s="137" t="s">
        <v>372</v>
      </c>
      <c r="D594" s="138">
        <v>24.04</v>
      </c>
      <c r="E594" s="138">
        <v>1.25</v>
      </c>
      <c r="G594" s="308" t="s">
        <v>373</v>
      </c>
      <c r="I594" s="138">
        <v>24.04</v>
      </c>
      <c r="J594" s="137" t="s">
        <v>2582</v>
      </c>
      <c r="K594" s="138">
        <f t="shared" si="18"/>
        <v>0</v>
      </c>
    </row>
    <row r="595" spans="1:11">
      <c r="A595" s="136">
        <v>42454</v>
      </c>
      <c r="B595" s="307" t="s">
        <v>2248</v>
      </c>
      <c r="C595" s="137" t="s">
        <v>2200</v>
      </c>
      <c r="D595" s="138">
        <v>1716.24</v>
      </c>
      <c r="E595" s="138">
        <v>92.12</v>
      </c>
      <c r="G595" s="308" t="s">
        <v>378</v>
      </c>
      <c r="I595" s="138">
        <v>1716.24</v>
      </c>
      <c r="J595" s="137" t="s">
        <v>2593</v>
      </c>
      <c r="K595" s="138">
        <f t="shared" si="18"/>
        <v>0</v>
      </c>
    </row>
    <row r="596" spans="1:11">
      <c r="A596" s="136">
        <v>42454</v>
      </c>
      <c r="B596" s="307" t="s">
        <v>2249</v>
      </c>
      <c r="C596" s="137" t="s">
        <v>2200</v>
      </c>
      <c r="D596" s="138">
        <v>60.05</v>
      </c>
      <c r="E596" s="138">
        <v>10.01</v>
      </c>
      <c r="G596" s="308" t="s">
        <v>378</v>
      </c>
      <c r="I596" s="138">
        <v>60.05</v>
      </c>
      <c r="J596" s="137" t="s">
        <v>2728</v>
      </c>
      <c r="K596" s="138">
        <f t="shared" si="18"/>
        <v>0</v>
      </c>
    </row>
    <row r="597" spans="1:11">
      <c r="A597" s="136">
        <v>42454</v>
      </c>
      <c r="B597" s="307" t="s">
        <v>2262</v>
      </c>
      <c r="C597" s="137" t="s">
        <v>2200</v>
      </c>
      <c r="D597" s="138">
        <v>51.46</v>
      </c>
      <c r="E597" s="138">
        <v>8.58</v>
      </c>
      <c r="G597" s="308" t="s">
        <v>373</v>
      </c>
      <c r="I597" s="138">
        <v>51.46</v>
      </c>
      <c r="J597" s="137" t="s">
        <v>2388</v>
      </c>
      <c r="K597" s="138">
        <f t="shared" si="18"/>
        <v>0</v>
      </c>
    </row>
    <row r="598" spans="1:11">
      <c r="A598" s="136">
        <v>42454</v>
      </c>
      <c r="B598" s="307" t="s">
        <v>2250</v>
      </c>
      <c r="C598" s="137" t="s">
        <v>184</v>
      </c>
      <c r="D598" s="138">
        <v>412.94</v>
      </c>
      <c r="E598" s="138">
        <v>29.97</v>
      </c>
      <c r="G598" s="308" t="s">
        <v>378</v>
      </c>
      <c r="K598" s="138">
        <f t="shared" si="18"/>
        <v>412.94</v>
      </c>
    </row>
    <row r="599" spans="1:11">
      <c r="A599" s="136">
        <v>42454</v>
      </c>
      <c r="B599" s="307" t="s">
        <v>2260</v>
      </c>
      <c r="C599" s="137" t="s">
        <v>372</v>
      </c>
      <c r="D599" s="138">
        <v>192.24</v>
      </c>
      <c r="E599" s="138">
        <v>10.02</v>
      </c>
      <c r="G599" s="308" t="s">
        <v>378</v>
      </c>
      <c r="I599" s="138">
        <v>192.24</v>
      </c>
      <c r="J599" s="137" t="s">
        <v>2581</v>
      </c>
      <c r="K599" s="138">
        <f t="shared" si="18"/>
        <v>0</v>
      </c>
    </row>
    <row r="600" spans="1:11">
      <c r="A600" s="136">
        <v>42454</v>
      </c>
      <c r="B600" s="307" t="s">
        <v>2293</v>
      </c>
      <c r="C600" s="137" t="s">
        <v>187</v>
      </c>
      <c r="D600" s="138">
        <v>677.36</v>
      </c>
      <c r="E600" s="138">
        <v>41.91</v>
      </c>
      <c r="G600" s="308" t="s">
        <v>373</v>
      </c>
      <c r="J600" s="137" t="s">
        <v>2294</v>
      </c>
      <c r="K600" s="138">
        <f t="shared" si="18"/>
        <v>677.36</v>
      </c>
    </row>
    <row r="601" spans="1:11">
      <c r="A601" s="136">
        <v>42454</v>
      </c>
      <c r="B601" s="307" t="s">
        <v>2313</v>
      </c>
      <c r="C601" s="137" t="s">
        <v>372</v>
      </c>
      <c r="D601" s="138">
        <v>11.17</v>
      </c>
      <c r="E601" s="138">
        <v>0.57999999999999996</v>
      </c>
      <c r="G601" s="308" t="s">
        <v>373</v>
      </c>
      <c r="I601" s="138">
        <v>11.17</v>
      </c>
      <c r="J601" s="137" t="s">
        <v>2582</v>
      </c>
      <c r="K601" s="138">
        <f t="shared" si="18"/>
        <v>0</v>
      </c>
    </row>
    <row r="602" spans="1:11">
      <c r="A602" s="136">
        <v>42455</v>
      </c>
      <c r="B602" s="307" t="s">
        <v>2259</v>
      </c>
      <c r="C602" s="137" t="s">
        <v>372</v>
      </c>
      <c r="D602" s="138">
        <v>320</v>
      </c>
      <c r="E602" s="138">
        <v>16.68</v>
      </c>
      <c r="G602" s="308" t="s">
        <v>378</v>
      </c>
      <c r="I602" s="138">
        <v>320</v>
      </c>
      <c r="J602" s="137" t="s">
        <v>2581</v>
      </c>
      <c r="K602" s="138">
        <f t="shared" si="18"/>
        <v>0</v>
      </c>
    </row>
    <row r="603" spans="1:11">
      <c r="A603" s="136">
        <v>42458</v>
      </c>
      <c r="B603" s="307" t="s">
        <v>2261</v>
      </c>
      <c r="C603" s="137" t="s">
        <v>2200</v>
      </c>
      <c r="D603" s="138">
        <v>141.13999999999999</v>
      </c>
      <c r="E603" s="138">
        <v>7.63</v>
      </c>
      <c r="G603" s="308" t="s">
        <v>378</v>
      </c>
      <c r="I603" s="138">
        <v>141.13999999999999</v>
      </c>
      <c r="J603" s="137" t="s">
        <v>2728</v>
      </c>
      <c r="K603" s="138">
        <f t="shared" si="18"/>
        <v>0</v>
      </c>
    </row>
    <row r="604" spans="1:11">
      <c r="A604" s="136">
        <v>42458</v>
      </c>
      <c r="B604" s="307" t="s">
        <v>2312</v>
      </c>
      <c r="C604" s="137" t="s">
        <v>372</v>
      </c>
      <c r="D604" s="138">
        <v>37.83</v>
      </c>
      <c r="E604" s="138">
        <v>1.97</v>
      </c>
      <c r="G604" s="308" t="s">
        <v>373</v>
      </c>
      <c r="I604" s="138">
        <v>37.380000000000003</v>
      </c>
      <c r="J604" s="137" t="s">
        <v>2582</v>
      </c>
      <c r="K604" s="138">
        <f t="shared" si="18"/>
        <v>0.44999999999999574</v>
      </c>
    </row>
    <row r="605" spans="1:11">
      <c r="A605" s="136">
        <v>42459</v>
      </c>
      <c r="B605" s="307" t="s">
        <v>2295</v>
      </c>
      <c r="C605" s="137" t="s">
        <v>2200</v>
      </c>
      <c r="D605" s="138">
        <v>1249.3399999999999</v>
      </c>
      <c r="E605" s="138">
        <v>85.71</v>
      </c>
      <c r="G605" s="308" t="s">
        <v>373</v>
      </c>
      <c r="I605" s="138">
        <v>1249.3399999999999</v>
      </c>
      <c r="J605" s="137" t="s">
        <v>2563</v>
      </c>
      <c r="K605" s="138">
        <f t="shared" ref="K605:K668" si="19">IF(D605&lt;&gt;"",D605-I605,"")</f>
        <v>0</v>
      </c>
    </row>
    <row r="606" spans="1:11">
      <c r="A606" s="136">
        <v>42459</v>
      </c>
      <c r="B606" s="307" t="s">
        <v>2296</v>
      </c>
      <c r="C606" s="137" t="s">
        <v>852</v>
      </c>
      <c r="D606" s="138">
        <v>350.68</v>
      </c>
      <c r="E606" s="138">
        <v>18.28</v>
      </c>
      <c r="G606" s="308" t="s">
        <v>373</v>
      </c>
      <c r="I606" s="138">
        <v>350.68</v>
      </c>
      <c r="J606" s="137" t="s">
        <v>2873</v>
      </c>
      <c r="K606" s="138">
        <f t="shared" si="19"/>
        <v>0</v>
      </c>
    </row>
    <row r="607" spans="1:11">
      <c r="A607" s="136">
        <v>42460</v>
      </c>
      <c r="B607" s="307" t="s">
        <v>2280</v>
      </c>
      <c r="C607" s="137" t="s">
        <v>2200</v>
      </c>
      <c r="D607" s="138">
        <v>17.510000000000002</v>
      </c>
      <c r="E607" s="138">
        <v>0.91</v>
      </c>
      <c r="G607" s="308" t="s">
        <v>378</v>
      </c>
      <c r="I607" s="138">
        <v>17.510000000000002</v>
      </c>
      <c r="J607" s="137" t="s">
        <v>2728</v>
      </c>
      <c r="K607" s="138">
        <f t="shared" si="19"/>
        <v>0</v>
      </c>
    </row>
    <row r="608" spans="1:11">
      <c r="A608" s="136">
        <v>42460</v>
      </c>
      <c r="B608" s="307" t="s">
        <v>2279</v>
      </c>
      <c r="C608" s="137" t="s">
        <v>1973</v>
      </c>
      <c r="D608" s="138">
        <v>220.5</v>
      </c>
      <c r="E608" s="138">
        <v>11.5</v>
      </c>
      <c r="G608" s="308" t="s">
        <v>378</v>
      </c>
      <c r="I608" s="138">
        <v>220.5</v>
      </c>
      <c r="J608" s="137" t="s">
        <v>2560</v>
      </c>
      <c r="K608" s="138">
        <f t="shared" si="19"/>
        <v>0</v>
      </c>
    </row>
    <row r="609" spans="1:11">
      <c r="A609" s="136">
        <v>42460</v>
      </c>
      <c r="B609" s="307" t="s">
        <v>2281</v>
      </c>
      <c r="C609" s="137" t="s">
        <v>2200</v>
      </c>
      <c r="D609" s="138">
        <v>193.44</v>
      </c>
      <c r="E609" s="138">
        <v>10.08</v>
      </c>
      <c r="G609" s="308" t="s">
        <v>378</v>
      </c>
      <c r="I609" s="138">
        <v>193.44</v>
      </c>
      <c r="J609" s="137" t="s">
        <v>2728</v>
      </c>
      <c r="K609" s="138">
        <f t="shared" si="19"/>
        <v>0</v>
      </c>
    </row>
    <row r="610" spans="1:11">
      <c r="A610" s="136">
        <v>42460</v>
      </c>
      <c r="B610" s="307" t="s">
        <v>2282</v>
      </c>
      <c r="C610" s="137" t="s">
        <v>2200</v>
      </c>
      <c r="D610" s="138">
        <v>24.9</v>
      </c>
      <c r="E610" s="138">
        <v>1.3</v>
      </c>
      <c r="G610" s="308" t="s">
        <v>378</v>
      </c>
      <c r="I610" s="138">
        <v>24.9</v>
      </c>
      <c r="J610" s="137" t="s">
        <v>2728</v>
      </c>
      <c r="K610" s="138">
        <f t="shared" si="19"/>
        <v>0</v>
      </c>
    </row>
    <row r="611" spans="1:11">
      <c r="A611" s="136">
        <v>42460</v>
      </c>
      <c r="B611" s="307" t="s">
        <v>2283</v>
      </c>
      <c r="C611" s="137" t="s">
        <v>2200</v>
      </c>
      <c r="D611" s="138">
        <v>11.79</v>
      </c>
      <c r="E611" s="138">
        <v>0.61</v>
      </c>
      <c r="G611" s="308" t="s">
        <v>378</v>
      </c>
      <c r="I611" s="138">
        <v>11.79</v>
      </c>
      <c r="J611" s="137" t="s">
        <v>2728</v>
      </c>
      <c r="K611" s="138">
        <f t="shared" si="19"/>
        <v>0</v>
      </c>
    </row>
    <row r="612" spans="1:11">
      <c r="A612" s="136">
        <v>42460</v>
      </c>
      <c r="B612" s="307" t="s">
        <v>2284</v>
      </c>
      <c r="C612" s="137" t="s">
        <v>2200</v>
      </c>
      <c r="D612" s="138">
        <v>121.26</v>
      </c>
      <c r="E612" s="138">
        <v>11.77</v>
      </c>
      <c r="G612" s="308" t="s">
        <v>378</v>
      </c>
      <c r="I612" s="138">
        <v>121.26</v>
      </c>
      <c r="J612" s="137" t="s">
        <v>2728</v>
      </c>
      <c r="K612" s="138">
        <f t="shared" si="19"/>
        <v>0</v>
      </c>
    </row>
    <row r="613" spans="1:11">
      <c r="A613" s="136">
        <v>42460</v>
      </c>
      <c r="B613" s="307" t="s">
        <v>2285</v>
      </c>
      <c r="C613" s="137" t="s">
        <v>2200</v>
      </c>
      <c r="D613" s="138">
        <v>1797.51</v>
      </c>
      <c r="E613" s="138">
        <v>107.87</v>
      </c>
      <c r="G613" s="308" t="s">
        <v>378</v>
      </c>
      <c r="I613" s="138">
        <v>1797.51</v>
      </c>
      <c r="J613" s="137" t="s">
        <v>2728</v>
      </c>
      <c r="K613" s="138">
        <f t="shared" si="19"/>
        <v>0</v>
      </c>
    </row>
    <row r="614" spans="1:11">
      <c r="A614" s="136">
        <v>42460</v>
      </c>
      <c r="B614" s="307" t="s">
        <v>2302</v>
      </c>
      <c r="C614" s="137" t="s">
        <v>2200</v>
      </c>
      <c r="D614" s="138">
        <v>45.58</v>
      </c>
      <c r="E614" s="138">
        <v>7.6</v>
      </c>
      <c r="G614" s="308" t="s">
        <v>378</v>
      </c>
      <c r="I614" s="138">
        <v>45.58</v>
      </c>
      <c r="J614" s="137" t="s">
        <v>2728</v>
      </c>
      <c r="K614" s="138">
        <f t="shared" si="19"/>
        <v>0</v>
      </c>
    </row>
    <row r="615" spans="1:11">
      <c r="A615" s="136">
        <v>42460</v>
      </c>
      <c r="B615" s="307" t="s">
        <v>2310</v>
      </c>
      <c r="C615" s="137" t="s">
        <v>2200</v>
      </c>
      <c r="D615" s="138">
        <v>87.2</v>
      </c>
      <c r="E615" s="138">
        <v>4.8099999999999996</v>
      </c>
      <c r="G615" s="308" t="s">
        <v>373</v>
      </c>
      <c r="I615" s="138">
        <v>87.2</v>
      </c>
      <c r="J615" s="137" t="s">
        <v>2388</v>
      </c>
      <c r="K615" s="138">
        <f t="shared" si="19"/>
        <v>0</v>
      </c>
    </row>
    <row r="616" spans="1:11">
      <c r="A616" s="136">
        <v>42460</v>
      </c>
      <c r="B616" s="307" t="s">
        <v>2311</v>
      </c>
      <c r="C616" s="137" t="s">
        <v>372</v>
      </c>
      <c r="D616" s="138">
        <v>30.29</v>
      </c>
      <c r="E616" s="138">
        <v>1.58</v>
      </c>
      <c r="G616" s="308" t="s">
        <v>373</v>
      </c>
      <c r="I616" s="138">
        <v>30.29</v>
      </c>
      <c r="J616" s="137" t="s">
        <v>2582</v>
      </c>
      <c r="K616" s="138">
        <f t="shared" si="19"/>
        <v>0</v>
      </c>
    </row>
    <row r="617" spans="1:11">
      <c r="A617" s="136">
        <v>42461</v>
      </c>
      <c r="B617" s="307" t="s">
        <v>2286</v>
      </c>
      <c r="C617" s="137" t="s">
        <v>2200</v>
      </c>
      <c r="D617" s="138">
        <v>532.72</v>
      </c>
      <c r="E617" s="138">
        <v>37.14</v>
      </c>
      <c r="G617" s="308" t="s">
        <v>378</v>
      </c>
      <c r="I617" s="138">
        <v>532.72</v>
      </c>
      <c r="J617" s="137" t="s">
        <v>2772</v>
      </c>
      <c r="K617" s="138">
        <f t="shared" si="19"/>
        <v>0</v>
      </c>
    </row>
    <row r="618" spans="1:11">
      <c r="A618" s="136">
        <v>42461</v>
      </c>
      <c r="B618" s="307" t="s">
        <v>2287</v>
      </c>
      <c r="C618" s="137" t="s">
        <v>184</v>
      </c>
      <c r="D618" s="138">
        <v>112.89</v>
      </c>
      <c r="E618" s="138">
        <v>5.89</v>
      </c>
      <c r="G618" s="308" t="s">
        <v>378</v>
      </c>
      <c r="K618" s="138">
        <f t="shared" si="19"/>
        <v>112.89</v>
      </c>
    </row>
    <row r="619" spans="1:11">
      <c r="A619" s="136">
        <v>42461</v>
      </c>
      <c r="B619" s="307" t="s">
        <v>2288</v>
      </c>
      <c r="C619" s="137" t="s">
        <v>372</v>
      </c>
      <c r="D619" s="138">
        <v>114.76</v>
      </c>
      <c r="E619" s="138">
        <v>5.98</v>
      </c>
      <c r="G619" s="308" t="s">
        <v>378</v>
      </c>
      <c r="I619" s="138">
        <v>114.76</v>
      </c>
      <c r="J619" s="137" t="s">
        <v>2725</v>
      </c>
      <c r="K619" s="138">
        <f t="shared" si="19"/>
        <v>0</v>
      </c>
    </row>
    <row r="620" spans="1:11">
      <c r="A620" s="136">
        <v>42461</v>
      </c>
      <c r="B620" s="307" t="s">
        <v>2289</v>
      </c>
      <c r="C620" s="137" t="s">
        <v>372</v>
      </c>
      <c r="D620" s="138">
        <v>18.2</v>
      </c>
      <c r="E620" s="138">
        <v>0.95</v>
      </c>
      <c r="G620" s="308" t="s">
        <v>373</v>
      </c>
      <c r="I620" s="138">
        <v>18.2</v>
      </c>
      <c r="J620" s="137" t="s">
        <v>2726</v>
      </c>
      <c r="K620" s="138">
        <f t="shared" si="19"/>
        <v>0</v>
      </c>
    </row>
    <row r="621" spans="1:11">
      <c r="A621" s="136">
        <v>42461</v>
      </c>
      <c r="B621" s="307" t="s">
        <v>2345</v>
      </c>
      <c r="C621" s="137" t="s">
        <v>187</v>
      </c>
      <c r="D621" s="138">
        <v>610.19000000000005</v>
      </c>
      <c r="E621" s="138">
        <v>42.04</v>
      </c>
      <c r="G621" s="308" t="s">
        <v>373</v>
      </c>
      <c r="K621" s="138">
        <f t="shared" si="19"/>
        <v>610.19000000000005</v>
      </c>
    </row>
    <row r="622" spans="1:11">
      <c r="A622" s="136">
        <v>42461</v>
      </c>
      <c r="B622" s="307" t="s">
        <v>2367</v>
      </c>
      <c r="C622" s="137" t="s">
        <v>187</v>
      </c>
      <c r="D622" s="138">
        <v>864.57</v>
      </c>
      <c r="E622" s="138">
        <v>45.07</v>
      </c>
      <c r="G622" s="308" t="s">
        <v>378</v>
      </c>
      <c r="K622" s="138">
        <f t="shared" si="19"/>
        <v>864.57</v>
      </c>
    </row>
    <row r="623" spans="1:11">
      <c r="A623" s="136">
        <v>42462</v>
      </c>
      <c r="B623" s="307" t="s">
        <v>2304</v>
      </c>
      <c r="C623" s="137" t="s">
        <v>372</v>
      </c>
      <c r="D623" s="138">
        <v>229.54</v>
      </c>
      <c r="E623" s="138">
        <v>11.97</v>
      </c>
      <c r="G623" s="308" t="s">
        <v>378</v>
      </c>
      <c r="I623" s="138">
        <v>229.54</v>
      </c>
      <c r="J623" s="137" t="s">
        <v>2725</v>
      </c>
      <c r="K623" s="138">
        <f t="shared" si="19"/>
        <v>0</v>
      </c>
    </row>
    <row r="624" spans="1:11">
      <c r="A624" s="136">
        <v>42464</v>
      </c>
      <c r="B624" s="307" t="s">
        <v>2336</v>
      </c>
      <c r="C624" s="137" t="s">
        <v>2200</v>
      </c>
      <c r="D624" s="138">
        <v>26.25</v>
      </c>
      <c r="E624" s="138">
        <v>4.38</v>
      </c>
      <c r="G624" s="308" t="s">
        <v>378</v>
      </c>
      <c r="I624" s="138">
        <v>26.25</v>
      </c>
      <c r="J624" s="137" t="s">
        <v>2772</v>
      </c>
      <c r="K624" s="138">
        <f t="shared" si="19"/>
        <v>0</v>
      </c>
    </row>
    <row r="625" spans="1:11">
      <c r="A625" s="136">
        <v>42464</v>
      </c>
      <c r="B625" s="307" t="s">
        <v>2292</v>
      </c>
      <c r="C625" s="137" t="s">
        <v>372</v>
      </c>
      <c r="D625" s="138">
        <v>24.04</v>
      </c>
      <c r="E625" s="138">
        <v>1.25</v>
      </c>
      <c r="G625" s="308" t="s">
        <v>373</v>
      </c>
      <c r="I625" s="138">
        <v>24.04</v>
      </c>
      <c r="J625" s="137" t="s">
        <v>2726</v>
      </c>
      <c r="K625" s="138">
        <f t="shared" si="19"/>
        <v>0</v>
      </c>
    </row>
    <row r="626" spans="1:11">
      <c r="A626" s="136">
        <v>42464</v>
      </c>
      <c r="B626" s="307" t="s">
        <v>2361</v>
      </c>
      <c r="C626" s="137" t="s">
        <v>187</v>
      </c>
      <c r="D626" s="138">
        <v>29.8</v>
      </c>
      <c r="E626" s="138">
        <v>1.55</v>
      </c>
      <c r="G626" s="308" t="s">
        <v>378</v>
      </c>
      <c r="K626" s="138">
        <f t="shared" si="19"/>
        <v>29.8</v>
      </c>
    </row>
    <row r="627" spans="1:11">
      <c r="A627" s="136">
        <v>42465</v>
      </c>
      <c r="B627" s="307" t="s">
        <v>2290</v>
      </c>
      <c r="C627" s="137" t="s">
        <v>372</v>
      </c>
      <c r="D627" s="138">
        <v>28.97</v>
      </c>
      <c r="E627" s="138">
        <v>1.51</v>
      </c>
      <c r="G627" s="308" t="s">
        <v>373</v>
      </c>
      <c r="I627" s="138">
        <v>28.97</v>
      </c>
      <c r="J627" s="137" t="s">
        <v>2726</v>
      </c>
      <c r="K627" s="138">
        <f t="shared" si="19"/>
        <v>0</v>
      </c>
    </row>
    <row r="628" spans="1:11">
      <c r="A628" s="136">
        <v>42465</v>
      </c>
      <c r="B628" s="307" t="s">
        <v>2291</v>
      </c>
      <c r="C628" s="137" t="s">
        <v>372</v>
      </c>
      <c r="D628" s="138">
        <v>7.6</v>
      </c>
      <c r="E628" s="138">
        <v>0.4</v>
      </c>
      <c r="G628" s="308" t="s">
        <v>373</v>
      </c>
      <c r="I628" s="138">
        <v>7.6</v>
      </c>
      <c r="J628" s="137" t="s">
        <v>2726</v>
      </c>
      <c r="K628" s="138">
        <f t="shared" si="19"/>
        <v>0</v>
      </c>
    </row>
    <row r="629" spans="1:11">
      <c r="A629" s="136">
        <v>42465</v>
      </c>
      <c r="B629" s="307" t="s">
        <v>2297</v>
      </c>
      <c r="C629" s="137" t="s">
        <v>372</v>
      </c>
      <c r="D629" s="138">
        <v>19.16</v>
      </c>
      <c r="E629" s="138">
        <v>1</v>
      </c>
      <c r="G629" s="308" t="s">
        <v>378</v>
      </c>
      <c r="I629" s="138">
        <v>19.16</v>
      </c>
      <c r="J629" s="137" t="s">
        <v>2725</v>
      </c>
      <c r="K629" s="138">
        <f t="shared" si="19"/>
        <v>0</v>
      </c>
    </row>
    <row r="630" spans="1:11">
      <c r="A630" s="136">
        <v>42465</v>
      </c>
      <c r="B630" s="307" t="s">
        <v>2298</v>
      </c>
      <c r="C630" s="137" t="s">
        <v>2200</v>
      </c>
      <c r="D630" s="138">
        <v>58.24</v>
      </c>
      <c r="E630" s="138">
        <v>3.04</v>
      </c>
      <c r="G630" s="308" t="s">
        <v>378</v>
      </c>
      <c r="I630" s="138">
        <v>58.24</v>
      </c>
      <c r="J630" s="137" t="s">
        <v>2772</v>
      </c>
      <c r="K630" s="138">
        <f t="shared" si="19"/>
        <v>0</v>
      </c>
    </row>
    <row r="631" spans="1:11">
      <c r="A631" s="136">
        <v>42465</v>
      </c>
      <c r="B631" s="307" t="s">
        <v>2299</v>
      </c>
      <c r="C631" s="137" t="s">
        <v>2200</v>
      </c>
      <c r="D631" s="138">
        <v>82.6</v>
      </c>
      <c r="E631" s="138">
        <v>4.3099999999999996</v>
      </c>
      <c r="G631" s="308" t="s">
        <v>378</v>
      </c>
      <c r="I631" s="138">
        <v>82.6</v>
      </c>
      <c r="J631" s="137" t="s">
        <v>2772</v>
      </c>
      <c r="K631" s="138">
        <f t="shared" si="19"/>
        <v>0</v>
      </c>
    </row>
    <row r="632" spans="1:11">
      <c r="A632" s="136">
        <v>42465</v>
      </c>
      <c r="B632" s="307" t="s">
        <v>2300</v>
      </c>
      <c r="C632" s="137" t="s">
        <v>2200</v>
      </c>
      <c r="D632" s="138">
        <v>282.67</v>
      </c>
      <c r="E632" s="138">
        <v>14.74</v>
      </c>
      <c r="G632" s="308" t="s">
        <v>378</v>
      </c>
      <c r="I632" s="138">
        <v>282.67</v>
      </c>
      <c r="J632" s="137" t="s">
        <v>2772</v>
      </c>
      <c r="K632" s="138">
        <f t="shared" si="19"/>
        <v>0</v>
      </c>
    </row>
    <row r="633" spans="1:11">
      <c r="A633" s="136">
        <v>42465</v>
      </c>
      <c r="B633" s="307" t="s">
        <v>2301</v>
      </c>
      <c r="C633" s="137" t="s">
        <v>2200</v>
      </c>
      <c r="D633" s="138">
        <v>2828.55</v>
      </c>
      <c r="E633" s="138">
        <v>152.82</v>
      </c>
      <c r="G633" s="308" t="s">
        <v>378</v>
      </c>
      <c r="I633" s="138">
        <v>2828.55</v>
      </c>
      <c r="J633" s="137" t="s">
        <v>2772</v>
      </c>
      <c r="K633" s="138">
        <f t="shared" si="19"/>
        <v>0</v>
      </c>
    </row>
    <row r="634" spans="1:11">
      <c r="A634" s="136">
        <v>42466</v>
      </c>
      <c r="B634" s="307" t="s">
        <v>2366</v>
      </c>
      <c r="C634" s="137" t="s">
        <v>2200</v>
      </c>
      <c r="D634" s="138">
        <v>192</v>
      </c>
      <c r="E634" s="138">
        <v>32</v>
      </c>
      <c r="G634" s="308" t="s">
        <v>378</v>
      </c>
      <c r="I634" s="138">
        <v>192</v>
      </c>
      <c r="J634" s="137" t="s">
        <v>2772</v>
      </c>
      <c r="K634" s="138">
        <f t="shared" si="19"/>
        <v>0</v>
      </c>
    </row>
    <row r="635" spans="1:11">
      <c r="A635" s="136">
        <v>42466</v>
      </c>
      <c r="B635" s="307" t="s">
        <v>2337</v>
      </c>
      <c r="C635" s="137" t="s">
        <v>2200</v>
      </c>
      <c r="D635" s="138">
        <v>1288.53</v>
      </c>
      <c r="E635" s="138">
        <v>77.900000000000006</v>
      </c>
      <c r="G635" s="308" t="s">
        <v>373</v>
      </c>
      <c r="I635" s="138">
        <v>1288.53</v>
      </c>
      <c r="J635" s="137" t="s">
        <v>2727</v>
      </c>
      <c r="K635" s="138">
        <f t="shared" si="19"/>
        <v>0</v>
      </c>
    </row>
    <row r="636" spans="1:11">
      <c r="A636" s="136">
        <v>42466</v>
      </c>
      <c r="B636" s="307" t="s">
        <v>2341</v>
      </c>
      <c r="C636" s="137" t="s">
        <v>2200</v>
      </c>
      <c r="D636" s="138">
        <v>12.65</v>
      </c>
      <c r="E636" s="138">
        <v>2.11</v>
      </c>
      <c r="G636" s="308" t="s">
        <v>373</v>
      </c>
      <c r="I636" s="138">
        <v>12.65</v>
      </c>
      <c r="J636" s="137" t="s">
        <v>2727</v>
      </c>
      <c r="K636" s="138">
        <f t="shared" si="19"/>
        <v>0</v>
      </c>
    </row>
    <row r="637" spans="1:11">
      <c r="A637" s="136">
        <v>42467</v>
      </c>
      <c r="B637" s="307" t="s">
        <v>2308</v>
      </c>
      <c r="C637" s="137" t="s">
        <v>372</v>
      </c>
      <c r="D637" s="138">
        <v>95.89</v>
      </c>
      <c r="E637" s="138">
        <v>5</v>
      </c>
      <c r="G637" s="308" t="s">
        <v>378</v>
      </c>
      <c r="I637" s="138">
        <v>95.89</v>
      </c>
      <c r="J637" s="137" t="s">
        <v>2725</v>
      </c>
      <c r="K637" s="138">
        <f t="shared" si="19"/>
        <v>0</v>
      </c>
    </row>
    <row r="638" spans="1:11">
      <c r="A638" s="136">
        <v>42467</v>
      </c>
      <c r="B638" s="307" t="s">
        <v>2309</v>
      </c>
      <c r="C638" s="137" t="s">
        <v>2200</v>
      </c>
      <c r="D638" s="138">
        <v>194.91</v>
      </c>
      <c r="E638" s="138">
        <v>21.42</v>
      </c>
      <c r="G638" s="308" t="s">
        <v>378</v>
      </c>
      <c r="I638" s="138">
        <v>194.91</v>
      </c>
      <c r="J638" s="137" t="s">
        <v>2772</v>
      </c>
      <c r="K638" s="138">
        <f t="shared" si="19"/>
        <v>0</v>
      </c>
    </row>
    <row r="639" spans="1:11">
      <c r="A639" s="136">
        <v>42467</v>
      </c>
      <c r="B639" s="307" t="s">
        <v>2335</v>
      </c>
      <c r="C639" s="137" t="s">
        <v>2200</v>
      </c>
      <c r="D639" s="138">
        <v>18.350000000000001</v>
      </c>
      <c r="E639" s="138">
        <v>3.06</v>
      </c>
      <c r="G639" s="308" t="s">
        <v>378</v>
      </c>
      <c r="I639" s="138">
        <v>18.350000000000001</v>
      </c>
      <c r="J639" s="137" t="s">
        <v>2772</v>
      </c>
      <c r="K639" s="138">
        <f t="shared" si="19"/>
        <v>0</v>
      </c>
    </row>
    <row r="640" spans="1:11">
      <c r="A640" s="136">
        <v>42467</v>
      </c>
      <c r="B640" s="307" t="s">
        <v>2340</v>
      </c>
      <c r="C640" s="137" t="s">
        <v>2200</v>
      </c>
      <c r="D640" s="138">
        <v>78.95</v>
      </c>
      <c r="E640" s="138">
        <v>7.14</v>
      </c>
      <c r="G640" s="308" t="s">
        <v>373</v>
      </c>
      <c r="I640" s="138">
        <v>78.95</v>
      </c>
      <c r="J640" s="137" t="s">
        <v>2727</v>
      </c>
      <c r="K640" s="138">
        <f t="shared" si="19"/>
        <v>0</v>
      </c>
    </row>
    <row r="641" spans="1:11">
      <c r="A641" s="136">
        <v>42467</v>
      </c>
      <c r="B641" s="307" t="s">
        <v>2349</v>
      </c>
      <c r="C641" s="137" t="s">
        <v>187</v>
      </c>
      <c r="D641" s="138">
        <v>1001.35</v>
      </c>
      <c r="E641" s="138">
        <v>52.2</v>
      </c>
      <c r="G641" s="308" t="s">
        <v>378</v>
      </c>
      <c r="K641" s="138">
        <f t="shared" si="19"/>
        <v>1001.35</v>
      </c>
    </row>
    <row r="642" spans="1:11">
      <c r="A642" s="136">
        <v>42467</v>
      </c>
      <c r="B642" s="307" t="s">
        <v>2354</v>
      </c>
      <c r="C642" s="137" t="s">
        <v>372</v>
      </c>
      <c r="D642" s="138">
        <v>17.88</v>
      </c>
      <c r="E642" s="138">
        <v>0.93</v>
      </c>
      <c r="G642" s="308" t="s">
        <v>373</v>
      </c>
      <c r="I642" s="138">
        <v>17.88</v>
      </c>
      <c r="J642" s="137" t="s">
        <v>2726</v>
      </c>
      <c r="K642" s="138">
        <f t="shared" si="19"/>
        <v>0</v>
      </c>
    </row>
    <row r="643" spans="1:11">
      <c r="A643" s="136">
        <v>42467</v>
      </c>
      <c r="B643" s="307" t="s">
        <v>2362</v>
      </c>
      <c r="C643" s="137" t="s">
        <v>182</v>
      </c>
      <c r="D643" s="138">
        <v>629.28</v>
      </c>
      <c r="E643" s="138">
        <v>32.81</v>
      </c>
      <c r="G643" s="308" t="s">
        <v>378</v>
      </c>
      <c r="I643" s="138">
        <v>629.28</v>
      </c>
      <c r="J643" s="137" t="s">
        <v>2494</v>
      </c>
      <c r="K643" s="138">
        <f t="shared" si="19"/>
        <v>0</v>
      </c>
    </row>
    <row r="644" spans="1:11">
      <c r="A644" s="136">
        <v>42467</v>
      </c>
      <c r="B644" s="307" t="s">
        <v>2363</v>
      </c>
      <c r="C644" s="137" t="s">
        <v>2252</v>
      </c>
      <c r="D644" s="138">
        <v>829.94</v>
      </c>
      <c r="E644" s="138">
        <v>58.16</v>
      </c>
      <c r="G644" s="308" t="s">
        <v>378</v>
      </c>
      <c r="I644" s="138">
        <v>829.94</v>
      </c>
      <c r="J644" s="137" t="s">
        <v>2561</v>
      </c>
      <c r="K644" s="138">
        <f t="shared" si="19"/>
        <v>0</v>
      </c>
    </row>
    <row r="645" spans="1:11">
      <c r="A645" s="136">
        <v>42467</v>
      </c>
      <c r="B645" s="307" t="s">
        <v>2403</v>
      </c>
      <c r="C645" s="137" t="s">
        <v>2200</v>
      </c>
      <c r="D645" s="138">
        <v>36.020000000000003</v>
      </c>
      <c r="E645" s="138">
        <v>1.88</v>
      </c>
      <c r="G645" s="308" t="s">
        <v>373</v>
      </c>
      <c r="I645" s="138">
        <v>36.020000000000003</v>
      </c>
      <c r="J645" s="137" t="s">
        <v>2727</v>
      </c>
      <c r="K645" s="138">
        <f t="shared" si="19"/>
        <v>0</v>
      </c>
    </row>
    <row r="646" spans="1:11">
      <c r="A646" s="136">
        <v>42467</v>
      </c>
      <c r="B646" s="307" t="s">
        <v>2404</v>
      </c>
      <c r="C646" s="137" t="s">
        <v>2200</v>
      </c>
      <c r="D646" s="138">
        <v>19.21</v>
      </c>
      <c r="E646" s="138">
        <v>1</v>
      </c>
      <c r="G646" s="308" t="s">
        <v>373</v>
      </c>
      <c r="I646" s="138">
        <v>19.21</v>
      </c>
      <c r="J646" s="137" t="s">
        <v>2727</v>
      </c>
      <c r="K646" s="138">
        <f t="shared" si="19"/>
        <v>0</v>
      </c>
    </row>
    <row r="647" spans="1:11">
      <c r="A647" s="136">
        <v>42467</v>
      </c>
      <c r="B647" s="307" t="s">
        <v>2405</v>
      </c>
      <c r="C647" s="137" t="s">
        <v>2200</v>
      </c>
      <c r="D647" s="138">
        <v>51.12</v>
      </c>
      <c r="E647" s="138">
        <v>2.66</v>
      </c>
      <c r="G647" s="308" t="s">
        <v>373</v>
      </c>
      <c r="I647" s="138">
        <v>51.12</v>
      </c>
      <c r="J647" s="137" t="s">
        <v>2727</v>
      </c>
      <c r="K647" s="138">
        <f t="shared" si="19"/>
        <v>0</v>
      </c>
    </row>
    <row r="648" spans="1:11">
      <c r="A648" s="136">
        <v>42468</v>
      </c>
      <c r="B648" s="307" t="s">
        <v>2328</v>
      </c>
      <c r="C648" s="137" t="s">
        <v>2200</v>
      </c>
      <c r="D648" s="138">
        <v>230.64</v>
      </c>
      <c r="E648" s="138">
        <v>38.44</v>
      </c>
      <c r="G648" s="308" t="s">
        <v>378</v>
      </c>
      <c r="I648" s="138">
        <v>230.64</v>
      </c>
      <c r="J648" s="137" t="s">
        <v>2898</v>
      </c>
      <c r="K648" s="138">
        <f t="shared" si="19"/>
        <v>0</v>
      </c>
    </row>
    <row r="649" spans="1:11">
      <c r="A649" s="136">
        <v>42468</v>
      </c>
      <c r="B649" s="307" t="s">
        <v>2334</v>
      </c>
      <c r="C649" s="137" t="s">
        <v>2200</v>
      </c>
      <c r="D649" s="138">
        <v>1383.67</v>
      </c>
      <c r="E649" s="138">
        <v>0.72</v>
      </c>
      <c r="G649" s="308" t="s">
        <v>378</v>
      </c>
      <c r="I649" s="138">
        <v>1383.67</v>
      </c>
      <c r="J649" s="137" t="s">
        <v>2772</v>
      </c>
      <c r="K649" s="138">
        <f t="shared" si="19"/>
        <v>0</v>
      </c>
    </row>
    <row r="650" spans="1:11">
      <c r="A650" s="136">
        <v>42468</v>
      </c>
      <c r="B650" s="307" t="s">
        <v>2339</v>
      </c>
      <c r="C650" s="137" t="s">
        <v>2200</v>
      </c>
      <c r="D650" s="138">
        <v>99.89</v>
      </c>
      <c r="E650" s="138">
        <v>8.66</v>
      </c>
      <c r="G650" s="308" t="s">
        <v>373</v>
      </c>
      <c r="I650" s="138">
        <v>99.89</v>
      </c>
      <c r="J650" s="137" t="s">
        <v>2727</v>
      </c>
      <c r="K650" s="138">
        <f t="shared" si="19"/>
        <v>0</v>
      </c>
    </row>
    <row r="651" spans="1:11">
      <c r="A651" s="136">
        <v>42468</v>
      </c>
      <c r="B651" s="307" t="s">
        <v>2355</v>
      </c>
      <c r="C651" s="137" t="s">
        <v>372</v>
      </c>
      <c r="D651" s="138">
        <v>10.29</v>
      </c>
      <c r="E651" s="138">
        <v>0.54</v>
      </c>
      <c r="G651" s="308" t="s">
        <v>373</v>
      </c>
      <c r="I651" s="138">
        <v>10.29</v>
      </c>
      <c r="J651" s="137" t="s">
        <v>2726</v>
      </c>
      <c r="K651" s="138">
        <f t="shared" si="19"/>
        <v>0</v>
      </c>
    </row>
    <row r="652" spans="1:11">
      <c r="A652" s="136">
        <v>42468</v>
      </c>
      <c r="B652" s="307" t="s">
        <v>2364</v>
      </c>
      <c r="C652" s="137" t="s">
        <v>372</v>
      </c>
      <c r="D652" s="138">
        <v>24.59</v>
      </c>
      <c r="E652" s="138">
        <v>1.28</v>
      </c>
      <c r="G652" s="308" t="s">
        <v>378</v>
      </c>
      <c r="I652" s="138">
        <v>24.59</v>
      </c>
      <c r="J652" s="137" t="s">
        <v>2725</v>
      </c>
      <c r="K652" s="138">
        <f t="shared" si="19"/>
        <v>0</v>
      </c>
    </row>
    <row r="653" spans="1:11">
      <c r="A653" s="136">
        <v>42468</v>
      </c>
      <c r="B653" s="307" t="s">
        <v>2365</v>
      </c>
      <c r="C653" s="137" t="s">
        <v>184</v>
      </c>
      <c r="D653" s="138">
        <v>274.17</v>
      </c>
      <c r="E653" s="138">
        <v>19.79</v>
      </c>
      <c r="G653" s="308" t="s">
        <v>378</v>
      </c>
      <c r="K653" s="138">
        <f t="shared" si="19"/>
        <v>274.17</v>
      </c>
    </row>
    <row r="654" spans="1:11">
      <c r="A654" s="136">
        <v>42468</v>
      </c>
      <c r="B654" s="307" t="s">
        <v>2379</v>
      </c>
      <c r="C654" s="137" t="s">
        <v>187</v>
      </c>
      <c r="D654" s="138">
        <v>701.71</v>
      </c>
      <c r="E654" s="138">
        <v>46.81</v>
      </c>
      <c r="G654" s="308" t="s">
        <v>373</v>
      </c>
      <c r="I654" s="138">
        <v>701.71</v>
      </c>
      <c r="K654" s="138">
        <f t="shared" si="19"/>
        <v>0</v>
      </c>
    </row>
    <row r="655" spans="1:11">
      <c r="A655" s="136">
        <v>42468</v>
      </c>
      <c r="B655" s="307" t="s">
        <v>2406</v>
      </c>
      <c r="C655" s="137" t="s">
        <v>2200</v>
      </c>
      <c r="D655" s="138">
        <v>374.93</v>
      </c>
      <c r="E655" s="138">
        <v>22.28</v>
      </c>
      <c r="G655" s="308" t="s">
        <v>378</v>
      </c>
      <c r="I655" s="138">
        <v>374.93</v>
      </c>
      <c r="J655" s="137" t="s">
        <v>2874</v>
      </c>
      <c r="K655" s="138">
        <f t="shared" si="19"/>
        <v>0</v>
      </c>
    </row>
    <row r="656" spans="1:11">
      <c r="A656" s="136">
        <v>42468</v>
      </c>
      <c r="B656" s="307" t="s">
        <v>2407</v>
      </c>
      <c r="C656" s="137" t="s">
        <v>2200</v>
      </c>
      <c r="D656" s="138">
        <v>32.409999999999997</v>
      </c>
      <c r="E656" s="138">
        <v>2.73</v>
      </c>
      <c r="G656" s="308" t="s">
        <v>378</v>
      </c>
      <c r="I656" s="138">
        <v>32.409999999999997</v>
      </c>
      <c r="J656" s="137" t="s">
        <v>2874</v>
      </c>
      <c r="K656" s="138">
        <f t="shared" si="19"/>
        <v>0</v>
      </c>
    </row>
    <row r="657" spans="1:11">
      <c r="A657" s="136">
        <v>42468</v>
      </c>
      <c r="B657" s="307" t="s">
        <v>2408</v>
      </c>
      <c r="C657" s="137" t="s">
        <v>2200</v>
      </c>
      <c r="D657" s="138">
        <v>10.38</v>
      </c>
      <c r="E657" s="138">
        <v>0.54</v>
      </c>
      <c r="G657" s="308" t="s">
        <v>378</v>
      </c>
      <c r="I657" s="138">
        <v>10.38</v>
      </c>
      <c r="J657" s="137" t="s">
        <v>2874</v>
      </c>
      <c r="K657" s="138">
        <f t="shared" si="19"/>
        <v>0</v>
      </c>
    </row>
    <row r="658" spans="1:11">
      <c r="A658" s="136">
        <v>42468</v>
      </c>
      <c r="B658" s="307" t="s">
        <v>2409</v>
      </c>
      <c r="C658" s="137" t="s">
        <v>2200</v>
      </c>
      <c r="D658" s="138">
        <v>260.17</v>
      </c>
      <c r="E658" s="138">
        <v>15.49</v>
      </c>
      <c r="G658" s="308" t="s">
        <v>378</v>
      </c>
      <c r="I658" s="138">
        <v>260.17</v>
      </c>
      <c r="J658" s="137" t="s">
        <v>2874</v>
      </c>
      <c r="K658" s="138">
        <f t="shared" si="19"/>
        <v>0</v>
      </c>
    </row>
    <row r="659" spans="1:11">
      <c r="A659" s="136">
        <v>42469</v>
      </c>
      <c r="B659" s="307" t="s">
        <v>2360</v>
      </c>
      <c r="C659" s="137" t="s">
        <v>372</v>
      </c>
      <c r="D659" s="138">
        <v>42.74</v>
      </c>
      <c r="E659" s="138">
        <v>2.23</v>
      </c>
      <c r="G659" s="308" t="s">
        <v>378</v>
      </c>
      <c r="I659" s="138">
        <v>42.74</v>
      </c>
      <c r="J659" s="137" t="s">
        <v>2725</v>
      </c>
      <c r="K659" s="138">
        <f t="shared" si="19"/>
        <v>0</v>
      </c>
    </row>
    <row r="660" spans="1:11">
      <c r="A660" s="136">
        <v>42471</v>
      </c>
      <c r="B660" s="307" t="s">
        <v>2331</v>
      </c>
      <c r="C660" s="137" t="s">
        <v>2200</v>
      </c>
      <c r="D660" s="138">
        <v>262.85000000000002</v>
      </c>
      <c r="E660" s="138">
        <v>14</v>
      </c>
      <c r="G660" s="308" t="s">
        <v>378</v>
      </c>
      <c r="I660" s="138">
        <v>262.85000000000002</v>
      </c>
      <c r="J660" s="137" t="s">
        <v>2874</v>
      </c>
      <c r="K660" s="138">
        <f t="shared" si="19"/>
        <v>0</v>
      </c>
    </row>
    <row r="661" spans="1:11">
      <c r="A661" s="136">
        <v>42471</v>
      </c>
      <c r="B661" s="307" t="s">
        <v>2342</v>
      </c>
      <c r="C661" s="137" t="s">
        <v>2252</v>
      </c>
      <c r="D661" s="138">
        <v>160.57</v>
      </c>
      <c r="E661" s="138">
        <v>8.3699999999999992</v>
      </c>
      <c r="G661" s="308" t="s">
        <v>378</v>
      </c>
      <c r="I661" s="138">
        <v>160.57</v>
      </c>
      <c r="J661" s="137" t="s">
        <v>2561</v>
      </c>
      <c r="K661" s="138">
        <f t="shared" si="19"/>
        <v>0</v>
      </c>
    </row>
    <row r="662" spans="1:11">
      <c r="A662" s="136">
        <v>42471</v>
      </c>
      <c r="B662" s="307" t="s">
        <v>2357</v>
      </c>
      <c r="C662" s="137" t="s">
        <v>372</v>
      </c>
      <c r="D662" s="138">
        <v>21.82</v>
      </c>
      <c r="E662" s="138">
        <v>1.1399999999999999</v>
      </c>
      <c r="G662" s="308" t="s">
        <v>373</v>
      </c>
      <c r="I662" s="138">
        <v>21.82</v>
      </c>
      <c r="J662" s="137" t="s">
        <v>2726</v>
      </c>
      <c r="K662" s="138">
        <f t="shared" si="19"/>
        <v>0</v>
      </c>
    </row>
    <row r="663" spans="1:11">
      <c r="A663" s="136">
        <v>42471</v>
      </c>
      <c r="B663" s="307" t="s">
        <v>2359</v>
      </c>
      <c r="C663" s="137" t="s">
        <v>372</v>
      </c>
      <c r="D663" s="378">
        <v>31.65</v>
      </c>
      <c r="E663" s="138">
        <v>1.65</v>
      </c>
      <c r="G663" s="308" t="s">
        <v>378</v>
      </c>
      <c r="I663" s="138">
        <v>31.65</v>
      </c>
      <c r="J663" s="137" t="s">
        <v>2725</v>
      </c>
      <c r="K663" s="138">
        <f t="shared" si="19"/>
        <v>0</v>
      </c>
    </row>
    <row r="664" spans="1:11">
      <c r="A664" s="136">
        <v>42472</v>
      </c>
      <c r="B664" s="307" t="s">
        <v>2332</v>
      </c>
      <c r="C664" s="137" t="s">
        <v>2200</v>
      </c>
      <c r="D664" s="138">
        <v>2022.64</v>
      </c>
      <c r="E664" s="138">
        <v>116.14</v>
      </c>
      <c r="G664" s="308" t="s">
        <v>378</v>
      </c>
      <c r="I664" s="138">
        <v>2022.64</v>
      </c>
      <c r="J664" s="137" t="s">
        <v>2875</v>
      </c>
      <c r="K664" s="138">
        <f t="shared" si="19"/>
        <v>0</v>
      </c>
    </row>
    <row r="665" spans="1:11">
      <c r="A665" s="136">
        <v>42472</v>
      </c>
      <c r="B665" s="307" t="s">
        <v>2333</v>
      </c>
      <c r="C665" s="137" t="s">
        <v>2200</v>
      </c>
      <c r="D665" s="138">
        <v>79.33</v>
      </c>
      <c r="E665" s="138">
        <v>4.1399999999999997</v>
      </c>
      <c r="G665" s="308" t="s">
        <v>378</v>
      </c>
      <c r="I665" s="138">
        <v>79.33</v>
      </c>
      <c r="J665" s="137" t="s">
        <v>2874</v>
      </c>
      <c r="K665" s="138">
        <f t="shared" si="19"/>
        <v>0</v>
      </c>
    </row>
    <row r="666" spans="1:11">
      <c r="A666" s="136">
        <v>42472</v>
      </c>
      <c r="B666" s="307" t="s">
        <v>2356</v>
      </c>
      <c r="C666" s="137" t="s">
        <v>372</v>
      </c>
      <c r="D666" s="138">
        <v>35.409999999999997</v>
      </c>
      <c r="E666" s="138">
        <v>1.85</v>
      </c>
      <c r="G666" s="308" t="s">
        <v>373</v>
      </c>
      <c r="I666" s="138">
        <v>35.409999999999997</v>
      </c>
      <c r="J666" s="137" t="s">
        <v>2726</v>
      </c>
      <c r="K666" s="138">
        <f t="shared" si="19"/>
        <v>0</v>
      </c>
    </row>
    <row r="667" spans="1:11">
      <c r="A667" s="136">
        <v>42472</v>
      </c>
      <c r="B667" s="307" t="s">
        <v>2358</v>
      </c>
      <c r="C667" s="137" t="s">
        <v>372</v>
      </c>
      <c r="D667" s="138">
        <v>81.400000000000006</v>
      </c>
      <c r="E667" s="138">
        <v>4.24</v>
      </c>
      <c r="G667" s="308" t="s">
        <v>378</v>
      </c>
      <c r="I667" s="138">
        <v>81.400000000000006</v>
      </c>
      <c r="J667" s="137" t="s">
        <v>2725</v>
      </c>
      <c r="K667" s="138">
        <f t="shared" si="19"/>
        <v>0</v>
      </c>
    </row>
    <row r="668" spans="1:11">
      <c r="A668" s="136">
        <v>42473</v>
      </c>
      <c r="B668" s="307" t="s">
        <v>2344</v>
      </c>
      <c r="C668" s="137" t="s">
        <v>2200</v>
      </c>
      <c r="D668" s="138">
        <v>4.03</v>
      </c>
      <c r="E668" s="138">
        <v>0.21</v>
      </c>
      <c r="G668" s="308" t="s">
        <v>373</v>
      </c>
      <c r="I668" s="138">
        <v>4.03</v>
      </c>
      <c r="J668" s="137" t="s">
        <v>2770</v>
      </c>
      <c r="K668" s="138">
        <f t="shared" si="19"/>
        <v>0</v>
      </c>
    </row>
    <row r="669" spans="1:11">
      <c r="A669" s="136">
        <v>42473</v>
      </c>
      <c r="B669" s="307" t="s">
        <v>2352</v>
      </c>
      <c r="C669" s="137" t="s">
        <v>2200</v>
      </c>
      <c r="D669" s="138">
        <v>1222.26</v>
      </c>
      <c r="E669" s="138">
        <v>74.75</v>
      </c>
      <c r="G669" s="308" t="s">
        <v>373</v>
      </c>
      <c r="I669" s="138">
        <v>1222.26</v>
      </c>
      <c r="J669" s="137" t="s">
        <v>2770</v>
      </c>
      <c r="K669" s="138">
        <f t="shared" ref="K669:K732" si="20">IF(D669&lt;&gt;"",D669-I669,"")</f>
        <v>0</v>
      </c>
    </row>
    <row r="670" spans="1:11">
      <c r="A670" s="136">
        <v>42473</v>
      </c>
      <c r="B670" s="307" t="s">
        <v>2353</v>
      </c>
      <c r="C670" s="137" t="s">
        <v>2200</v>
      </c>
      <c r="D670" s="138">
        <v>288.01</v>
      </c>
      <c r="E670" s="138">
        <v>23.69</v>
      </c>
      <c r="G670" s="308" t="s">
        <v>373</v>
      </c>
      <c r="I670" s="138">
        <v>288.01</v>
      </c>
      <c r="J670" s="137" t="s">
        <v>2770</v>
      </c>
      <c r="K670" s="138">
        <f t="shared" si="20"/>
        <v>0</v>
      </c>
    </row>
    <row r="671" spans="1:11">
      <c r="A671" s="136">
        <v>42473</v>
      </c>
      <c r="B671" s="307" t="s">
        <v>2410</v>
      </c>
      <c r="C671" s="137" t="s">
        <v>2200</v>
      </c>
      <c r="D671" s="138">
        <v>360.21</v>
      </c>
      <c r="E671" s="138">
        <v>18.79</v>
      </c>
      <c r="G671" s="308" t="s">
        <v>378</v>
      </c>
      <c r="I671" s="138">
        <v>360.21</v>
      </c>
      <c r="J671" s="137" t="s">
        <v>2874</v>
      </c>
      <c r="K671" s="138">
        <f t="shared" si="20"/>
        <v>0</v>
      </c>
    </row>
    <row r="672" spans="1:11">
      <c r="A672" s="136">
        <v>42473</v>
      </c>
      <c r="B672" s="307" t="s">
        <v>2411</v>
      </c>
      <c r="C672" s="137" t="s">
        <v>2200</v>
      </c>
      <c r="D672" s="138">
        <v>86.7</v>
      </c>
      <c r="E672" s="138">
        <v>6.92</v>
      </c>
      <c r="G672" s="308" t="s">
        <v>378</v>
      </c>
      <c r="I672" s="138">
        <v>86.7</v>
      </c>
      <c r="J672" s="137" t="s">
        <v>2876</v>
      </c>
      <c r="K672" s="138">
        <f t="shared" si="20"/>
        <v>0</v>
      </c>
    </row>
    <row r="673" spans="1:11">
      <c r="A673" s="136">
        <v>42473</v>
      </c>
      <c r="B673" s="307" t="s">
        <v>2412</v>
      </c>
      <c r="C673" s="137" t="s">
        <v>2200</v>
      </c>
      <c r="D673" s="138">
        <v>59.71</v>
      </c>
      <c r="E673" s="138">
        <v>3.11</v>
      </c>
      <c r="G673" s="308" t="s">
        <v>378</v>
      </c>
      <c r="I673" s="138">
        <v>59.71</v>
      </c>
      <c r="J673" s="137" t="s">
        <v>2876</v>
      </c>
      <c r="K673" s="138">
        <f t="shared" si="20"/>
        <v>0</v>
      </c>
    </row>
    <row r="674" spans="1:11">
      <c r="A674" s="136">
        <v>42473</v>
      </c>
      <c r="B674" s="307" t="s">
        <v>2413</v>
      </c>
      <c r="C674" s="137" t="s">
        <v>2200</v>
      </c>
      <c r="D674" s="138">
        <v>88.4</v>
      </c>
      <c r="E674" s="138">
        <v>14.74</v>
      </c>
      <c r="G674" s="308" t="s">
        <v>378</v>
      </c>
      <c r="I674" s="138">
        <v>88.4</v>
      </c>
      <c r="J674" s="137" t="s">
        <v>2876</v>
      </c>
      <c r="K674" s="138">
        <f t="shared" si="20"/>
        <v>0</v>
      </c>
    </row>
    <row r="675" spans="1:11">
      <c r="A675" s="136">
        <v>42473</v>
      </c>
      <c r="B675" s="307" t="s">
        <v>2414</v>
      </c>
      <c r="C675" s="137" t="s">
        <v>2200</v>
      </c>
      <c r="D675" s="138">
        <v>7.76</v>
      </c>
      <c r="E675" s="138">
        <v>0.4</v>
      </c>
      <c r="G675" s="308" t="s">
        <v>378</v>
      </c>
      <c r="I675" s="138">
        <v>7.76</v>
      </c>
      <c r="J675" s="137" t="s">
        <v>2876</v>
      </c>
      <c r="K675" s="138">
        <f t="shared" si="20"/>
        <v>0</v>
      </c>
    </row>
    <row r="676" spans="1:11">
      <c r="A676" s="136">
        <v>42473</v>
      </c>
      <c r="B676" s="307" t="s">
        <v>2415</v>
      </c>
      <c r="C676" s="137" t="s">
        <v>2200</v>
      </c>
      <c r="D676" s="138">
        <v>7.76</v>
      </c>
      <c r="E676" s="138">
        <v>0.4</v>
      </c>
      <c r="G676" s="308" t="s">
        <v>378</v>
      </c>
      <c r="I676" s="138">
        <v>7.76</v>
      </c>
      <c r="J676" s="137" t="s">
        <v>2876</v>
      </c>
      <c r="K676" s="138">
        <f t="shared" si="20"/>
        <v>0</v>
      </c>
    </row>
    <row r="677" spans="1:11">
      <c r="A677" s="136">
        <v>42473</v>
      </c>
      <c r="B677" s="307" t="s">
        <v>2416</v>
      </c>
      <c r="C677" s="137" t="s">
        <v>2200</v>
      </c>
      <c r="D677" s="138">
        <v>131.66</v>
      </c>
      <c r="E677" s="138">
        <v>6.86</v>
      </c>
      <c r="G677" s="308" t="s">
        <v>378</v>
      </c>
      <c r="I677" s="138">
        <v>131.66</v>
      </c>
      <c r="J677" s="137" t="s">
        <v>2876</v>
      </c>
      <c r="K677" s="138">
        <f t="shared" si="20"/>
        <v>0</v>
      </c>
    </row>
    <row r="678" spans="1:11">
      <c r="A678" s="136">
        <v>42473</v>
      </c>
      <c r="B678" s="307" t="s">
        <v>2417</v>
      </c>
      <c r="C678" s="137" t="s">
        <v>2200</v>
      </c>
      <c r="D678" s="138">
        <v>27.53</v>
      </c>
      <c r="E678" s="138">
        <v>1.71</v>
      </c>
      <c r="G678" s="308" t="s">
        <v>378</v>
      </c>
      <c r="I678" s="138">
        <v>27.53</v>
      </c>
      <c r="J678" s="137" t="s">
        <v>2876</v>
      </c>
      <c r="K678" s="138">
        <f t="shared" si="20"/>
        <v>0</v>
      </c>
    </row>
    <row r="679" spans="1:11">
      <c r="A679" s="136">
        <v>42473</v>
      </c>
      <c r="B679" s="307" t="s">
        <v>2418</v>
      </c>
      <c r="C679" s="137" t="s">
        <v>2200</v>
      </c>
      <c r="D679" s="138">
        <v>492.12</v>
      </c>
      <c r="E679" s="138">
        <v>34.5</v>
      </c>
      <c r="G679" s="308" t="s">
        <v>378</v>
      </c>
      <c r="I679" s="138">
        <v>492.12</v>
      </c>
      <c r="J679" s="137" t="s">
        <v>2876</v>
      </c>
      <c r="K679" s="138">
        <f t="shared" si="20"/>
        <v>0</v>
      </c>
    </row>
    <row r="680" spans="1:11">
      <c r="A680" s="136">
        <v>42473</v>
      </c>
      <c r="B680" s="307" t="s">
        <v>2419</v>
      </c>
      <c r="C680" s="137" t="s">
        <v>2200</v>
      </c>
      <c r="D680" s="138">
        <v>70.56</v>
      </c>
      <c r="E680" s="138">
        <v>3.68</v>
      </c>
      <c r="G680" s="308" t="s">
        <v>378</v>
      </c>
      <c r="I680" s="138">
        <v>70.56</v>
      </c>
      <c r="J680" s="137" t="s">
        <v>2876</v>
      </c>
      <c r="K680" s="138">
        <f t="shared" si="20"/>
        <v>0</v>
      </c>
    </row>
    <row r="681" spans="1:11">
      <c r="A681" s="136">
        <v>42473</v>
      </c>
      <c r="B681" s="307" t="s">
        <v>2420</v>
      </c>
      <c r="C681" s="137" t="s">
        <v>2200</v>
      </c>
      <c r="D681" s="138">
        <v>150.26</v>
      </c>
      <c r="E681" s="138">
        <v>7.83</v>
      </c>
      <c r="G681" s="308" t="s">
        <v>378</v>
      </c>
      <c r="I681" s="138">
        <v>150.26</v>
      </c>
      <c r="J681" s="137" t="s">
        <v>2876</v>
      </c>
      <c r="K681" s="138">
        <f t="shared" si="20"/>
        <v>0</v>
      </c>
    </row>
    <row r="682" spans="1:11">
      <c r="A682" s="136">
        <v>42473</v>
      </c>
      <c r="B682" s="307" t="s">
        <v>2421</v>
      </c>
      <c r="C682" s="137" t="s">
        <v>2200</v>
      </c>
      <c r="D682" s="138">
        <v>37.18</v>
      </c>
      <c r="E682" s="138">
        <v>1.94</v>
      </c>
      <c r="G682" s="308" t="s">
        <v>378</v>
      </c>
      <c r="I682" s="138">
        <v>37.18</v>
      </c>
      <c r="J682" s="137" t="s">
        <v>2876</v>
      </c>
      <c r="K682" s="138">
        <f t="shared" si="20"/>
        <v>0</v>
      </c>
    </row>
    <row r="683" spans="1:11">
      <c r="A683" s="136">
        <v>42473</v>
      </c>
      <c r="B683" s="307" t="s">
        <v>2422</v>
      </c>
      <c r="C683" s="137" t="s">
        <v>2200</v>
      </c>
      <c r="D683" s="138">
        <v>13.08</v>
      </c>
      <c r="E683" s="138">
        <v>0.68</v>
      </c>
      <c r="G683" s="308" t="s">
        <v>378</v>
      </c>
      <c r="I683" s="138">
        <v>13.08</v>
      </c>
      <c r="J683" s="137" t="s">
        <v>2876</v>
      </c>
      <c r="K683" s="138">
        <f t="shared" si="20"/>
        <v>0</v>
      </c>
    </row>
    <row r="684" spans="1:11">
      <c r="A684" s="136">
        <v>42473</v>
      </c>
      <c r="B684" s="307" t="s">
        <v>2423</v>
      </c>
      <c r="C684" s="137" t="s">
        <v>2200</v>
      </c>
      <c r="D684" s="138">
        <v>180.76</v>
      </c>
      <c r="E684" s="138">
        <v>10.26</v>
      </c>
      <c r="G684" s="308" t="s">
        <v>378</v>
      </c>
      <c r="I684" s="138">
        <v>180.76</v>
      </c>
      <c r="J684" s="137" t="s">
        <v>2876</v>
      </c>
      <c r="K684" s="138">
        <f t="shared" si="20"/>
        <v>0</v>
      </c>
    </row>
    <row r="685" spans="1:11">
      <c r="A685" s="136">
        <v>42474</v>
      </c>
      <c r="B685" s="307" t="s">
        <v>2326</v>
      </c>
      <c r="C685" s="137" t="s">
        <v>2200</v>
      </c>
      <c r="D685" s="138">
        <v>11.79</v>
      </c>
      <c r="E685" s="138">
        <v>0.61</v>
      </c>
      <c r="G685" s="308" t="s">
        <v>378</v>
      </c>
      <c r="I685" s="138">
        <v>11.79</v>
      </c>
      <c r="J685" s="137" t="s">
        <v>2876</v>
      </c>
      <c r="K685" s="138">
        <f t="shared" si="20"/>
        <v>0</v>
      </c>
    </row>
    <row r="686" spans="1:11">
      <c r="A686" s="136">
        <v>42474</v>
      </c>
      <c r="B686" s="307" t="s">
        <v>2338</v>
      </c>
      <c r="C686" s="137" t="s">
        <v>2200</v>
      </c>
      <c r="D686" s="138">
        <v>40.270000000000003</v>
      </c>
      <c r="E686" s="138">
        <v>6.72</v>
      </c>
      <c r="G686" s="308" t="s">
        <v>373</v>
      </c>
      <c r="I686" s="138">
        <v>40.270000000000003</v>
      </c>
      <c r="J686" s="137" t="s">
        <v>2770</v>
      </c>
      <c r="K686" s="138">
        <f t="shared" si="20"/>
        <v>0</v>
      </c>
    </row>
    <row r="687" spans="1:11">
      <c r="A687" s="136">
        <v>42474</v>
      </c>
      <c r="B687" s="307" t="s">
        <v>2346</v>
      </c>
      <c r="C687" s="137" t="s">
        <v>372</v>
      </c>
      <c r="D687" s="138">
        <v>109.64</v>
      </c>
      <c r="E687" s="138">
        <v>5.72</v>
      </c>
      <c r="G687" s="308" t="s">
        <v>378</v>
      </c>
      <c r="I687" s="138">
        <v>109.64</v>
      </c>
      <c r="J687" s="137" t="s">
        <v>2725</v>
      </c>
      <c r="K687" s="138">
        <f t="shared" si="20"/>
        <v>0</v>
      </c>
    </row>
    <row r="688" spans="1:11">
      <c r="A688" s="136">
        <v>42474</v>
      </c>
      <c r="B688" s="307" t="s">
        <v>2347</v>
      </c>
      <c r="C688" s="137" t="s">
        <v>372</v>
      </c>
      <c r="D688" s="138">
        <v>34.36</v>
      </c>
      <c r="E688" s="138">
        <v>1.79</v>
      </c>
      <c r="G688" s="308" t="s">
        <v>378</v>
      </c>
      <c r="I688" s="138">
        <v>34.36</v>
      </c>
      <c r="J688" s="137" t="s">
        <v>2725</v>
      </c>
      <c r="K688" s="138">
        <f t="shared" si="20"/>
        <v>0</v>
      </c>
    </row>
    <row r="689" spans="1:11">
      <c r="A689" s="136">
        <v>42474</v>
      </c>
      <c r="B689" s="307" t="s">
        <v>2351</v>
      </c>
      <c r="C689" s="137" t="s">
        <v>372</v>
      </c>
      <c r="D689" s="138">
        <v>21.22</v>
      </c>
      <c r="E689" s="138">
        <v>1.1100000000000001</v>
      </c>
      <c r="G689" s="308" t="s">
        <v>373</v>
      </c>
      <c r="I689" s="138">
        <v>21.22</v>
      </c>
      <c r="J689" s="137" t="s">
        <v>2726</v>
      </c>
      <c r="K689" s="138">
        <f t="shared" si="20"/>
        <v>0</v>
      </c>
    </row>
    <row r="690" spans="1:11">
      <c r="A690" s="136">
        <v>42474</v>
      </c>
      <c r="B690" s="307" t="s">
        <v>2368</v>
      </c>
      <c r="C690" s="137" t="s">
        <v>1973</v>
      </c>
      <c r="D690" s="138">
        <v>240.54</v>
      </c>
      <c r="E690" s="138">
        <v>12.54</v>
      </c>
      <c r="G690" s="308" t="s">
        <v>378</v>
      </c>
      <c r="I690" s="138">
        <v>240.54</v>
      </c>
      <c r="J690" s="137" t="s">
        <v>2560</v>
      </c>
      <c r="K690" s="138">
        <f t="shared" si="20"/>
        <v>0</v>
      </c>
    </row>
    <row r="691" spans="1:11">
      <c r="A691" s="136">
        <v>42474</v>
      </c>
      <c r="B691" s="307" t="s">
        <v>2389</v>
      </c>
      <c r="C691" s="137" t="s">
        <v>187</v>
      </c>
      <c r="D691" s="138">
        <v>1372.37</v>
      </c>
      <c r="E691" s="138">
        <v>75.17</v>
      </c>
      <c r="G691" s="308" t="s">
        <v>378</v>
      </c>
      <c r="K691" s="138">
        <f t="shared" si="20"/>
        <v>1372.37</v>
      </c>
    </row>
    <row r="692" spans="1:11">
      <c r="A692" s="136">
        <v>42474</v>
      </c>
      <c r="B692" s="307" t="s">
        <v>2489</v>
      </c>
      <c r="C692" s="137" t="s">
        <v>2252</v>
      </c>
      <c r="D692" s="138">
        <v>740.27</v>
      </c>
      <c r="E692" s="138">
        <v>51.46</v>
      </c>
      <c r="G692" s="308" t="s">
        <v>378</v>
      </c>
      <c r="I692" s="138">
        <v>740.27</v>
      </c>
      <c r="J692" s="137" t="s">
        <v>2724</v>
      </c>
      <c r="K692" s="138">
        <f t="shared" si="20"/>
        <v>0</v>
      </c>
    </row>
    <row r="693" spans="1:11">
      <c r="A693" s="136">
        <v>42475</v>
      </c>
      <c r="B693" s="307" t="s">
        <v>2427</v>
      </c>
      <c r="C693" s="137" t="s">
        <v>187</v>
      </c>
      <c r="D693" s="138">
        <v>605.78</v>
      </c>
      <c r="E693" s="138">
        <v>35.979999999999997</v>
      </c>
      <c r="G693" s="308" t="s">
        <v>373</v>
      </c>
      <c r="I693" s="138">
        <v>605.78</v>
      </c>
      <c r="K693" s="138">
        <f t="shared" si="20"/>
        <v>0</v>
      </c>
    </row>
    <row r="694" spans="1:11">
      <c r="A694" s="136">
        <v>42475</v>
      </c>
      <c r="B694" s="307" t="s">
        <v>2483</v>
      </c>
      <c r="C694" s="137" t="s">
        <v>372</v>
      </c>
      <c r="D694" s="138">
        <v>131.62</v>
      </c>
      <c r="E694" s="138">
        <v>6.86</v>
      </c>
      <c r="G694" s="308" t="s">
        <v>378</v>
      </c>
      <c r="I694" s="138">
        <v>131.62</v>
      </c>
      <c r="J694" s="137" t="s">
        <v>2725</v>
      </c>
      <c r="K694" s="138">
        <f t="shared" si="20"/>
        <v>0</v>
      </c>
    </row>
    <row r="695" spans="1:11">
      <c r="A695" s="136">
        <v>42475</v>
      </c>
      <c r="B695" s="307" t="s">
        <v>2484</v>
      </c>
      <c r="C695" s="137" t="s">
        <v>2200</v>
      </c>
      <c r="D695" s="138">
        <v>926.19</v>
      </c>
      <c r="E695" s="138">
        <v>72.8</v>
      </c>
      <c r="G695" s="308" t="s">
        <v>378</v>
      </c>
      <c r="I695" s="138">
        <v>926.19</v>
      </c>
      <c r="J695" s="137" t="s">
        <v>2898</v>
      </c>
      <c r="K695" s="138">
        <f t="shared" si="20"/>
        <v>0</v>
      </c>
    </row>
    <row r="696" spans="1:11">
      <c r="A696" s="136">
        <v>42475</v>
      </c>
      <c r="B696" s="307" t="s">
        <v>2485</v>
      </c>
      <c r="C696" s="137" t="s">
        <v>2200</v>
      </c>
      <c r="D696" s="138">
        <v>82.12</v>
      </c>
      <c r="E696" s="138">
        <v>4.28</v>
      </c>
      <c r="G696" s="308" t="s">
        <v>378</v>
      </c>
      <c r="I696" s="138">
        <v>82.12</v>
      </c>
      <c r="J696" s="137" t="s">
        <v>2898</v>
      </c>
      <c r="K696" s="138">
        <f t="shared" si="20"/>
        <v>0</v>
      </c>
    </row>
    <row r="697" spans="1:11">
      <c r="A697" s="136">
        <v>42475</v>
      </c>
      <c r="B697" s="307" t="s">
        <v>2486</v>
      </c>
      <c r="C697" s="137" t="s">
        <v>2200</v>
      </c>
      <c r="D697" s="138">
        <v>613.15</v>
      </c>
      <c r="E697" s="138">
        <v>38.33</v>
      </c>
      <c r="G697" s="308" t="s">
        <v>378</v>
      </c>
      <c r="I697" s="138">
        <v>613.15</v>
      </c>
      <c r="J697" s="137" t="s">
        <v>2898</v>
      </c>
      <c r="K697" s="138">
        <f t="shared" si="20"/>
        <v>0</v>
      </c>
    </row>
    <row r="698" spans="1:11">
      <c r="A698" s="136">
        <v>42475</v>
      </c>
      <c r="B698" s="307" t="s">
        <v>2487</v>
      </c>
      <c r="C698" s="137" t="s">
        <v>2200</v>
      </c>
      <c r="D698" s="138">
        <v>18.61</v>
      </c>
      <c r="E698" s="138">
        <v>0.97</v>
      </c>
      <c r="G698" s="308" t="s">
        <v>378</v>
      </c>
      <c r="I698" s="138">
        <v>18.61</v>
      </c>
      <c r="J698" s="137" t="s">
        <v>2898</v>
      </c>
      <c r="K698" s="138">
        <f t="shared" si="20"/>
        <v>0</v>
      </c>
    </row>
    <row r="699" spans="1:11">
      <c r="A699" s="136">
        <v>42475</v>
      </c>
      <c r="B699" s="307" t="s">
        <v>2488</v>
      </c>
      <c r="C699" s="137" t="s">
        <v>2200</v>
      </c>
      <c r="D699" s="138">
        <v>98.04</v>
      </c>
      <c r="E699" s="138">
        <v>16.34</v>
      </c>
      <c r="G699" s="308" t="s">
        <v>378</v>
      </c>
      <c r="I699" s="138">
        <v>98.04</v>
      </c>
      <c r="J699" s="137" t="s">
        <v>2898</v>
      </c>
      <c r="K699" s="138">
        <f t="shared" si="20"/>
        <v>0</v>
      </c>
    </row>
    <row r="700" spans="1:11">
      <c r="A700" s="136">
        <v>42475</v>
      </c>
      <c r="B700" s="307" t="s">
        <v>2490</v>
      </c>
      <c r="C700" s="137" t="s">
        <v>184</v>
      </c>
      <c r="D700" s="138">
        <v>389.21</v>
      </c>
      <c r="E700" s="138">
        <v>38.71</v>
      </c>
      <c r="G700" s="308" t="s">
        <v>378</v>
      </c>
      <c r="K700" s="138">
        <f t="shared" si="20"/>
        <v>389.21</v>
      </c>
    </row>
    <row r="701" spans="1:11">
      <c r="A701" s="136">
        <v>42476</v>
      </c>
      <c r="B701" s="307" t="s">
        <v>2371</v>
      </c>
      <c r="C701" s="137" t="s">
        <v>2200</v>
      </c>
      <c r="D701" s="138">
        <v>45.83</v>
      </c>
      <c r="E701" s="138">
        <v>7.64</v>
      </c>
      <c r="G701" s="308" t="s">
        <v>378</v>
      </c>
      <c r="I701" s="138">
        <v>45.83</v>
      </c>
      <c r="J701" s="137" t="s">
        <v>2898</v>
      </c>
      <c r="K701" s="138">
        <f t="shared" si="20"/>
        <v>0</v>
      </c>
    </row>
    <row r="702" spans="1:11">
      <c r="A702" s="136">
        <v>42476</v>
      </c>
      <c r="B702" s="307" t="s">
        <v>2348</v>
      </c>
      <c r="C702" s="137" t="s">
        <v>372</v>
      </c>
      <c r="D702" s="138">
        <v>133.56</v>
      </c>
      <c r="E702" s="138">
        <v>6.96</v>
      </c>
      <c r="G702" s="308" t="s">
        <v>378</v>
      </c>
      <c r="I702" s="138">
        <v>133.56</v>
      </c>
      <c r="J702" s="137" t="s">
        <v>2725</v>
      </c>
      <c r="K702" s="138">
        <f t="shared" si="20"/>
        <v>0</v>
      </c>
    </row>
    <row r="703" spans="1:11">
      <c r="A703" s="136">
        <v>42476</v>
      </c>
      <c r="B703" s="307" t="s">
        <v>2520</v>
      </c>
      <c r="C703" s="137" t="s">
        <v>2521</v>
      </c>
      <c r="D703" s="138">
        <v>122.1</v>
      </c>
      <c r="E703" s="138">
        <v>20.350000000000001</v>
      </c>
      <c r="G703" s="308" t="s">
        <v>378</v>
      </c>
      <c r="J703" s="137" t="s">
        <v>2522</v>
      </c>
      <c r="K703" s="138">
        <f t="shared" si="20"/>
        <v>122.1</v>
      </c>
    </row>
    <row r="704" spans="1:11">
      <c r="A704" s="136">
        <v>42477</v>
      </c>
      <c r="B704" s="307" t="s">
        <v>2372</v>
      </c>
      <c r="C704" s="137" t="s">
        <v>2200</v>
      </c>
      <c r="D704" s="138">
        <v>2127.0100000000002</v>
      </c>
      <c r="E704" s="138">
        <v>146.21</v>
      </c>
      <c r="G704" s="308" t="s">
        <v>378</v>
      </c>
      <c r="I704" s="138">
        <v>2127.0100000000002</v>
      </c>
      <c r="J704" s="137" t="s">
        <v>2899</v>
      </c>
      <c r="K704" s="138">
        <f t="shared" si="20"/>
        <v>0</v>
      </c>
    </row>
    <row r="705" spans="1:11">
      <c r="A705" s="136">
        <v>42477</v>
      </c>
      <c r="B705" s="307" t="s">
        <v>2373</v>
      </c>
      <c r="C705" s="137" t="s">
        <v>2200</v>
      </c>
      <c r="D705" s="138">
        <v>61.28</v>
      </c>
      <c r="E705" s="138">
        <v>3.19</v>
      </c>
      <c r="G705" s="308" t="s">
        <v>373</v>
      </c>
      <c r="I705" s="138">
        <v>61.28</v>
      </c>
      <c r="J705" s="137" t="s">
        <v>2770</v>
      </c>
      <c r="K705" s="138">
        <f t="shared" si="20"/>
        <v>0</v>
      </c>
    </row>
    <row r="706" spans="1:11">
      <c r="A706" s="136">
        <v>42478</v>
      </c>
      <c r="B706" s="307" t="s">
        <v>2343</v>
      </c>
      <c r="C706" s="137" t="s">
        <v>2252</v>
      </c>
      <c r="D706" s="138">
        <v>78.97</v>
      </c>
      <c r="E706" s="138">
        <v>4.12</v>
      </c>
      <c r="G706" s="308" t="s">
        <v>378</v>
      </c>
      <c r="I706" s="138">
        <v>78.97</v>
      </c>
      <c r="J706" s="137" t="s">
        <v>2724</v>
      </c>
      <c r="K706" s="138">
        <f t="shared" si="20"/>
        <v>0</v>
      </c>
    </row>
    <row r="707" spans="1:11">
      <c r="A707" s="136">
        <v>42478</v>
      </c>
      <c r="B707" s="307" t="s">
        <v>2350</v>
      </c>
      <c r="C707" s="137" t="s">
        <v>372</v>
      </c>
      <c r="D707" s="138">
        <v>23.43</v>
      </c>
      <c r="E707" s="378">
        <v>1.22</v>
      </c>
      <c r="G707" s="308" t="s">
        <v>378</v>
      </c>
      <c r="I707" s="138">
        <v>23.43</v>
      </c>
      <c r="J707" s="137" t="s">
        <v>2725</v>
      </c>
      <c r="K707" s="138">
        <f t="shared" si="20"/>
        <v>0</v>
      </c>
    </row>
    <row r="708" spans="1:11">
      <c r="A708" s="136">
        <v>42478</v>
      </c>
      <c r="B708" s="307" t="s">
        <v>2327</v>
      </c>
      <c r="C708" s="137" t="s">
        <v>2200</v>
      </c>
      <c r="D708" s="138">
        <v>14.18</v>
      </c>
      <c r="E708" s="138">
        <v>1.01</v>
      </c>
      <c r="G708" s="308" t="s">
        <v>378</v>
      </c>
      <c r="I708" s="138">
        <v>14.18</v>
      </c>
      <c r="J708" s="137" t="s">
        <v>2899</v>
      </c>
      <c r="K708" s="138">
        <f t="shared" si="20"/>
        <v>0</v>
      </c>
    </row>
    <row r="709" spans="1:11">
      <c r="A709" s="136">
        <v>42478</v>
      </c>
      <c r="B709" s="307" t="s">
        <v>2329</v>
      </c>
      <c r="C709" s="137" t="s">
        <v>2200</v>
      </c>
      <c r="D709" s="138">
        <v>41.57</v>
      </c>
      <c r="E709" s="138">
        <v>2.17</v>
      </c>
      <c r="G709" s="308" t="s">
        <v>378</v>
      </c>
      <c r="I709" s="138">
        <v>41.57</v>
      </c>
      <c r="J709" s="137" t="s">
        <v>2898</v>
      </c>
      <c r="K709" s="138">
        <f t="shared" si="20"/>
        <v>0</v>
      </c>
    </row>
    <row r="710" spans="1:11">
      <c r="A710" s="136">
        <v>42478</v>
      </c>
      <c r="B710" s="307" t="s">
        <v>2330</v>
      </c>
      <c r="C710" s="137" t="s">
        <v>2200</v>
      </c>
      <c r="D710" s="138">
        <v>45.38</v>
      </c>
      <c r="E710" s="138">
        <v>7.57</v>
      </c>
      <c r="G710" s="308" t="s">
        <v>378</v>
      </c>
      <c r="I710" s="138">
        <v>45.38</v>
      </c>
      <c r="J710" s="137" t="s">
        <v>2899</v>
      </c>
      <c r="K710" s="138">
        <f t="shared" si="20"/>
        <v>0</v>
      </c>
    </row>
    <row r="711" spans="1:11">
      <c r="A711" s="136">
        <v>42478</v>
      </c>
      <c r="B711" s="307" t="s">
        <v>2374</v>
      </c>
      <c r="C711" s="137" t="s">
        <v>372</v>
      </c>
      <c r="D711" s="138">
        <v>45.15</v>
      </c>
      <c r="E711" s="138">
        <v>2.35</v>
      </c>
      <c r="G711" s="308" t="s">
        <v>378</v>
      </c>
      <c r="I711" s="138">
        <v>45.15</v>
      </c>
      <c r="J711" s="137" t="s">
        <v>2725</v>
      </c>
      <c r="K711" s="138">
        <f t="shared" si="20"/>
        <v>0</v>
      </c>
    </row>
    <row r="712" spans="1:11">
      <c r="A712" s="136">
        <v>42478</v>
      </c>
      <c r="B712" s="307" t="s">
        <v>2383</v>
      </c>
      <c r="C712" s="137" t="s">
        <v>372</v>
      </c>
      <c r="D712" s="138">
        <v>20.71</v>
      </c>
      <c r="E712" s="138">
        <v>1.08</v>
      </c>
      <c r="G712" s="308" t="s">
        <v>373</v>
      </c>
      <c r="I712" s="138">
        <v>20.71</v>
      </c>
      <c r="J712" s="137" t="s">
        <v>2726</v>
      </c>
      <c r="K712" s="138">
        <f t="shared" si="20"/>
        <v>0</v>
      </c>
    </row>
    <row r="713" spans="1:11">
      <c r="A713" s="136">
        <v>42479</v>
      </c>
      <c r="B713" s="307" t="s">
        <v>2324</v>
      </c>
      <c r="C713" s="137" t="s">
        <v>2200</v>
      </c>
      <c r="D713" s="378">
        <v>252</v>
      </c>
      <c r="E713" s="378">
        <v>13.13</v>
      </c>
      <c r="F713" s="309"/>
      <c r="G713" s="308" t="s">
        <v>378</v>
      </c>
      <c r="I713" s="378">
        <v>252</v>
      </c>
      <c r="J713" s="137" t="s">
        <v>2899</v>
      </c>
      <c r="K713" s="138">
        <f t="shared" si="20"/>
        <v>0</v>
      </c>
    </row>
    <row r="714" spans="1:11">
      <c r="A714" s="136">
        <v>42479</v>
      </c>
      <c r="B714" s="307" t="s">
        <v>2325</v>
      </c>
      <c r="C714" s="137" t="s">
        <v>2200</v>
      </c>
      <c r="D714" s="138">
        <v>742.6</v>
      </c>
      <c r="E714" s="138">
        <v>38.729999999999997</v>
      </c>
      <c r="G714" s="308" t="s">
        <v>378</v>
      </c>
      <c r="I714" s="138">
        <v>742.6</v>
      </c>
      <c r="J714" s="137" t="s">
        <v>2899</v>
      </c>
      <c r="K714" s="138">
        <f t="shared" si="20"/>
        <v>0</v>
      </c>
    </row>
    <row r="715" spans="1:11">
      <c r="A715" s="136">
        <v>42479</v>
      </c>
      <c r="B715" s="307" t="s">
        <v>2382</v>
      </c>
      <c r="C715" s="137" t="s">
        <v>372</v>
      </c>
      <c r="D715" s="138">
        <v>16.38</v>
      </c>
      <c r="E715" s="138">
        <v>0.85</v>
      </c>
      <c r="G715" s="308" t="s">
        <v>373</v>
      </c>
      <c r="I715" s="138">
        <v>16.38</v>
      </c>
      <c r="J715" s="137" t="s">
        <v>2726</v>
      </c>
      <c r="K715" s="138">
        <f t="shared" si="20"/>
        <v>0</v>
      </c>
    </row>
    <row r="716" spans="1:11">
      <c r="A716" s="136">
        <v>42480</v>
      </c>
      <c r="B716" s="307" t="s">
        <v>2376</v>
      </c>
      <c r="C716" s="137" t="s">
        <v>2200</v>
      </c>
      <c r="D716" s="138">
        <v>1185.96</v>
      </c>
      <c r="E716" s="138">
        <v>86.98</v>
      </c>
      <c r="G716" s="308" t="s">
        <v>373</v>
      </c>
      <c r="I716" s="138">
        <v>1185.96</v>
      </c>
      <c r="K716" s="138">
        <f t="shared" si="20"/>
        <v>0</v>
      </c>
    </row>
    <row r="717" spans="1:11">
      <c r="A717" s="136">
        <v>42480</v>
      </c>
      <c r="B717" s="307" t="s">
        <v>2377</v>
      </c>
      <c r="C717" s="137" t="s">
        <v>2200</v>
      </c>
      <c r="D717" s="138">
        <v>62.33</v>
      </c>
      <c r="E717" s="138">
        <v>3.53</v>
      </c>
      <c r="G717" s="308" t="s">
        <v>373</v>
      </c>
      <c r="I717" s="138">
        <v>62.33</v>
      </c>
      <c r="J717" s="137" t="s">
        <v>2770</v>
      </c>
      <c r="K717" s="138">
        <f t="shared" si="20"/>
        <v>0</v>
      </c>
    </row>
    <row r="718" spans="1:11">
      <c r="A718" s="136">
        <v>42480</v>
      </c>
      <c r="B718" s="307" t="s">
        <v>2378</v>
      </c>
      <c r="C718" s="137" t="s">
        <v>2200</v>
      </c>
      <c r="D718" s="138">
        <v>29.07</v>
      </c>
      <c r="E718" s="138">
        <v>4.8499999999999996</v>
      </c>
      <c r="G718" s="308" t="s">
        <v>373</v>
      </c>
      <c r="I718" s="138">
        <v>29.07</v>
      </c>
      <c r="J718" s="137" t="s">
        <v>2770</v>
      </c>
      <c r="K718" s="138">
        <f t="shared" si="20"/>
        <v>0</v>
      </c>
    </row>
    <row r="719" spans="1:11">
      <c r="A719" s="136">
        <v>42480</v>
      </c>
      <c r="B719" s="307" t="s">
        <v>2381</v>
      </c>
      <c r="C719" s="137" t="s">
        <v>372</v>
      </c>
      <c r="D719" s="138">
        <v>13.29</v>
      </c>
      <c r="E719" s="138">
        <v>0.69</v>
      </c>
      <c r="G719" s="308" t="s">
        <v>373</v>
      </c>
      <c r="I719" s="138">
        <v>13.29</v>
      </c>
      <c r="J719" s="137" t="s">
        <v>2726</v>
      </c>
      <c r="K719" s="138">
        <f t="shared" si="20"/>
        <v>0</v>
      </c>
    </row>
    <row r="720" spans="1:11">
      <c r="A720" s="136">
        <v>42481</v>
      </c>
      <c r="B720" s="307" t="s">
        <v>2380</v>
      </c>
      <c r="C720" s="137" t="s">
        <v>372</v>
      </c>
      <c r="D720" s="138">
        <v>7.23</v>
      </c>
      <c r="E720" s="138">
        <v>0.38</v>
      </c>
      <c r="G720" s="308" t="s">
        <v>373</v>
      </c>
      <c r="I720" s="138">
        <v>7.23</v>
      </c>
      <c r="J720" s="137" t="s">
        <v>2726</v>
      </c>
      <c r="K720" s="138">
        <f t="shared" si="20"/>
        <v>0</v>
      </c>
    </row>
    <row r="721" spans="1:11">
      <c r="A721" s="136">
        <v>42481</v>
      </c>
      <c r="B721" s="307" t="s">
        <v>2432</v>
      </c>
      <c r="C721" s="137" t="s">
        <v>2200</v>
      </c>
      <c r="D721" s="138">
        <v>43.56</v>
      </c>
      <c r="E721" s="138">
        <v>7.26</v>
      </c>
      <c r="G721" s="308" t="s">
        <v>378</v>
      </c>
      <c r="I721" s="138">
        <v>43.56</v>
      </c>
      <c r="J721" s="137" t="s">
        <v>2899</v>
      </c>
      <c r="K721" s="138">
        <f t="shared" si="20"/>
        <v>0</v>
      </c>
    </row>
    <row r="722" spans="1:11">
      <c r="A722" s="136">
        <v>42481</v>
      </c>
      <c r="B722" s="307" t="s">
        <v>2433</v>
      </c>
      <c r="C722" s="137" t="s">
        <v>2200</v>
      </c>
      <c r="D722" s="138">
        <v>149.19</v>
      </c>
      <c r="E722" s="138">
        <v>24.87</v>
      </c>
      <c r="G722" s="308" t="s">
        <v>378</v>
      </c>
      <c r="I722" s="138">
        <v>149.19</v>
      </c>
      <c r="J722" s="137" t="s">
        <v>2899</v>
      </c>
      <c r="K722" s="138">
        <f t="shared" si="20"/>
        <v>0</v>
      </c>
    </row>
    <row r="723" spans="1:11">
      <c r="A723" s="136">
        <v>42481</v>
      </c>
      <c r="B723" s="307" t="s">
        <v>2434</v>
      </c>
      <c r="C723" s="137" t="s">
        <v>2200</v>
      </c>
      <c r="D723" s="138">
        <v>57.54</v>
      </c>
      <c r="E723" s="138">
        <v>9.59</v>
      </c>
      <c r="G723" s="308" t="s">
        <v>378</v>
      </c>
      <c r="I723" s="138">
        <v>57.54</v>
      </c>
      <c r="J723" s="137" t="s">
        <v>2899</v>
      </c>
      <c r="K723" s="138">
        <f t="shared" si="20"/>
        <v>0</v>
      </c>
    </row>
    <row r="724" spans="1:11">
      <c r="A724" s="136">
        <v>42482</v>
      </c>
      <c r="B724" s="307" t="s">
        <v>2386</v>
      </c>
      <c r="C724" s="137" t="s">
        <v>182</v>
      </c>
      <c r="D724" s="138">
        <v>321.16000000000003</v>
      </c>
      <c r="E724" s="138">
        <v>16.739999999999998</v>
      </c>
      <c r="G724" s="308" t="s">
        <v>378</v>
      </c>
      <c r="I724" s="138">
        <v>321.16000000000003</v>
      </c>
      <c r="J724" s="137" t="s">
        <v>2494</v>
      </c>
      <c r="K724" s="138">
        <f t="shared" si="20"/>
        <v>0</v>
      </c>
    </row>
    <row r="725" spans="1:11">
      <c r="A725" s="136">
        <v>42482</v>
      </c>
      <c r="B725" s="307" t="s">
        <v>2431</v>
      </c>
      <c r="C725" s="137" t="s">
        <v>372</v>
      </c>
      <c r="D725" s="138">
        <v>10.050000000000001</v>
      </c>
      <c r="E725" s="138">
        <v>0.52</v>
      </c>
      <c r="G725" s="308" t="s">
        <v>373</v>
      </c>
      <c r="I725" s="138">
        <v>10.050000000000001</v>
      </c>
      <c r="J725" s="137" t="s">
        <v>2726</v>
      </c>
      <c r="K725" s="138">
        <f t="shared" si="20"/>
        <v>0</v>
      </c>
    </row>
    <row r="726" spans="1:11">
      <c r="A726" s="136">
        <v>42482</v>
      </c>
      <c r="B726" s="307" t="s">
        <v>2492</v>
      </c>
      <c r="C726" s="137" t="s">
        <v>187</v>
      </c>
      <c r="D726" s="138">
        <v>822.71</v>
      </c>
      <c r="E726" s="138">
        <v>57.51</v>
      </c>
      <c r="G726" s="308" t="s">
        <v>378</v>
      </c>
      <c r="K726" s="138">
        <f t="shared" si="20"/>
        <v>822.71</v>
      </c>
    </row>
    <row r="727" spans="1:11">
      <c r="A727" s="136">
        <v>42482</v>
      </c>
      <c r="B727" s="307" t="s">
        <v>2556</v>
      </c>
      <c r="C727" s="137" t="s">
        <v>187</v>
      </c>
      <c r="D727" s="138">
        <v>665.1</v>
      </c>
      <c r="E727" s="138">
        <v>42.7</v>
      </c>
      <c r="G727" s="308" t="s">
        <v>373</v>
      </c>
      <c r="I727" s="138">
        <v>665.1</v>
      </c>
      <c r="K727" s="138">
        <f t="shared" si="20"/>
        <v>0</v>
      </c>
    </row>
    <row r="728" spans="1:11">
      <c r="A728" s="136">
        <v>42483</v>
      </c>
      <c r="B728" s="307" t="s">
        <v>2384</v>
      </c>
      <c r="C728" s="137" t="s">
        <v>372</v>
      </c>
      <c r="D728" s="138">
        <v>25.92</v>
      </c>
      <c r="E728" s="138">
        <v>1.35</v>
      </c>
      <c r="G728" s="308" t="s">
        <v>378</v>
      </c>
      <c r="I728" s="138">
        <v>25.92</v>
      </c>
      <c r="J728" s="137" t="s">
        <v>2725</v>
      </c>
      <c r="K728" s="138">
        <f t="shared" si="20"/>
        <v>0</v>
      </c>
    </row>
    <row r="729" spans="1:11">
      <c r="A729" s="136">
        <v>42484</v>
      </c>
      <c r="B729" s="307" t="s">
        <v>2375</v>
      </c>
      <c r="C729" s="137" t="s">
        <v>2252</v>
      </c>
      <c r="D729" s="138">
        <v>244.68</v>
      </c>
      <c r="E729" s="138">
        <v>14.64</v>
      </c>
      <c r="G729" s="308" t="s">
        <v>378</v>
      </c>
      <c r="I729" s="138">
        <v>244.68</v>
      </c>
      <c r="J729" s="137" t="s">
        <v>2724</v>
      </c>
      <c r="K729" s="138">
        <f t="shared" si="20"/>
        <v>0</v>
      </c>
    </row>
    <row r="730" spans="1:11">
      <c r="A730" s="136">
        <v>42485</v>
      </c>
      <c r="B730" s="307" t="s">
        <v>2385</v>
      </c>
      <c r="C730" s="137" t="s">
        <v>372</v>
      </c>
      <c r="D730" s="138">
        <v>42.58</v>
      </c>
      <c r="E730" s="138">
        <v>2.2200000000000002</v>
      </c>
      <c r="G730" s="308" t="s">
        <v>378</v>
      </c>
      <c r="I730" s="138">
        <v>42.58</v>
      </c>
      <c r="J730" s="137" t="s">
        <v>2725</v>
      </c>
      <c r="K730" s="138">
        <f t="shared" si="20"/>
        <v>0</v>
      </c>
    </row>
    <row r="731" spans="1:11">
      <c r="A731" s="136">
        <v>42485</v>
      </c>
      <c r="B731" s="307" t="s">
        <v>2430</v>
      </c>
      <c r="C731" s="137" t="s">
        <v>372</v>
      </c>
      <c r="D731" s="138">
        <v>16.88</v>
      </c>
      <c r="E731" s="138">
        <v>0.88</v>
      </c>
      <c r="G731" s="308" t="s">
        <v>373</v>
      </c>
      <c r="I731" s="138">
        <v>16.88</v>
      </c>
      <c r="J731" s="137" t="s">
        <v>2726</v>
      </c>
      <c r="K731" s="138">
        <f t="shared" si="20"/>
        <v>0</v>
      </c>
    </row>
    <row r="732" spans="1:11">
      <c r="A732" s="136">
        <v>42486</v>
      </c>
      <c r="B732" s="307" t="s">
        <v>2393</v>
      </c>
      <c r="C732" s="137" t="s">
        <v>2200</v>
      </c>
      <c r="D732" s="138">
        <v>735.44</v>
      </c>
      <c r="E732" s="138">
        <v>41.76</v>
      </c>
      <c r="G732" s="308" t="s">
        <v>378</v>
      </c>
      <c r="I732" s="138">
        <v>735.44</v>
      </c>
      <c r="J732" s="137" t="s">
        <v>2899</v>
      </c>
      <c r="K732" s="138">
        <f t="shared" si="20"/>
        <v>0</v>
      </c>
    </row>
    <row r="733" spans="1:11">
      <c r="A733" s="136">
        <v>42486</v>
      </c>
      <c r="B733" s="307" t="s">
        <v>2394</v>
      </c>
      <c r="C733" s="137" t="s">
        <v>2200</v>
      </c>
      <c r="D733" s="138">
        <v>252.72</v>
      </c>
      <c r="E733" s="138">
        <v>13.18</v>
      </c>
      <c r="G733" s="308" t="s">
        <v>378</v>
      </c>
      <c r="I733" s="138">
        <v>252.72</v>
      </c>
      <c r="J733" s="137" t="s">
        <v>2899</v>
      </c>
      <c r="K733" s="138">
        <f t="shared" ref="K733:K796" si="21">IF(D733&lt;&gt;"",D733-I733,"")</f>
        <v>0</v>
      </c>
    </row>
    <row r="734" spans="1:11">
      <c r="A734" s="136">
        <v>42486</v>
      </c>
      <c r="B734" s="307" t="s">
        <v>2395</v>
      </c>
      <c r="C734" s="137" t="s">
        <v>2200</v>
      </c>
      <c r="D734" s="138">
        <v>57.81</v>
      </c>
      <c r="E734" s="138">
        <v>3.01</v>
      </c>
      <c r="G734" s="308" t="s">
        <v>378</v>
      </c>
      <c r="I734" s="138">
        <v>57.81</v>
      </c>
      <c r="J734" s="137" t="s">
        <v>2899</v>
      </c>
      <c r="K734" s="138">
        <f t="shared" si="21"/>
        <v>0</v>
      </c>
    </row>
    <row r="735" spans="1:11">
      <c r="A735" s="136">
        <v>42486</v>
      </c>
      <c r="B735" s="307" t="s">
        <v>2396</v>
      </c>
      <c r="C735" s="137" t="s">
        <v>2200</v>
      </c>
      <c r="D735" s="138">
        <v>70.59</v>
      </c>
      <c r="E735" s="138">
        <v>3.96</v>
      </c>
      <c r="G735" s="308" t="s">
        <v>378</v>
      </c>
      <c r="I735" s="138">
        <v>70.59</v>
      </c>
      <c r="J735" s="137" t="s">
        <v>2899</v>
      </c>
      <c r="K735" s="138">
        <f t="shared" si="21"/>
        <v>0</v>
      </c>
    </row>
    <row r="736" spans="1:11">
      <c r="A736" s="136">
        <v>42486</v>
      </c>
      <c r="B736" s="307" t="s">
        <v>2397</v>
      </c>
      <c r="C736" s="137" t="s">
        <v>2200</v>
      </c>
      <c r="D736" s="138">
        <v>25.14</v>
      </c>
      <c r="E736" s="138">
        <v>1.31</v>
      </c>
      <c r="G736" s="308" t="s">
        <v>378</v>
      </c>
      <c r="I736" s="138">
        <v>25.14</v>
      </c>
      <c r="J736" s="137" t="s">
        <v>2899</v>
      </c>
      <c r="K736" s="138">
        <f t="shared" si="21"/>
        <v>0</v>
      </c>
    </row>
    <row r="737" spans="1:11">
      <c r="A737" s="136">
        <v>42486</v>
      </c>
      <c r="B737" s="307" t="s">
        <v>2398</v>
      </c>
      <c r="C737" s="137" t="s">
        <v>2200</v>
      </c>
      <c r="D737" s="138">
        <v>25.14</v>
      </c>
      <c r="E737" s="138">
        <v>1.31</v>
      </c>
      <c r="G737" s="308" t="s">
        <v>378</v>
      </c>
      <c r="I737" s="138">
        <v>25.14</v>
      </c>
      <c r="J737" s="137" t="s">
        <v>2899</v>
      </c>
      <c r="K737" s="138">
        <f t="shared" si="21"/>
        <v>0</v>
      </c>
    </row>
    <row r="738" spans="1:11">
      <c r="A738" s="136">
        <v>42486</v>
      </c>
      <c r="B738" s="307" t="s">
        <v>2399</v>
      </c>
      <c r="C738" s="137" t="s">
        <v>2200</v>
      </c>
      <c r="D738" s="138">
        <v>25.14</v>
      </c>
      <c r="E738" s="138">
        <v>1.31</v>
      </c>
      <c r="G738" s="308" t="s">
        <v>378</v>
      </c>
      <c r="I738" s="138">
        <v>25.14</v>
      </c>
      <c r="J738" s="137" t="s">
        <v>2899</v>
      </c>
      <c r="K738" s="138">
        <f t="shared" si="21"/>
        <v>0</v>
      </c>
    </row>
    <row r="739" spans="1:11">
      <c r="A739" s="136">
        <v>42486</v>
      </c>
      <c r="B739" s="307" t="s">
        <v>2400</v>
      </c>
      <c r="C739" s="137" t="s">
        <v>2200</v>
      </c>
      <c r="D739" s="138">
        <v>21.02</v>
      </c>
      <c r="E739" s="138">
        <v>1.0900000000000001</v>
      </c>
      <c r="G739" s="308" t="s">
        <v>378</v>
      </c>
      <c r="I739" s="138">
        <v>21.02</v>
      </c>
      <c r="J739" s="137" t="s">
        <v>2899</v>
      </c>
      <c r="K739" s="138">
        <f t="shared" si="21"/>
        <v>0</v>
      </c>
    </row>
    <row r="740" spans="1:11">
      <c r="A740" s="136">
        <v>42486</v>
      </c>
      <c r="B740" s="307" t="s">
        <v>2401</v>
      </c>
      <c r="C740" s="137" t="s">
        <v>2200</v>
      </c>
      <c r="D740" s="138">
        <v>50.29</v>
      </c>
      <c r="E740" s="138">
        <v>2.62</v>
      </c>
      <c r="G740" s="308" t="s">
        <v>378</v>
      </c>
      <c r="I740" s="138">
        <v>50.29</v>
      </c>
      <c r="J740" s="137" t="s">
        <v>2899</v>
      </c>
      <c r="K740" s="138">
        <f t="shared" si="21"/>
        <v>0</v>
      </c>
    </row>
    <row r="741" spans="1:11">
      <c r="A741" s="136">
        <v>42486</v>
      </c>
      <c r="B741" s="307" t="s">
        <v>2402</v>
      </c>
      <c r="C741" s="137" t="s">
        <v>2200</v>
      </c>
      <c r="D741" s="138">
        <v>49.52</v>
      </c>
      <c r="E741" s="138">
        <v>2.86</v>
      </c>
      <c r="G741" s="308" t="s">
        <v>373</v>
      </c>
      <c r="I741" s="138">
        <v>49.52</v>
      </c>
      <c r="J741" s="137" t="s">
        <v>2770</v>
      </c>
      <c r="K741" s="138">
        <f t="shared" si="21"/>
        <v>0</v>
      </c>
    </row>
    <row r="742" spans="1:11">
      <c r="A742" s="136">
        <v>42486</v>
      </c>
      <c r="B742" s="307" t="s">
        <v>2429</v>
      </c>
      <c r="C742" s="137" t="s">
        <v>372</v>
      </c>
      <c r="D742" s="138">
        <v>16.38</v>
      </c>
      <c r="E742" s="138">
        <v>0.87</v>
      </c>
      <c r="G742" s="308" t="s">
        <v>373</v>
      </c>
      <c r="I742" s="138">
        <v>16.38</v>
      </c>
      <c r="J742" s="137" t="s">
        <v>2726</v>
      </c>
      <c r="K742" s="138">
        <f t="shared" si="21"/>
        <v>0</v>
      </c>
    </row>
    <row r="743" spans="1:11">
      <c r="A743" s="136">
        <v>42487</v>
      </c>
      <c r="B743" s="307" t="s">
        <v>2424</v>
      </c>
      <c r="C743" s="137" t="s">
        <v>2200</v>
      </c>
      <c r="D743" s="138">
        <v>1024.5</v>
      </c>
      <c r="E743" s="138">
        <v>63.51</v>
      </c>
      <c r="G743" s="308" t="s">
        <v>373</v>
      </c>
      <c r="I743" s="138">
        <v>1024.5</v>
      </c>
      <c r="J743" s="137" t="s">
        <v>2770</v>
      </c>
      <c r="K743" s="138">
        <f t="shared" si="21"/>
        <v>0</v>
      </c>
    </row>
    <row r="744" spans="1:11">
      <c r="A744" s="136">
        <v>42487</v>
      </c>
      <c r="B744" s="307" t="s">
        <v>2425</v>
      </c>
      <c r="C744" s="137" t="s">
        <v>2200</v>
      </c>
      <c r="D744" s="138">
        <v>233.93</v>
      </c>
      <c r="E744" s="138">
        <v>17.04</v>
      </c>
      <c r="G744" s="308" t="s">
        <v>373</v>
      </c>
      <c r="I744" s="138">
        <v>233.93</v>
      </c>
      <c r="J744" s="137" t="s">
        <v>2770</v>
      </c>
      <c r="K744" s="138">
        <f t="shared" si="21"/>
        <v>0</v>
      </c>
    </row>
    <row r="745" spans="1:11">
      <c r="A745" s="136">
        <v>42487</v>
      </c>
      <c r="B745" s="307" t="s">
        <v>2426</v>
      </c>
      <c r="C745" s="137" t="s">
        <v>2200</v>
      </c>
      <c r="D745" s="138">
        <v>18.579999999999998</v>
      </c>
      <c r="E745" s="138">
        <v>3.1</v>
      </c>
      <c r="G745" s="308" t="s">
        <v>373</v>
      </c>
      <c r="I745" s="138">
        <v>18.579999999999998</v>
      </c>
      <c r="J745" s="137" t="s">
        <v>2770</v>
      </c>
      <c r="K745" s="138">
        <f t="shared" si="21"/>
        <v>0</v>
      </c>
    </row>
    <row r="746" spans="1:11">
      <c r="A746" s="136">
        <v>42488</v>
      </c>
      <c r="B746" s="307" t="s">
        <v>2390</v>
      </c>
      <c r="C746" s="137" t="s">
        <v>372</v>
      </c>
      <c r="D746" s="138">
        <v>28.99</v>
      </c>
      <c r="E746" s="138">
        <v>1.51</v>
      </c>
      <c r="G746" s="308" t="s">
        <v>378</v>
      </c>
      <c r="I746" s="138">
        <v>28.99</v>
      </c>
      <c r="J746" s="137" t="s">
        <v>2725</v>
      </c>
      <c r="K746" s="138">
        <f t="shared" si="21"/>
        <v>0</v>
      </c>
    </row>
    <row r="747" spans="1:11">
      <c r="A747" s="136">
        <v>42488</v>
      </c>
      <c r="B747" s="307" t="s">
        <v>2428</v>
      </c>
      <c r="C747" s="137" t="s">
        <v>372</v>
      </c>
      <c r="D747" s="138">
        <v>16.68</v>
      </c>
      <c r="E747" s="138">
        <v>0.87</v>
      </c>
      <c r="G747" s="308" t="s">
        <v>373</v>
      </c>
      <c r="I747" s="138">
        <v>16.68</v>
      </c>
      <c r="J747" s="137" t="s">
        <v>2726</v>
      </c>
      <c r="K747" s="138">
        <f t="shared" si="21"/>
        <v>0</v>
      </c>
    </row>
    <row r="748" spans="1:11">
      <c r="A748" s="136">
        <v>42488</v>
      </c>
      <c r="B748" s="307" t="s">
        <v>2477</v>
      </c>
      <c r="C748" s="137" t="s">
        <v>187</v>
      </c>
      <c r="D748" s="138">
        <v>950.32</v>
      </c>
      <c r="E748" s="138">
        <v>53.17</v>
      </c>
      <c r="G748" s="308" t="s">
        <v>378</v>
      </c>
      <c r="K748" s="138">
        <f t="shared" si="21"/>
        <v>950.32</v>
      </c>
    </row>
    <row r="749" spans="1:11">
      <c r="A749" s="136">
        <v>42488</v>
      </c>
      <c r="B749" s="307" t="s">
        <v>2497</v>
      </c>
      <c r="C749" s="137" t="s">
        <v>1973</v>
      </c>
      <c r="D749" s="138">
        <v>200.45</v>
      </c>
      <c r="E749" s="138">
        <v>10.45</v>
      </c>
      <c r="G749" s="308" t="s">
        <v>378</v>
      </c>
      <c r="I749" s="138">
        <v>200.45</v>
      </c>
      <c r="J749" s="137" t="s">
        <v>2560</v>
      </c>
      <c r="K749" s="138">
        <f t="shared" si="21"/>
        <v>0</v>
      </c>
    </row>
    <row r="750" spans="1:11">
      <c r="A750" s="136">
        <v>42489</v>
      </c>
      <c r="B750" s="307" t="s">
        <v>2391</v>
      </c>
      <c r="C750" s="137" t="s">
        <v>2200</v>
      </c>
      <c r="D750" s="138">
        <v>839.75</v>
      </c>
      <c r="E750" s="138">
        <v>63.17</v>
      </c>
      <c r="G750" s="308" t="s">
        <v>378</v>
      </c>
      <c r="I750" s="138">
        <v>839.75</v>
      </c>
      <c r="J750" s="137" t="s">
        <v>2899</v>
      </c>
      <c r="K750" s="138">
        <f t="shared" si="21"/>
        <v>0</v>
      </c>
    </row>
    <row r="751" spans="1:11">
      <c r="A751" s="136">
        <v>42489</v>
      </c>
      <c r="B751" s="307" t="s">
        <v>2392</v>
      </c>
      <c r="C751" s="137" t="s">
        <v>2200</v>
      </c>
      <c r="D751" s="138">
        <v>68.14</v>
      </c>
      <c r="E751" s="138">
        <v>11.36</v>
      </c>
      <c r="G751" s="308" t="s">
        <v>378</v>
      </c>
      <c r="I751" s="138">
        <v>68.14</v>
      </c>
      <c r="J751" s="137" t="s">
        <v>2899</v>
      </c>
      <c r="K751" s="138">
        <f t="shared" si="21"/>
        <v>0</v>
      </c>
    </row>
    <row r="752" spans="1:11">
      <c r="A752" s="136">
        <v>42489</v>
      </c>
      <c r="B752" s="307" t="s">
        <v>2511</v>
      </c>
      <c r="C752" s="137" t="s">
        <v>187</v>
      </c>
      <c r="D752" s="138">
        <v>529.27</v>
      </c>
      <c r="E752" s="138">
        <v>35.619999999999997</v>
      </c>
      <c r="G752" s="308" t="s">
        <v>373</v>
      </c>
      <c r="I752" s="138">
        <v>529.27</v>
      </c>
      <c r="K752" s="138">
        <f t="shared" si="21"/>
        <v>0</v>
      </c>
    </row>
    <row r="753" spans="1:11" ht="15" customHeight="1">
      <c r="A753" s="136">
        <v>42489</v>
      </c>
      <c r="B753" s="307" t="s">
        <v>2575</v>
      </c>
      <c r="C753" s="137" t="s">
        <v>424</v>
      </c>
      <c r="D753" s="138">
        <v>338.52</v>
      </c>
      <c r="E753" s="138">
        <v>56.42</v>
      </c>
      <c r="G753" s="308" t="s">
        <v>373</v>
      </c>
      <c r="K753" s="138">
        <f t="shared" si="21"/>
        <v>338.52</v>
      </c>
    </row>
    <row r="754" spans="1:11" ht="15" customHeight="1">
      <c r="A754" s="136">
        <v>42490</v>
      </c>
      <c r="B754" s="307" t="s">
        <v>2491</v>
      </c>
      <c r="C754" s="137" t="s">
        <v>372</v>
      </c>
      <c r="D754" s="138">
        <v>217.14</v>
      </c>
      <c r="E754" s="138">
        <v>11.32</v>
      </c>
      <c r="G754" s="308" t="s">
        <v>378</v>
      </c>
      <c r="I754" s="138">
        <v>217.14</v>
      </c>
      <c r="J754" s="137" t="s">
        <v>2725</v>
      </c>
      <c r="K754" s="138">
        <f t="shared" si="21"/>
        <v>0</v>
      </c>
    </row>
    <row r="755" spans="1:11" ht="15" customHeight="1">
      <c r="A755" s="136">
        <v>42492</v>
      </c>
      <c r="B755" s="307" t="s">
        <v>2480</v>
      </c>
      <c r="C755" s="137" t="s">
        <v>372</v>
      </c>
      <c r="D755" s="138">
        <v>6.84</v>
      </c>
      <c r="E755" s="138">
        <v>0.36</v>
      </c>
      <c r="G755" s="308" t="s">
        <v>378</v>
      </c>
      <c r="I755" s="138">
        <v>6.84</v>
      </c>
      <c r="J755" s="137" t="s">
        <v>2868</v>
      </c>
      <c r="K755" s="138">
        <f t="shared" si="21"/>
        <v>0</v>
      </c>
    </row>
    <row r="756" spans="1:11" ht="15" customHeight="1">
      <c r="A756" s="136">
        <v>42492</v>
      </c>
      <c r="B756" s="307" t="s">
        <v>2482</v>
      </c>
      <c r="C756" s="137" t="s">
        <v>2252</v>
      </c>
      <c r="D756" s="138">
        <v>744.57</v>
      </c>
      <c r="E756" s="138">
        <v>55.46</v>
      </c>
      <c r="G756" s="308" t="s">
        <v>378</v>
      </c>
      <c r="K756" s="138">
        <f t="shared" si="21"/>
        <v>744.57</v>
      </c>
    </row>
    <row r="757" spans="1:11" ht="15" customHeight="1">
      <c r="A757" s="136">
        <v>42492</v>
      </c>
      <c r="B757" s="307" t="s">
        <v>2493</v>
      </c>
      <c r="C757" s="137" t="s">
        <v>372</v>
      </c>
      <c r="D757" s="138">
        <v>45.93</v>
      </c>
      <c r="E757" s="138">
        <v>2.39</v>
      </c>
      <c r="G757" s="308" t="s">
        <v>378</v>
      </c>
      <c r="I757" s="138">
        <v>45.93</v>
      </c>
      <c r="J757" s="137" t="s">
        <v>2868</v>
      </c>
      <c r="K757" s="138">
        <f t="shared" si="21"/>
        <v>0</v>
      </c>
    </row>
    <row r="758" spans="1:11" ht="15" customHeight="1">
      <c r="A758" s="136">
        <v>42492</v>
      </c>
      <c r="B758" s="307" t="s">
        <v>2495</v>
      </c>
      <c r="C758" s="137" t="s">
        <v>2200</v>
      </c>
      <c r="D758" s="138">
        <v>1027.95</v>
      </c>
      <c r="E758" s="138">
        <v>53.88</v>
      </c>
      <c r="G758" s="308" t="s">
        <v>378</v>
      </c>
      <c r="K758" s="138">
        <f t="shared" si="21"/>
        <v>1027.95</v>
      </c>
    </row>
    <row r="759" spans="1:11" ht="15" customHeight="1">
      <c r="A759" s="136">
        <v>42492</v>
      </c>
      <c r="B759" s="307" t="s">
        <v>2496</v>
      </c>
      <c r="C759" s="137" t="s">
        <v>2200</v>
      </c>
      <c r="D759" s="138">
        <v>11.79</v>
      </c>
      <c r="E759" s="138">
        <v>0.61</v>
      </c>
      <c r="G759" s="308" t="s">
        <v>378</v>
      </c>
      <c r="K759" s="138">
        <f t="shared" si="21"/>
        <v>11.79</v>
      </c>
    </row>
    <row r="760" spans="1:11" ht="15" customHeight="1">
      <c r="A760" s="136">
        <v>42492</v>
      </c>
      <c r="B760" s="307" t="s">
        <v>2523</v>
      </c>
      <c r="C760" s="137" t="s">
        <v>372</v>
      </c>
      <c r="D760" s="138">
        <v>21.29</v>
      </c>
      <c r="E760" s="138">
        <v>1.1100000000000001</v>
      </c>
      <c r="G760" s="308" t="s">
        <v>373</v>
      </c>
      <c r="I760" s="138">
        <v>21.29</v>
      </c>
      <c r="J760" s="137" t="s">
        <v>2869</v>
      </c>
      <c r="K760" s="138">
        <f t="shared" si="21"/>
        <v>0</v>
      </c>
    </row>
    <row r="761" spans="1:11">
      <c r="A761" s="136">
        <v>42493</v>
      </c>
      <c r="B761" s="307" t="s">
        <v>2478</v>
      </c>
      <c r="C761" s="137" t="s">
        <v>372</v>
      </c>
      <c r="D761" s="138">
        <v>77.8</v>
      </c>
      <c r="E761" s="138">
        <v>4.0599999999999996</v>
      </c>
      <c r="G761" s="308" t="s">
        <v>378</v>
      </c>
      <c r="I761" s="138">
        <v>77.8</v>
      </c>
      <c r="J761" s="137" t="s">
        <v>2868</v>
      </c>
      <c r="K761" s="138">
        <f t="shared" si="21"/>
        <v>0</v>
      </c>
    </row>
    <row r="762" spans="1:11" ht="15" customHeight="1">
      <c r="A762" s="136">
        <v>42493</v>
      </c>
      <c r="B762" s="307" t="s">
        <v>2479</v>
      </c>
      <c r="C762" s="137" t="s">
        <v>372</v>
      </c>
      <c r="D762" s="138">
        <v>39.159999999999997</v>
      </c>
      <c r="E762" s="138">
        <v>2.04</v>
      </c>
      <c r="G762" s="308" t="s">
        <v>378</v>
      </c>
      <c r="I762" s="138">
        <v>39.159999999999997</v>
      </c>
      <c r="J762" s="137" t="s">
        <v>2868</v>
      </c>
      <c r="K762" s="138">
        <f t="shared" si="21"/>
        <v>0</v>
      </c>
    </row>
    <row r="763" spans="1:11" ht="15" customHeight="1">
      <c r="A763" s="136">
        <v>42493</v>
      </c>
      <c r="B763" s="307" t="s">
        <v>2481</v>
      </c>
      <c r="C763" s="137" t="s">
        <v>2200</v>
      </c>
      <c r="D763" s="138">
        <v>1938.04</v>
      </c>
      <c r="E763" s="138">
        <v>114.71</v>
      </c>
      <c r="G763" s="308" t="s">
        <v>378</v>
      </c>
      <c r="K763" s="138">
        <f t="shared" si="21"/>
        <v>1938.04</v>
      </c>
    </row>
    <row r="764" spans="1:11" ht="15" customHeight="1">
      <c r="A764" s="136">
        <v>42494</v>
      </c>
      <c r="B764" s="307" t="s">
        <v>2516</v>
      </c>
      <c r="C764" s="137" t="s">
        <v>2200</v>
      </c>
      <c r="D764" s="138">
        <v>1226.58</v>
      </c>
      <c r="E764" s="138">
        <v>77.349999999999994</v>
      </c>
      <c r="G764" s="308" t="s">
        <v>373</v>
      </c>
      <c r="K764" s="138">
        <f t="shared" si="21"/>
        <v>1226.58</v>
      </c>
    </row>
    <row r="765" spans="1:11" ht="15" customHeight="1">
      <c r="A765" s="136">
        <v>42494</v>
      </c>
      <c r="B765" s="307" t="s">
        <v>2527</v>
      </c>
      <c r="C765" s="137" t="s">
        <v>372</v>
      </c>
      <c r="D765" s="138">
        <v>198.67</v>
      </c>
      <c r="E765" s="138">
        <v>10.36</v>
      </c>
      <c r="G765" s="308" t="s">
        <v>378</v>
      </c>
      <c r="I765" s="138">
        <v>198.67</v>
      </c>
      <c r="J765" s="137" t="s">
        <v>2868</v>
      </c>
      <c r="K765" s="138">
        <f t="shared" si="21"/>
        <v>0</v>
      </c>
    </row>
    <row r="766" spans="1:11" ht="15" customHeight="1">
      <c r="A766" s="136">
        <v>42494</v>
      </c>
      <c r="B766" s="307" t="s">
        <v>2558</v>
      </c>
      <c r="C766" s="137" t="s">
        <v>187</v>
      </c>
      <c r="D766" s="378">
        <v>963.67</v>
      </c>
      <c r="E766" s="378">
        <v>53.87</v>
      </c>
      <c r="F766" s="309"/>
      <c r="G766" s="308" t="s">
        <v>378</v>
      </c>
      <c r="I766" s="378"/>
      <c r="K766" s="138">
        <f t="shared" si="21"/>
        <v>963.67</v>
      </c>
    </row>
    <row r="767" spans="1:11" ht="15" customHeight="1">
      <c r="A767" s="136">
        <v>42495</v>
      </c>
      <c r="B767" s="307" t="s">
        <v>2529</v>
      </c>
      <c r="C767" s="137" t="s">
        <v>2252</v>
      </c>
      <c r="D767" s="138">
        <v>78.97</v>
      </c>
      <c r="E767" s="138">
        <v>4.12</v>
      </c>
      <c r="G767" s="308" t="s">
        <v>378</v>
      </c>
      <c r="K767" s="138">
        <f t="shared" si="21"/>
        <v>78.97</v>
      </c>
    </row>
    <row r="768" spans="1:11" ht="15" customHeight="1">
      <c r="A768" s="136">
        <v>42496</v>
      </c>
      <c r="B768" s="307" t="s">
        <v>2550</v>
      </c>
      <c r="C768" s="137" t="s">
        <v>2200</v>
      </c>
      <c r="D768" s="138">
        <v>269.38</v>
      </c>
      <c r="E768" s="138">
        <v>15.68</v>
      </c>
      <c r="G768" s="308" t="s">
        <v>378</v>
      </c>
      <c r="K768" s="138">
        <f t="shared" si="21"/>
        <v>269.38</v>
      </c>
    </row>
    <row r="769" spans="1:11" ht="15" customHeight="1">
      <c r="A769" s="136">
        <v>42496</v>
      </c>
      <c r="B769" s="307" t="s">
        <v>2574</v>
      </c>
      <c r="C769" s="137" t="s">
        <v>187</v>
      </c>
      <c r="D769" s="138">
        <v>558.46</v>
      </c>
      <c r="E769" s="138">
        <v>43.78</v>
      </c>
      <c r="G769" s="308" t="s">
        <v>373</v>
      </c>
      <c r="I769" s="138">
        <v>558.46</v>
      </c>
      <c r="K769" s="138">
        <f t="shared" si="21"/>
        <v>0</v>
      </c>
    </row>
    <row r="770" spans="1:11" ht="15" customHeight="1">
      <c r="A770" s="136">
        <v>42497</v>
      </c>
      <c r="B770" s="307" t="s">
        <v>2528</v>
      </c>
      <c r="C770" s="137" t="s">
        <v>372</v>
      </c>
      <c r="D770" s="138">
        <v>142.97</v>
      </c>
      <c r="E770" s="138">
        <v>7.45</v>
      </c>
      <c r="G770" s="308" t="s">
        <v>378</v>
      </c>
      <c r="I770" s="138">
        <v>142.97</v>
      </c>
      <c r="J770" s="137" t="s">
        <v>2868</v>
      </c>
      <c r="K770" s="138">
        <f t="shared" si="21"/>
        <v>0</v>
      </c>
    </row>
    <row r="771" spans="1:11" ht="15" customHeight="1">
      <c r="A771" s="136">
        <v>42499</v>
      </c>
      <c r="B771" s="307" t="s">
        <v>2517</v>
      </c>
      <c r="C771" s="137" t="s">
        <v>182</v>
      </c>
      <c r="D771" s="138">
        <v>516.29999999999995</v>
      </c>
      <c r="E771" s="138">
        <v>26.92</v>
      </c>
      <c r="G771" s="308" t="s">
        <v>378</v>
      </c>
      <c r="I771" s="138">
        <v>516.29999999999995</v>
      </c>
      <c r="J771" s="137" t="s">
        <v>2532</v>
      </c>
      <c r="K771" s="138">
        <f t="shared" si="21"/>
        <v>0</v>
      </c>
    </row>
    <row r="772" spans="1:11" ht="15" customHeight="1">
      <c r="A772" s="136">
        <v>42499</v>
      </c>
      <c r="B772" s="307" t="s">
        <v>2518</v>
      </c>
      <c r="C772" s="137" t="s">
        <v>2200</v>
      </c>
      <c r="D772" s="138">
        <v>50.96</v>
      </c>
      <c r="E772" s="138">
        <v>2.66</v>
      </c>
      <c r="G772" s="308" t="s">
        <v>378</v>
      </c>
      <c r="K772" s="138">
        <f t="shared" si="21"/>
        <v>50.96</v>
      </c>
    </row>
    <row r="773" spans="1:11" ht="15" customHeight="1">
      <c r="A773" s="136">
        <v>42499</v>
      </c>
      <c r="B773" s="307" t="s">
        <v>2524</v>
      </c>
      <c r="C773" s="137" t="s">
        <v>372</v>
      </c>
      <c r="D773" s="138">
        <v>163.34</v>
      </c>
      <c r="E773" s="138">
        <v>8.52</v>
      </c>
      <c r="G773" s="308" t="s">
        <v>378</v>
      </c>
      <c r="I773" s="138">
        <v>163.34</v>
      </c>
      <c r="J773" s="137" t="s">
        <v>2868</v>
      </c>
      <c r="K773" s="138">
        <f t="shared" si="21"/>
        <v>0</v>
      </c>
    </row>
    <row r="774" spans="1:11" ht="15" customHeight="1">
      <c r="A774" s="136">
        <v>42499</v>
      </c>
      <c r="B774" s="307" t="s">
        <v>2525</v>
      </c>
      <c r="C774" s="137" t="s">
        <v>372</v>
      </c>
      <c r="D774" s="138">
        <v>11.1</v>
      </c>
      <c r="E774" s="138">
        <v>0.57999999999999996</v>
      </c>
      <c r="G774" s="308" t="s">
        <v>373</v>
      </c>
      <c r="I774" s="138">
        <v>11.1</v>
      </c>
      <c r="J774" s="137" t="s">
        <v>2869</v>
      </c>
      <c r="K774" s="138">
        <f t="shared" si="21"/>
        <v>0</v>
      </c>
    </row>
    <row r="775" spans="1:11" ht="15" customHeight="1">
      <c r="A775" s="136">
        <v>42499</v>
      </c>
      <c r="B775" s="307" t="s">
        <v>2526</v>
      </c>
      <c r="C775" s="137" t="s">
        <v>2200</v>
      </c>
      <c r="D775" s="138">
        <v>64.73</v>
      </c>
      <c r="E775" s="138">
        <v>3.65</v>
      </c>
      <c r="G775" s="308" t="s">
        <v>373</v>
      </c>
      <c r="K775" s="138">
        <f t="shared" si="21"/>
        <v>64.73</v>
      </c>
    </row>
    <row r="776" spans="1:11" ht="15" customHeight="1">
      <c r="A776" s="136">
        <v>42499</v>
      </c>
      <c r="B776" s="307" t="s">
        <v>2531</v>
      </c>
      <c r="C776" s="137" t="s">
        <v>2200</v>
      </c>
      <c r="D776" s="138">
        <v>1756.05</v>
      </c>
      <c r="E776" s="138">
        <v>111.87</v>
      </c>
      <c r="G776" s="308" t="s">
        <v>378</v>
      </c>
      <c r="K776" s="138">
        <f t="shared" si="21"/>
        <v>1756.05</v>
      </c>
    </row>
    <row r="777" spans="1:11" ht="15" customHeight="1">
      <c r="A777" s="136">
        <v>42499</v>
      </c>
      <c r="B777" s="307" t="s">
        <v>2555</v>
      </c>
      <c r="C777" s="137" t="s">
        <v>182</v>
      </c>
      <c r="D777" s="138">
        <v>604.87</v>
      </c>
      <c r="E777" s="138">
        <v>31.53</v>
      </c>
      <c r="G777" s="308" t="s">
        <v>373</v>
      </c>
      <c r="I777" s="138">
        <v>604.87</v>
      </c>
      <c r="J777" s="137" t="s">
        <v>2730</v>
      </c>
      <c r="K777" s="138">
        <f t="shared" si="21"/>
        <v>0</v>
      </c>
    </row>
    <row r="778" spans="1:11" ht="15" customHeight="1">
      <c r="A778" s="136">
        <v>42500</v>
      </c>
      <c r="B778" s="307" t="s">
        <v>2512</v>
      </c>
      <c r="C778" s="137" t="s">
        <v>2200</v>
      </c>
      <c r="D778" s="138">
        <v>787.61</v>
      </c>
      <c r="E778" s="138">
        <v>49.15</v>
      </c>
      <c r="G778" s="308" t="s">
        <v>378</v>
      </c>
      <c r="K778" s="138">
        <f t="shared" si="21"/>
        <v>787.61</v>
      </c>
    </row>
    <row r="779" spans="1:11" ht="15" customHeight="1">
      <c r="A779" s="136">
        <v>42500</v>
      </c>
      <c r="B779" s="307" t="s">
        <v>2514</v>
      </c>
      <c r="C779" s="137" t="s">
        <v>2200</v>
      </c>
      <c r="D779" s="138">
        <v>15.89</v>
      </c>
      <c r="E779" s="138">
        <v>0.83</v>
      </c>
      <c r="G779" s="308" t="s">
        <v>378</v>
      </c>
      <c r="K779" s="138">
        <f t="shared" si="21"/>
        <v>15.89</v>
      </c>
    </row>
    <row r="780" spans="1:11" ht="15" customHeight="1">
      <c r="A780" s="136">
        <v>42500</v>
      </c>
      <c r="B780" s="307" t="s">
        <v>2515</v>
      </c>
      <c r="C780" s="137" t="s">
        <v>2200</v>
      </c>
      <c r="D780" s="138">
        <v>538.25</v>
      </c>
      <c r="E780" s="138">
        <v>28.06</v>
      </c>
      <c r="G780" s="308" t="s">
        <v>378</v>
      </c>
      <c r="K780" s="138">
        <f t="shared" si="21"/>
        <v>538.25</v>
      </c>
    </row>
    <row r="781" spans="1:11" ht="15" customHeight="1">
      <c r="A781" s="136">
        <v>42500</v>
      </c>
      <c r="B781" s="307" t="s">
        <v>2519</v>
      </c>
      <c r="C781" s="137" t="s">
        <v>372</v>
      </c>
      <c r="D781" s="138">
        <v>148.47999999999999</v>
      </c>
      <c r="E781" s="138">
        <v>7.74</v>
      </c>
      <c r="G781" s="308" t="s">
        <v>378</v>
      </c>
      <c r="I781" s="138">
        <v>148.47999999999999</v>
      </c>
      <c r="J781" s="137" t="s">
        <v>2868</v>
      </c>
      <c r="K781" s="138">
        <f t="shared" si="21"/>
        <v>0</v>
      </c>
    </row>
    <row r="782" spans="1:11" ht="15" customHeight="1">
      <c r="A782" s="136">
        <v>42500</v>
      </c>
      <c r="B782" s="307" t="s">
        <v>2547</v>
      </c>
      <c r="C782" s="137" t="s">
        <v>2200</v>
      </c>
      <c r="D782" s="138">
        <v>35.630000000000003</v>
      </c>
      <c r="E782" s="138">
        <v>5.94</v>
      </c>
      <c r="G782" s="308" t="s">
        <v>373</v>
      </c>
      <c r="K782" s="138">
        <f t="shared" si="21"/>
        <v>35.630000000000003</v>
      </c>
    </row>
    <row r="783" spans="1:11" ht="15" customHeight="1">
      <c r="A783" s="136">
        <v>42500</v>
      </c>
      <c r="B783" s="307" t="s">
        <v>2548</v>
      </c>
      <c r="C783" s="137" t="s">
        <v>2200</v>
      </c>
      <c r="D783" s="138">
        <v>45.96</v>
      </c>
      <c r="E783" s="138">
        <v>2.67</v>
      </c>
      <c r="G783" s="308" t="s">
        <v>373</v>
      </c>
      <c r="K783" s="138">
        <f t="shared" si="21"/>
        <v>45.96</v>
      </c>
    </row>
    <row r="784" spans="1:11" ht="15" customHeight="1">
      <c r="A784" s="136">
        <v>42500</v>
      </c>
      <c r="B784" s="307" t="s">
        <v>2549</v>
      </c>
      <c r="C784" s="137" t="s">
        <v>2200</v>
      </c>
      <c r="D784" s="138">
        <v>122.57</v>
      </c>
      <c r="E784" s="138">
        <v>6.39</v>
      </c>
      <c r="G784" s="308" t="s">
        <v>373</v>
      </c>
      <c r="K784" s="138">
        <f t="shared" si="21"/>
        <v>122.57</v>
      </c>
    </row>
    <row r="785" spans="1:11" ht="15" customHeight="1">
      <c r="A785" s="136">
        <v>42500</v>
      </c>
      <c r="B785" s="307" t="s">
        <v>2552</v>
      </c>
      <c r="C785" s="137" t="s">
        <v>372</v>
      </c>
      <c r="D785" s="138">
        <v>6.48</v>
      </c>
      <c r="E785" s="138">
        <v>0.34</v>
      </c>
      <c r="G785" s="308" t="s">
        <v>373</v>
      </c>
      <c r="I785" s="138">
        <v>6.48</v>
      </c>
      <c r="J785" s="137" t="s">
        <v>2869</v>
      </c>
      <c r="K785" s="138">
        <f t="shared" si="21"/>
        <v>0</v>
      </c>
    </row>
    <row r="786" spans="1:11" ht="15" customHeight="1">
      <c r="A786" s="136">
        <v>42500</v>
      </c>
      <c r="B786" s="307" t="s">
        <v>2580</v>
      </c>
      <c r="C786" s="137" t="s">
        <v>852</v>
      </c>
      <c r="D786" s="138">
        <v>346.88</v>
      </c>
      <c r="E786" s="138">
        <v>18.079999999999998</v>
      </c>
      <c r="G786" s="308" t="s">
        <v>378</v>
      </c>
      <c r="I786" s="138">
        <v>346.88</v>
      </c>
      <c r="J786" s="137" t="s">
        <v>2872</v>
      </c>
      <c r="K786" s="138">
        <f t="shared" si="21"/>
        <v>0</v>
      </c>
    </row>
    <row r="787" spans="1:11" ht="15" customHeight="1">
      <c r="A787" s="136">
        <v>42501</v>
      </c>
      <c r="B787" s="307" t="s">
        <v>2536</v>
      </c>
      <c r="C787" s="137" t="s">
        <v>2200</v>
      </c>
      <c r="D787" s="138">
        <v>493.82</v>
      </c>
      <c r="E787" s="138">
        <v>27.18</v>
      </c>
      <c r="G787" s="308" t="s">
        <v>378</v>
      </c>
      <c r="K787" s="138">
        <f t="shared" si="21"/>
        <v>493.82</v>
      </c>
    </row>
    <row r="788" spans="1:11" ht="15" customHeight="1">
      <c r="A788" s="136">
        <v>42501</v>
      </c>
      <c r="B788" s="307" t="s">
        <v>2546</v>
      </c>
      <c r="C788" s="137" t="s">
        <v>2200</v>
      </c>
      <c r="D788" s="138">
        <v>1074</v>
      </c>
      <c r="E788" s="138">
        <v>69.41</v>
      </c>
      <c r="G788" s="308" t="s">
        <v>373</v>
      </c>
      <c r="K788" s="138">
        <f t="shared" si="21"/>
        <v>1074</v>
      </c>
    </row>
    <row r="789" spans="1:11" ht="15" customHeight="1">
      <c r="A789" s="136">
        <v>42501</v>
      </c>
      <c r="B789" s="307" t="s">
        <v>2551</v>
      </c>
      <c r="C789" s="137" t="s">
        <v>372</v>
      </c>
      <c r="D789" s="138">
        <v>7.36</v>
      </c>
      <c r="E789" s="138">
        <v>0.38</v>
      </c>
      <c r="G789" s="308" t="s">
        <v>373</v>
      </c>
      <c r="I789" s="138">
        <v>7.36</v>
      </c>
      <c r="J789" s="137" t="s">
        <v>2869</v>
      </c>
      <c r="K789" s="138">
        <f t="shared" si="21"/>
        <v>0</v>
      </c>
    </row>
    <row r="790" spans="1:11" ht="15" customHeight="1">
      <c r="A790" s="136">
        <v>42502</v>
      </c>
      <c r="B790" s="307" t="s">
        <v>2537</v>
      </c>
      <c r="C790" s="137" t="s">
        <v>372</v>
      </c>
      <c r="D790" s="138">
        <v>56.51</v>
      </c>
      <c r="E790" s="138">
        <v>2.95</v>
      </c>
      <c r="G790" s="308" t="s">
        <v>378</v>
      </c>
      <c r="I790" s="138">
        <v>56.51</v>
      </c>
      <c r="J790" s="137" t="s">
        <v>2868</v>
      </c>
      <c r="K790" s="138">
        <f t="shared" si="21"/>
        <v>0</v>
      </c>
    </row>
    <row r="791" spans="1:11" ht="15" customHeight="1">
      <c r="A791" s="136">
        <v>42502</v>
      </c>
      <c r="B791" s="307" t="s">
        <v>2538</v>
      </c>
      <c r="C791" s="137" t="s">
        <v>2200</v>
      </c>
      <c r="D791" s="138">
        <v>619.21</v>
      </c>
      <c r="E791" s="138">
        <v>103.2</v>
      </c>
      <c r="G791" s="308" t="s">
        <v>378</v>
      </c>
      <c r="K791" s="138">
        <f t="shared" si="21"/>
        <v>619.21</v>
      </c>
    </row>
    <row r="792" spans="1:11" ht="15" customHeight="1">
      <c r="A792" s="136">
        <v>42502</v>
      </c>
      <c r="B792" s="307" t="s">
        <v>2539</v>
      </c>
      <c r="C792" s="137" t="s">
        <v>2200</v>
      </c>
      <c r="D792" s="138">
        <v>14.18</v>
      </c>
      <c r="E792" s="138">
        <v>1.01</v>
      </c>
      <c r="G792" s="308" t="s">
        <v>378</v>
      </c>
      <c r="K792" s="138">
        <f t="shared" si="21"/>
        <v>14.18</v>
      </c>
    </row>
    <row r="793" spans="1:11" ht="15" customHeight="1">
      <c r="A793" s="136">
        <v>42502</v>
      </c>
      <c r="B793" s="307" t="s">
        <v>2540</v>
      </c>
      <c r="C793" s="137" t="s">
        <v>2200</v>
      </c>
      <c r="D793" s="138">
        <v>26.83</v>
      </c>
      <c r="E793" s="138">
        <v>4.47</v>
      </c>
      <c r="G793" s="308" t="s">
        <v>378</v>
      </c>
      <c r="K793" s="138">
        <f t="shared" si="21"/>
        <v>26.83</v>
      </c>
    </row>
    <row r="794" spans="1:11" ht="15" customHeight="1">
      <c r="A794" s="136">
        <v>42502</v>
      </c>
      <c r="B794" s="307" t="s">
        <v>2541</v>
      </c>
      <c r="C794" s="137" t="s">
        <v>2200</v>
      </c>
      <c r="D794" s="138">
        <v>10.01</v>
      </c>
      <c r="E794" s="138">
        <v>1.67</v>
      </c>
      <c r="G794" s="308" t="s">
        <v>378</v>
      </c>
      <c r="K794" s="138">
        <f t="shared" si="21"/>
        <v>10.01</v>
      </c>
    </row>
    <row r="795" spans="1:11" ht="15" customHeight="1">
      <c r="A795" s="136">
        <v>42502</v>
      </c>
      <c r="B795" s="307" t="s">
        <v>2542</v>
      </c>
      <c r="C795" s="137" t="s">
        <v>2200</v>
      </c>
      <c r="D795" s="138">
        <v>43.56</v>
      </c>
      <c r="E795" s="138">
        <v>7.26</v>
      </c>
      <c r="G795" s="308" t="s">
        <v>378</v>
      </c>
      <c r="K795" s="138">
        <f t="shared" si="21"/>
        <v>43.56</v>
      </c>
    </row>
    <row r="796" spans="1:11" ht="15" customHeight="1">
      <c r="A796" s="136">
        <v>42502</v>
      </c>
      <c r="B796" s="307" t="s">
        <v>2553</v>
      </c>
      <c r="C796" s="137" t="s">
        <v>372</v>
      </c>
      <c r="D796" s="138">
        <v>3.21</v>
      </c>
      <c r="E796" s="138">
        <v>0.17</v>
      </c>
      <c r="G796" s="308" t="s">
        <v>373</v>
      </c>
      <c r="I796" s="138">
        <v>3.21</v>
      </c>
      <c r="J796" s="137" t="s">
        <v>2869</v>
      </c>
      <c r="K796" s="138">
        <f t="shared" si="21"/>
        <v>0</v>
      </c>
    </row>
    <row r="797" spans="1:11" ht="15" customHeight="1">
      <c r="A797" s="136">
        <v>42502</v>
      </c>
      <c r="B797" s="307" t="s">
        <v>2554</v>
      </c>
      <c r="C797" s="137" t="s">
        <v>372</v>
      </c>
      <c r="D797" s="138">
        <v>8.86</v>
      </c>
      <c r="E797" s="138">
        <v>0.46</v>
      </c>
      <c r="G797" s="308" t="s">
        <v>373</v>
      </c>
      <c r="I797" s="138">
        <v>8.86</v>
      </c>
      <c r="J797" s="137" t="s">
        <v>2869</v>
      </c>
      <c r="K797" s="138">
        <f t="shared" ref="K797:K860" si="22">IF(D797&lt;&gt;"",D797-I797,"")</f>
        <v>0</v>
      </c>
    </row>
    <row r="798" spans="1:11" ht="15" customHeight="1">
      <c r="A798" s="136">
        <v>42502</v>
      </c>
      <c r="B798" s="307" t="s">
        <v>2668</v>
      </c>
      <c r="C798" s="137" t="s">
        <v>187</v>
      </c>
      <c r="D798" s="138">
        <v>816.89</v>
      </c>
      <c r="E798" s="138">
        <v>42.59</v>
      </c>
      <c r="G798" s="308" t="s">
        <v>378</v>
      </c>
      <c r="I798" s="138">
        <v>816.89</v>
      </c>
      <c r="K798" s="138">
        <f t="shared" si="22"/>
        <v>0</v>
      </c>
    </row>
    <row r="799" spans="1:11" ht="15" customHeight="1">
      <c r="A799" s="136">
        <v>42503</v>
      </c>
      <c r="B799" s="307" t="s">
        <v>2543</v>
      </c>
      <c r="C799" s="137" t="s">
        <v>2200</v>
      </c>
      <c r="D799" s="138">
        <v>1050.0899999999999</v>
      </c>
      <c r="E799" s="138">
        <v>75.180000000000007</v>
      </c>
      <c r="G799" s="308" t="s">
        <v>378</v>
      </c>
      <c r="K799" s="138">
        <f t="shared" si="22"/>
        <v>1050.0899999999999</v>
      </c>
    </row>
    <row r="800" spans="1:11" ht="15" customHeight="1">
      <c r="A800" s="136">
        <v>42503</v>
      </c>
      <c r="B800" s="307" t="s">
        <v>2544</v>
      </c>
      <c r="C800" s="137" t="s">
        <v>2200</v>
      </c>
      <c r="D800" s="138">
        <v>77.7</v>
      </c>
      <c r="E800" s="138">
        <v>12.95</v>
      </c>
      <c r="G800" s="308" t="s">
        <v>378</v>
      </c>
      <c r="K800" s="138">
        <f t="shared" si="22"/>
        <v>77.7</v>
      </c>
    </row>
    <row r="801" spans="1:11" ht="15" customHeight="1">
      <c r="A801" s="136">
        <v>42503</v>
      </c>
      <c r="B801" s="307" t="s">
        <v>2545</v>
      </c>
      <c r="C801" s="137" t="s">
        <v>2200</v>
      </c>
      <c r="D801" s="138">
        <v>13.98</v>
      </c>
      <c r="E801" s="138">
        <v>0.73</v>
      </c>
      <c r="G801" s="308" t="s">
        <v>378</v>
      </c>
      <c r="K801" s="138">
        <f t="shared" si="22"/>
        <v>13.98</v>
      </c>
    </row>
    <row r="802" spans="1:11" ht="15" customHeight="1">
      <c r="A802" s="136">
        <v>42503</v>
      </c>
      <c r="B802" s="307" t="s">
        <v>2557</v>
      </c>
      <c r="C802" s="137" t="s">
        <v>372</v>
      </c>
      <c r="D802" s="138">
        <v>82.29</v>
      </c>
      <c r="E802" s="138">
        <v>4.29</v>
      </c>
      <c r="G802" s="308" t="s">
        <v>378</v>
      </c>
      <c r="I802" s="138">
        <v>82.29</v>
      </c>
      <c r="J802" s="137" t="s">
        <v>2868</v>
      </c>
      <c r="K802" s="138">
        <f t="shared" si="22"/>
        <v>0</v>
      </c>
    </row>
    <row r="803" spans="1:11" ht="15" customHeight="1">
      <c r="A803" s="136">
        <v>42503</v>
      </c>
      <c r="B803" s="307" t="s">
        <v>2663</v>
      </c>
      <c r="C803" s="137" t="s">
        <v>187</v>
      </c>
      <c r="D803" s="138">
        <v>583.17999999999995</v>
      </c>
      <c r="E803" s="138">
        <v>34.03</v>
      </c>
      <c r="G803" s="308" t="s">
        <v>373</v>
      </c>
      <c r="K803" s="138">
        <f t="shared" si="22"/>
        <v>583.17999999999995</v>
      </c>
    </row>
    <row r="804" spans="1:11" ht="15" customHeight="1">
      <c r="A804" s="136">
        <v>42504</v>
      </c>
      <c r="B804" s="307" t="s">
        <v>2579</v>
      </c>
      <c r="C804" s="137" t="s">
        <v>372</v>
      </c>
      <c r="D804" s="138">
        <v>309.02</v>
      </c>
      <c r="E804" s="138">
        <v>16.11</v>
      </c>
      <c r="G804" s="308" t="s">
        <v>378</v>
      </c>
      <c r="I804" s="138">
        <v>309.02</v>
      </c>
      <c r="J804" s="137" t="s">
        <v>2868</v>
      </c>
      <c r="K804" s="138">
        <f t="shared" si="22"/>
        <v>0</v>
      </c>
    </row>
    <row r="805" spans="1:11" ht="15" customHeight="1">
      <c r="A805" s="136">
        <v>42507</v>
      </c>
      <c r="B805" s="307" t="s">
        <v>2576</v>
      </c>
      <c r="C805" s="137" t="s">
        <v>2252</v>
      </c>
      <c r="D805" s="138">
        <v>624.48</v>
      </c>
      <c r="E805" s="138">
        <v>47.25</v>
      </c>
      <c r="G805" s="308" t="s">
        <v>378</v>
      </c>
      <c r="K805" s="138">
        <f t="shared" si="22"/>
        <v>624.48</v>
      </c>
    </row>
    <row r="806" spans="1:11">
      <c r="A806" s="136">
        <v>42507</v>
      </c>
      <c r="B806" s="307" t="s">
        <v>2564</v>
      </c>
      <c r="C806" s="137" t="s">
        <v>1973</v>
      </c>
      <c r="D806" s="138">
        <v>240.54</v>
      </c>
      <c r="E806" s="138">
        <v>12.54</v>
      </c>
      <c r="G806" s="308" t="s">
        <v>378</v>
      </c>
      <c r="I806" s="138">
        <v>240.54</v>
      </c>
      <c r="J806" s="137" t="s">
        <v>2708</v>
      </c>
      <c r="K806" s="138">
        <f t="shared" si="22"/>
        <v>0</v>
      </c>
    </row>
    <row r="807" spans="1:11" ht="15" customHeight="1">
      <c r="A807" s="136">
        <v>42507</v>
      </c>
      <c r="B807" s="307" t="s">
        <v>2572</v>
      </c>
      <c r="C807" s="137" t="s">
        <v>372</v>
      </c>
      <c r="D807" s="138">
        <v>14.58</v>
      </c>
      <c r="E807" s="138">
        <v>0.76</v>
      </c>
      <c r="G807" s="308" t="s">
        <v>373</v>
      </c>
      <c r="I807" s="138">
        <v>14.58</v>
      </c>
      <c r="J807" s="137" t="s">
        <v>2869</v>
      </c>
      <c r="K807" s="138">
        <f t="shared" si="22"/>
        <v>0</v>
      </c>
    </row>
    <row r="808" spans="1:11" ht="15" customHeight="1">
      <c r="A808" s="136">
        <v>42508</v>
      </c>
      <c r="B808" s="307" t="s">
        <v>2577</v>
      </c>
      <c r="C808" s="137" t="s">
        <v>2200</v>
      </c>
      <c r="D808" s="138">
        <v>2205.42</v>
      </c>
      <c r="E808" s="138">
        <v>133.03</v>
      </c>
      <c r="G808" s="308" t="s">
        <v>378</v>
      </c>
      <c r="K808" s="138">
        <f t="shared" si="22"/>
        <v>2205.42</v>
      </c>
    </row>
    <row r="809" spans="1:11" ht="15" customHeight="1">
      <c r="A809" s="136">
        <v>42508</v>
      </c>
      <c r="B809" s="307" t="s">
        <v>2583</v>
      </c>
      <c r="C809" s="137" t="s">
        <v>2200</v>
      </c>
      <c r="D809" s="138">
        <v>1262.8499999999999</v>
      </c>
      <c r="E809" s="138">
        <v>94.05</v>
      </c>
      <c r="G809" s="308" t="s">
        <v>373</v>
      </c>
      <c r="K809" s="138">
        <f t="shared" si="22"/>
        <v>1262.8499999999999</v>
      </c>
    </row>
    <row r="810" spans="1:11" ht="15" customHeight="1">
      <c r="A810" s="136">
        <v>42508</v>
      </c>
      <c r="B810" s="307" t="s">
        <v>2584</v>
      </c>
      <c r="C810" s="137" t="s">
        <v>372</v>
      </c>
      <c r="D810" s="138">
        <v>6.92</v>
      </c>
      <c r="E810" s="138">
        <v>0.36</v>
      </c>
      <c r="G810" s="308" t="s">
        <v>373</v>
      </c>
      <c r="I810" s="138">
        <v>6.92</v>
      </c>
      <c r="J810" s="137" t="s">
        <v>2869</v>
      </c>
      <c r="K810" s="138">
        <f t="shared" si="22"/>
        <v>0</v>
      </c>
    </row>
    <row r="811" spans="1:11" ht="15" customHeight="1">
      <c r="A811" s="136">
        <v>42509</v>
      </c>
      <c r="B811" s="307" t="s">
        <v>2566</v>
      </c>
      <c r="C811" s="137" t="s">
        <v>372</v>
      </c>
      <c r="D811" s="138">
        <v>118.57</v>
      </c>
      <c r="E811" s="138">
        <v>6.18</v>
      </c>
      <c r="G811" s="308" t="s">
        <v>378</v>
      </c>
      <c r="I811" s="138">
        <v>118.57</v>
      </c>
      <c r="J811" s="137" t="s">
        <v>2868</v>
      </c>
      <c r="K811" s="138">
        <f t="shared" si="22"/>
        <v>0</v>
      </c>
    </row>
    <row r="812" spans="1:11" ht="15" customHeight="1">
      <c r="A812" s="136">
        <v>42509</v>
      </c>
      <c r="B812" s="307" t="s">
        <v>2569</v>
      </c>
      <c r="C812" s="137" t="s">
        <v>372</v>
      </c>
      <c r="D812" s="138">
        <v>6.63</v>
      </c>
      <c r="E812" s="138">
        <v>0.35</v>
      </c>
      <c r="G812" s="308" t="s">
        <v>373</v>
      </c>
      <c r="I812" s="138">
        <v>6.63</v>
      </c>
      <c r="J812" s="137" t="s">
        <v>2869</v>
      </c>
      <c r="K812" s="138">
        <f t="shared" si="22"/>
        <v>0</v>
      </c>
    </row>
    <row r="813" spans="1:11" ht="15" customHeight="1">
      <c r="A813" s="136">
        <v>42509</v>
      </c>
      <c r="B813" s="307" t="s">
        <v>2570</v>
      </c>
      <c r="C813" s="137" t="s">
        <v>2200</v>
      </c>
      <c r="D813" s="138">
        <v>21.65</v>
      </c>
      <c r="E813" s="138">
        <v>3.61</v>
      </c>
      <c r="G813" s="308" t="s">
        <v>373</v>
      </c>
      <c r="K813" s="138">
        <f t="shared" si="22"/>
        <v>21.65</v>
      </c>
    </row>
    <row r="814" spans="1:11" ht="15" customHeight="1">
      <c r="A814" s="136">
        <v>42509</v>
      </c>
      <c r="B814" s="307" t="s">
        <v>2571</v>
      </c>
      <c r="C814" s="137" t="s">
        <v>2200</v>
      </c>
      <c r="D814" s="138">
        <v>20.149999999999999</v>
      </c>
      <c r="E814" s="138">
        <v>3.36</v>
      </c>
      <c r="G814" s="308" t="s">
        <v>373</v>
      </c>
      <c r="K814" s="138">
        <f t="shared" si="22"/>
        <v>20.149999999999999</v>
      </c>
    </row>
    <row r="815" spans="1:11" ht="15" customHeight="1">
      <c r="A815" s="136">
        <v>42509</v>
      </c>
      <c r="B815" s="307" t="s">
        <v>2578</v>
      </c>
      <c r="C815" s="137" t="s">
        <v>2200</v>
      </c>
      <c r="D815" s="138">
        <v>21.65</v>
      </c>
      <c r="E815" s="138">
        <v>3.61</v>
      </c>
      <c r="G815" s="308" t="s">
        <v>378</v>
      </c>
      <c r="K815" s="138">
        <f t="shared" si="22"/>
        <v>21.65</v>
      </c>
    </row>
    <row r="816" spans="1:11" ht="15" customHeight="1">
      <c r="A816" s="136">
        <v>42509</v>
      </c>
      <c r="B816" s="307" t="s">
        <v>2595</v>
      </c>
      <c r="C816" s="137" t="s">
        <v>187</v>
      </c>
      <c r="D816" s="138">
        <v>786.85</v>
      </c>
      <c r="E816" s="138">
        <v>44.65</v>
      </c>
      <c r="G816" s="308" t="s">
        <v>378</v>
      </c>
      <c r="I816" s="138">
        <v>786.85</v>
      </c>
      <c r="K816" s="138">
        <f t="shared" si="22"/>
        <v>0</v>
      </c>
    </row>
    <row r="817" spans="1:11" ht="15" customHeight="1">
      <c r="A817" s="136">
        <v>42510</v>
      </c>
      <c r="B817" s="307" t="s">
        <v>2567</v>
      </c>
      <c r="C817" s="137" t="s">
        <v>2200</v>
      </c>
      <c r="D817" s="138">
        <v>1915.68</v>
      </c>
      <c r="E817" s="138">
        <v>99.83</v>
      </c>
      <c r="G817" s="308" t="s">
        <v>378</v>
      </c>
      <c r="K817" s="138">
        <f t="shared" si="22"/>
        <v>1915.68</v>
      </c>
    </row>
    <row r="818" spans="1:11" ht="15" customHeight="1">
      <c r="A818" s="136">
        <v>42510</v>
      </c>
      <c r="B818" s="307" t="s">
        <v>2568</v>
      </c>
      <c r="C818" s="137" t="s">
        <v>2200</v>
      </c>
      <c r="D818" s="138">
        <v>32.15</v>
      </c>
      <c r="E818" s="138">
        <v>5.36</v>
      </c>
      <c r="G818" s="308" t="s">
        <v>378</v>
      </c>
      <c r="K818" s="138">
        <f t="shared" si="22"/>
        <v>32.15</v>
      </c>
    </row>
    <row r="819" spans="1:11" ht="15" customHeight="1">
      <c r="A819" s="136">
        <v>42510</v>
      </c>
      <c r="B819" s="307" t="s">
        <v>2573</v>
      </c>
      <c r="C819" s="137" t="s">
        <v>372</v>
      </c>
      <c r="D819" s="138">
        <v>6.73</v>
      </c>
      <c r="E819" s="138">
        <v>0.35</v>
      </c>
      <c r="G819" s="308" t="s">
        <v>373</v>
      </c>
      <c r="I819" s="138">
        <v>6.73</v>
      </c>
      <c r="J819" s="137" t="s">
        <v>2869</v>
      </c>
      <c r="K819" s="138">
        <f t="shared" si="22"/>
        <v>0</v>
      </c>
    </row>
    <row r="820" spans="1:11" ht="15" customHeight="1">
      <c r="A820" s="136">
        <v>42510</v>
      </c>
      <c r="B820" s="307" t="s">
        <v>2664</v>
      </c>
      <c r="C820" s="137" t="s">
        <v>187</v>
      </c>
      <c r="D820" s="138">
        <v>564.58000000000004</v>
      </c>
      <c r="E820" s="138">
        <v>33.83</v>
      </c>
      <c r="G820" s="308" t="s">
        <v>373</v>
      </c>
      <c r="K820" s="138">
        <f t="shared" si="22"/>
        <v>564.58000000000004</v>
      </c>
    </row>
    <row r="821" spans="1:11" ht="15" customHeight="1">
      <c r="A821" s="136">
        <v>42511</v>
      </c>
      <c r="B821" s="307" t="s">
        <v>2587</v>
      </c>
      <c r="C821" s="137" t="s">
        <v>372</v>
      </c>
      <c r="D821" s="138">
        <v>354.74</v>
      </c>
      <c r="E821" s="138">
        <v>18.489999999999998</v>
      </c>
      <c r="G821" s="308" t="s">
        <v>378</v>
      </c>
      <c r="I821" s="138">
        <v>354.74</v>
      </c>
      <c r="J821" s="137" t="s">
        <v>2868</v>
      </c>
      <c r="K821" s="138">
        <f t="shared" si="22"/>
        <v>0</v>
      </c>
    </row>
    <row r="822" spans="1:11" ht="15" customHeight="1">
      <c r="A822" s="136">
        <v>42513</v>
      </c>
      <c r="B822" s="307" t="s">
        <v>2592</v>
      </c>
      <c r="C822" s="137" t="s">
        <v>2252</v>
      </c>
      <c r="D822" s="138">
        <v>454.39</v>
      </c>
      <c r="E822" s="138">
        <v>23.69</v>
      </c>
      <c r="G822" s="308" t="s">
        <v>378</v>
      </c>
      <c r="K822" s="138">
        <f t="shared" si="22"/>
        <v>454.39</v>
      </c>
    </row>
    <row r="823" spans="1:11" ht="15" customHeight="1">
      <c r="A823" s="136">
        <v>42513</v>
      </c>
      <c r="B823" s="307" t="s">
        <v>2585</v>
      </c>
      <c r="C823" s="137" t="s">
        <v>2200</v>
      </c>
      <c r="D823" s="138">
        <v>10.15</v>
      </c>
      <c r="E823" s="138">
        <v>0.53</v>
      </c>
      <c r="G823" s="308" t="s">
        <v>373</v>
      </c>
      <c r="K823" s="138">
        <f t="shared" si="22"/>
        <v>10.15</v>
      </c>
    </row>
    <row r="824" spans="1:11" ht="15" customHeight="1">
      <c r="A824" s="136">
        <v>42513</v>
      </c>
      <c r="B824" s="307" t="s">
        <v>2586</v>
      </c>
      <c r="C824" s="137" t="s">
        <v>2200</v>
      </c>
      <c r="D824" s="138">
        <v>78.02</v>
      </c>
      <c r="E824" s="138">
        <v>4.33</v>
      </c>
      <c r="G824" s="308" t="s">
        <v>373</v>
      </c>
      <c r="K824" s="138">
        <f t="shared" si="22"/>
        <v>78.02</v>
      </c>
    </row>
    <row r="825" spans="1:11" ht="15" customHeight="1">
      <c r="A825" s="136">
        <v>42513</v>
      </c>
      <c r="B825" s="307" t="s">
        <v>2588</v>
      </c>
      <c r="C825" s="137" t="s">
        <v>372</v>
      </c>
      <c r="D825" s="138">
        <v>135.6</v>
      </c>
      <c r="E825" s="138">
        <v>7.07</v>
      </c>
      <c r="G825" s="308" t="s">
        <v>378</v>
      </c>
      <c r="I825" s="138">
        <v>135.6</v>
      </c>
      <c r="J825" s="137" t="s">
        <v>2868</v>
      </c>
      <c r="K825" s="138">
        <f t="shared" si="22"/>
        <v>0</v>
      </c>
    </row>
    <row r="826" spans="1:11" ht="15" customHeight="1">
      <c r="A826" s="136">
        <v>42513</v>
      </c>
      <c r="B826" s="307" t="s">
        <v>2589</v>
      </c>
      <c r="C826" s="137" t="s">
        <v>2200</v>
      </c>
      <c r="D826" s="138">
        <v>14.18</v>
      </c>
      <c r="E826" s="138">
        <v>1.01</v>
      </c>
      <c r="G826" s="308" t="s">
        <v>378</v>
      </c>
      <c r="K826" s="138">
        <f t="shared" si="22"/>
        <v>14.18</v>
      </c>
    </row>
    <row r="827" spans="1:11" ht="15" customHeight="1">
      <c r="A827" s="136">
        <v>42513</v>
      </c>
      <c r="B827" s="307" t="s">
        <v>2590</v>
      </c>
      <c r="C827" s="137" t="s">
        <v>2200</v>
      </c>
      <c r="D827" s="138">
        <v>328.37</v>
      </c>
      <c r="E827" s="138">
        <v>26.51</v>
      </c>
      <c r="G827" s="308" t="s">
        <v>378</v>
      </c>
      <c r="K827" s="138">
        <f t="shared" si="22"/>
        <v>328.37</v>
      </c>
    </row>
    <row r="828" spans="1:11" ht="15" customHeight="1">
      <c r="A828" s="136">
        <v>42514</v>
      </c>
      <c r="B828" s="307" t="s">
        <v>2591</v>
      </c>
      <c r="C828" s="137" t="s">
        <v>2200</v>
      </c>
      <c r="D828" s="138">
        <v>1296.5899999999999</v>
      </c>
      <c r="E828" s="138">
        <v>98.67</v>
      </c>
      <c r="G828" s="308" t="s">
        <v>378</v>
      </c>
      <c r="K828" s="138">
        <f t="shared" si="22"/>
        <v>1296.5899999999999</v>
      </c>
    </row>
    <row r="829" spans="1:11" ht="15" customHeight="1">
      <c r="A829" s="136">
        <v>42514</v>
      </c>
      <c r="B829" s="307" t="s">
        <v>2675</v>
      </c>
      <c r="C829" s="137" t="s">
        <v>372</v>
      </c>
      <c r="D829" s="138">
        <v>11.75</v>
      </c>
      <c r="E829" s="138">
        <v>0.61</v>
      </c>
      <c r="G829" s="308" t="s">
        <v>373</v>
      </c>
      <c r="I829" s="138">
        <v>11.75</v>
      </c>
      <c r="J829" s="137" t="s">
        <v>2869</v>
      </c>
      <c r="K829" s="138">
        <f t="shared" si="22"/>
        <v>0</v>
      </c>
    </row>
    <row r="830" spans="1:11" ht="15" customHeight="1">
      <c r="A830" s="136">
        <v>42515</v>
      </c>
      <c r="B830" s="307" t="s">
        <v>2601</v>
      </c>
      <c r="C830" s="137" t="s">
        <v>2252</v>
      </c>
      <c r="D830" s="138">
        <v>239.59</v>
      </c>
      <c r="E830" s="138">
        <v>12.49</v>
      </c>
      <c r="G830" s="308" t="s">
        <v>378</v>
      </c>
      <c r="K830" s="138">
        <f t="shared" si="22"/>
        <v>239.59</v>
      </c>
    </row>
    <row r="831" spans="1:11" ht="15" customHeight="1">
      <c r="A831" s="136">
        <v>42515</v>
      </c>
      <c r="B831" s="307" t="s">
        <v>2594</v>
      </c>
      <c r="C831" s="137" t="s">
        <v>182</v>
      </c>
      <c r="D831" s="138">
        <v>576.23</v>
      </c>
      <c r="E831" s="138">
        <v>30.04</v>
      </c>
      <c r="G831" s="308" t="s">
        <v>378</v>
      </c>
      <c r="I831" s="138">
        <v>576.23</v>
      </c>
      <c r="J831" s="137" t="s">
        <v>2729</v>
      </c>
      <c r="K831" s="138">
        <f t="shared" si="22"/>
        <v>0</v>
      </c>
    </row>
    <row r="832" spans="1:11" ht="15" customHeight="1">
      <c r="A832" s="136">
        <v>42515</v>
      </c>
      <c r="B832" s="307" t="s">
        <v>2662</v>
      </c>
      <c r="C832" s="137" t="s">
        <v>2200</v>
      </c>
      <c r="D832" s="138">
        <v>1347.53</v>
      </c>
      <c r="E832" s="138">
        <v>92.02</v>
      </c>
      <c r="G832" s="308" t="s">
        <v>373</v>
      </c>
      <c r="K832" s="138">
        <f t="shared" si="22"/>
        <v>1347.53</v>
      </c>
    </row>
    <row r="833" spans="1:11" ht="15" customHeight="1">
      <c r="A833" s="136">
        <v>42515</v>
      </c>
      <c r="B833" s="307" t="s">
        <v>2680</v>
      </c>
      <c r="C833" s="137" t="s">
        <v>2521</v>
      </c>
      <c r="D833" s="138">
        <v>51.7</v>
      </c>
      <c r="E833" s="138">
        <v>2.7</v>
      </c>
      <c r="G833" s="308" t="s">
        <v>378</v>
      </c>
      <c r="K833" s="138">
        <f t="shared" si="22"/>
        <v>51.7</v>
      </c>
    </row>
    <row r="834" spans="1:11" ht="15" customHeight="1">
      <c r="A834" s="136">
        <v>42515</v>
      </c>
      <c r="B834" s="307" t="s">
        <v>2681</v>
      </c>
      <c r="C834" s="137" t="s">
        <v>2521</v>
      </c>
      <c r="D834" s="138">
        <v>26.64</v>
      </c>
      <c r="E834" s="138">
        <v>4.4400000000000004</v>
      </c>
      <c r="G834" s="308" t="s">
        <v>378</v>
      </c>
      <c r="K834" s="138">
        <f t="shared" si="22"/>
        <v>26.64</v>
      </c>
    </row>
    <row r="835" spans="1:11" ht="15" customHeight="1">
      <c r="A835" s="136">
        <v>42516</v>
      </c>
      <c r="B835" s="307" t="s">
        <v>2596</v>
      </c>
      <c r="C835" s="137" t="s">
        <v>2200</v>
      </c>
      <c r="D835" s="138">
        <v>395.73</v>
      </c>
      <c r="E835" s="138">
        <v>20.63</v>
      </c>
      <c r="G835" s="308" t="s">
        <v>378</v>
      </c>
      <c r="K835" s="138">
        <f t="shared" si="22"/>
        <v>395.73</v>
      </c>
    </row>
    <row r="836" spans="1:11" ht="15" customHeight="1">
      <c r="A836" s="136">
        <v>42516</v>
      </c>
      <c r="B836" s="307" t="s">
        <v>2597</v>
      </c>
      <c r="C836" s="137" t="s">
        <v>2200</v>
      </c>
      <c r="D836" s="138">
        <v>25.04</v>
      </c>
      <c r="E836" s="138">
        <v>1.31</v>
      </c>
      <c r="G836" s="308" t="s">
        <v>378</v>
      </c>
      <c r="K836" s="138">
        <f t="shared" si="22"/>
        <v>25.04</v>
      </c>
    </row>
    <row r="837" spans="1:11" ht="15" customHeight="1">
      <c r="A837" s="136">
        <v>42516</v>
      </c>
      <c r="B837" s="307" t="s">
        <v>2598</v>
      </c>
      <c r="C837" s="137" t="s">
        <v>2200</v>
      </c>
      <c r="D837" s="138">
        <v>64.48</v>
      </c>
      <c r="E837" s="138">
        <v>3.36</v>
      </c>
      <c r="G837" s="308" t="s">
        <v>378</v>
      </c>
      <c r="K837" s="138">
        <f t="shared" si="22"/>
        <v>64.48</v>
      </c>
    </row>
    <row r="838" spans="1:11" ht="15" customHeight="1">
      <c r="A838" s="136">
        <v>42516</v>
      </c>
      <c r="B838" s="307" t="s">
        <v>2599</v>
      </c>
      <c r="C838" s="137" t="s">
        <v>2200</v>
      </c>
      <c r="D838" s="138">
        <v>168.83</v>
      </c>
      <c r="E838" s="138">
        <v>28.14</v>
      </c>
      <c r="G838" s="308" t="s">
        <v>378</v>
      </c>
      <c r="K838" s="138">
        <f t="shared" si="22"/>
        <v>168.83</v>
      </c>
    </row>
    <row r="839" spans="1:11" ht="15" customHeight="1">
      <c r="A839" s="136">
        <v>42516</v>
      </c>
      <c r="B839" s="307" t="s">
        <v>2600</v>
      </c>
      <c r="C839" s="137" t="s">
        <v>2200</v>
      </c>
      <c r="D839" s="138">
        <v>105.33</v>
      </c>
      <c r="E839" s="138">
        <v>5.49</v>
      </c>
      <c r="G839" s="308" t="s">
        <v>378</v>
      </c>
      <c r="K839" s="138">
        <f t="shared" si="22"/>
        <v>105.33</v>
      </c>
    </row>
    <row r="840" spans="1:11" ht="15" customHeight="1">
      <c r="A840" s="136">
        <v>42516</v>
      </c>
      <c r="B840" s="307" t="s">
        <v>2666</v>
      </c>
      <c r="C840" s="137" t="s">
        <v>372</v>
      </c>
      <c r="D840" s="138">
        <v>119.57</v>
      </c>
      <c r="E840" s="138">
        <v>6.23</v>
      </c>
      <c r="G840" s="308" t="s">
        <v>378</v>
      </c>
      <c r="I840" s="138">
        <v>119.57</v>
      </c>
      <c r="J840" s="137" t="s">
        <v>2868</v>
      </c>
      <c r="K840" s="138">
        <f t="shared" si="22"/>
        <v>0</v>
      </c>
    </row>
    <row r="841" spans="1:11" ht="15" customHeight="1">
      <c r="A841" s="136">
        <v>42516</v>
      </c>
      <c r="B841" s="307" t="s">
        <v>2674</v>
      </c>
      <c r="C841" s="137" t="s">
        <v>372</v>
      </c>
      <c r="D841" s="138">
        <v>11.44</v>
      </c>
      <c r="E841" s="138">
        <v>0.6</v>
      </c>
      <c r="G841" s="308" t="s">
        <v>373</v>
      </c>
      <c r="I841" s="138">
        <v>11.44</v>
      </c>
      <c r="J841" s="137" t="s">
        <v>2869</v>
      </c>
      <c r="K841" s="138">
        <f t="shared" si="22"/>
        <v>0</v>
      </c>
    </row>
    <row r="842" spans="1:11" ht="15" customHeight="1">
      <c r="A842" s="136">
        <v>42516</v>
      </c>
      <c r="B842" s="307" t="s">
        <v>2687</v>
      </c>
      <c r="C842" s="137" t="s">
        <v>187</v>
      </c>
      <c r="D842" s="138">
        <v>435.72</v>
      </c>
      <c r="E842" s="138">
        <v>22.72</v>
      </c>
      <c r="G842" s="308" t="s">
        <v>378</v>
      </c>
      <c r="I842" s="138">
        <v>435.72</v>
      </c>
      <c r="K842" s="138">
        <f t="shared" si="22"/>
        <v>0</v>
      </c>
    </row>
    <row r="843" spans="1:11" ht="15" customHeight="1">
      <c r="A843" s="136">
        <v>42517</v>
      </c>
      <c r="B843" s="307" t="s">
        <v>2665</v>
      </c>
      <c r="C843" s="137" t="s">
        <v>372</v>
      </c>
      <c r="D843" s="138">
        <v>124.12</v>
      </c>
      <c r="E843" s="138">
        <v>6.47</v>
      </c>
      <c r="G843" s="308" t="s">
        <v>378</v>
      </c>
      <c r="I843" s="138">
        <v>124.12</v>
      </c>
      <c r="J843" s="137" t="s">
        <v>2868</v>
      </c>
      <c r="K843" s="138">
        <f t="shared" si="22"/>
        <v>0</v>
      </c>
    </row>
    <row r="844" spans="1:11" ht="15" customHeight="1">
      <c r="A844" s="136">
        <v>42517</v>
      </c>
      <c r="B844" s="307" t="s">
        <v>2667</v>
      </c>
      <c r="C844" s="137" t="s">
        <v>2200</v>
      </c>
      <c r="D844" s="138">
        <v>1067.94</v>
      </c>
      <c r="E844" s="138">
        <v>77.81</v>
      </c>
      <c r="G844" s="308" t="s">
        <v>378</v>
      </c>
      <c r="K844" s="138">
        <f t="shared" si="22"/>
        <v>1067.94</v>
      </c>
    </row>
    <row r="845" spans="1:11" ht="15" customHeight="1">
      <c r="A845" s="136">
        <v>42517</v>
      </c>
      <c r="B845" s="307" t="s">
        <v>2685</v>
      </c>
      <c r="C845" s="137" t="s">
        <v>187</v>
      </c>
      <c r="D845" s="138">
        <v>72.8</v>
      </c>
      <c r="E845" s="138">
        <v>3.8</v>
      </c>
      <c r="G845" s="308" t="s">
        <v>378</v>
      </c>
      <c r="I845" s="138">
        <v>72.8</v>
      </c>
      <c r="K845" s="138">
        <f t="shared" si="22"/>
        <v>0</v>
      </c>
    </row>
    <row r="846" spans="1:11" ht="15" customHeight="1">
      <c r="A846" s="136">
        <v>42517</v>
      </c>
      <c r="B846" s="307" t="s">
        <v>2706</v>
      </c>
      <c r="C846" s="137" t="s">
        <v>187</v>
      </c>
      <c r="D846" s="138">
        <v>573.58000000000004</v>
      </c>
      <c r="E846" s="138">
        <v>37.93</v>
      </c>
      <c r="G846" s="308" t="s">
        <v>373</v>
      </c>
      <c r="K846" s="138">
        <f t="shared" si="22"/>
        <v>573.58000000000004</v>
      </c>
    </row>
    <row r="847" spans="1:11" ht="15" customHeight="1">
      <c r="A847" s="136">
        <v>42518</v>
      </c>
      <c r="B847" s="307" t="s">
        <v>2658</v>
      </c>
      <c r="C847" s="137" t="s">
        <v>372</v>
      </c>
      <c r="D847" s="138">
        <v>17.88</v>
      </c>
      <c r="E847" s="138">
        <v>0.93</v>
      </c>
      <c r="G847" s="308" t="s">
        <v>378</v>
      </c>
      <c r="I847" s="138">
        <v>17.88</v>
      </c>
      <c r="J847" s="137" t="s">
        <v>2868</v>
      </c>
      <c r="K847" s="138">
        <f t="shared" si="22"/>
        <v>0</v>
      </c>
    </row>
    <row r="848" spans="1:11" ht="15" customHeight="1">
      <c r="A848" s="136">
        <v>42518</v>
      </c>
      <c r="B848" s="307" t="s">
        <v>2684</v>
      </c>
      <c r="C848" s="137" t="s">
        <v>187</v>
      </c>
      <c r="D848" s="138">
        <v>386.5</v>
      </c>
      <c r="E848" s="138">
        <v>34.82</v>
      </c>
      <c r="G848" s="308" t="s">
        <v>378</v>
      </c>
      <c r="I848" s="138">
        <v>386.5</v>
      </c>
      <c r="K848" s="138">
        <f t="shared" si="22"/>
        <v>0</v>
      </c>
    </row>
    <row r="849" spans="1:11" ht="15" customHeight="1">
      <c r="A849" s="136">
        <v>42520</v>
      </c>
      <c r="B849" s="307" t="s">
        <v>2606</v>
      </c>
      <c r="C849" s="137" t="s">
        <v>2252</v>
      </c>
      <c r="D849" s="138">
        <v>337.07</v>
      </c>
      <c r="E849" s="138">
        <v>17.57</v>
      </c>
      <c r="G849" s="308" t="s">
        <v>378</v>
      </c>
      <c r="K849" s="138">
        <f t="shared" si="22"/>
        <v>337.07</v>
      </c>
    </row>
    <row r="850" spans="1:11" ht="15" customHeight="1">
      <c r="A850" s="136">
        <v>42520</v>
      </c>
      <c r="B850" s="307" t="s">
        <v>2603</v>
      </c>
      <c r="C850" s="137" t="s">
        <v>2200</v>
      </c>
      <c r="D850" s="138">
        <v>55.78</v>
      </c>
      <c r="E850" s="138">
        <v>3.17</v>
      </c>
      <c r="G850" s="308" t="s">
        <v>373</v>
      </c>
      <c r="K850" s="138">
        <f t="shared" si="22"/>
        <v>55.78</v>
      </c>
    </row>
    <row r="851" spans="1:11" ht="15" customHeight="1">
      <c r="A851" s="136">
        <v>42520</v>
      </c>
      <c r="B851" s="307" t="s">
        <v>2604</v>
      </c>
      <c r="C851" s="137" t="s">
        <v>2200</v>
      </c>
      <c r="D851" s="138">
        <v>35.1</v>
      </c>
      <c r="E851" s="138">
        <v>5.85</v>
      </c>
      <c r="G851" s="308" t="s">
        <v>373</v>
      </c>
      <c r="K851" s="138">
        <f t="shared" si="22"/>
        <v>35.1</v>
      </c>
    </row>
    <row r="852" spans="1:11" ht="15" customHeight="1">
      <c r="A852" s="136">
        <v>42520</v>
      </c>
      <c r="B852" s="307" t="s">
        <v>2605</v>
      </c>
      <c r="C852" s="137" t="s">
        <v>372</v>
      </c>
      <c r="D852" s="138">
        <v>118.43</v>
      </c>
      <c r="E852" s="138">
        <v>6.17</v>
      </c>
      <c r="G852" s="308" t="s">
        <v>378</v>
      </c>
      <c r="I852" s="138">
        <v>118.43</v>
      </c>
      <c r="J852" s="137" t="s">
        <v>2868</v>
      </c>
      <c r="K852" s="138">
        <f t="shared" si="22"/>
        <v>0</v>
      </c>
    </row>
    <row r="853" spans="1:11">
      <c r="A853" s="136">
        <v>42520</v>
      </c>
      <c r="B853" s="307" t="s">
        <v>2659</v>
      </c>
      <c r="C853" s="137" t="s">
        <v>2200</v>
      </c>
      <c r="D853" s="138">
        <v>39.700000000000003</v>
      </c>
      <c r="E853" s="138">
        <v>6.62</v>
      </c>
      <c r="G853" s="308" t="s">
        <v>378</v>
      </c>
      <c r="K853" s="138">
        <f t="shared" si="22"/>
        <v>39.700000000000003</v>
      </c>
    </row>
    <row r="854" spans="1:11">
      <c r="A854" s="136">
        <v>42520</v>
      </c>
      <c r="B854" s="307" t="s">
        <v>2660</v>
      </c>
      <c r="C854" s="137" t="s">
        <v>2200</v>
      </c>
      <c r="D854" s="138">
        <v>290.23</v>
      </c>
      <c r="E854" s="138">
        <v>21.19</v>
      </c>
      <c r="G854" s="308" t="s">
        <v>378</v>
      </c>
      <c r="K854" s="138">
        <f t="shared" si="22"/>
        <v>290.23</v>
      </c>
    </row>
    <row r="855" spans="1:11">
      <c r="A855" s="136">
        <v>42520</v>
      </c>
      <c r="B855" s="307" t="s">
        <v>2661</v>
      </c>
      <c r="C855" s="137" t="s">
        <v>2200</v>
      </c>
      <c r="D855" s="138">
        <v>32.83</v>
      </c>
      <c r="E855" s="138">
        <v>5.47</v>
      </c>
      <c r="G855" s="308" t="s">
        <v>378</v>
      </c>
      <c r="K855" s="138">
        <f t="shared" si="22"/>
        <v>32.83</v>
      </c>
    </row>
    <row r="856" spans="1:11">
      <c r="A856" s="136">
        <v>42520</v>
      </c>
      <c r="B856" s="307" t="s">
        <v>2673</v>
      </c>
      <c r="C856" s="137" t="s">
        <v>372</v>
      </c>
      <c r="D856" s="138">
        <v>15.23</v>
      </c>
      <c r="E856" s="138">
        <v>0.79</v>
      </c>
      <c r="G856" s="308" t="s">
        <v>373</v>
      </c>
      <c r="I856" s="138">
        <v>15.23</v>
      </c>
      <c r="J856" s="137" t="s">
        <v>2869</v>
      </c>
      <c r="K856" s="138">
        <f t="shared" si="22"/>
        <v>0</v>
      </c>
    </row>
    <row r="857" spans="1:11">
      <c r="A857" s="136">
        <v>42520</v>
      </c>
      <c r="B857" s="307" t="s">
        <v>2686</v>
      </c>
      <c r="C857" s="137" t="s">
        <v>187</v>
      </c>
      <c r="D857" s="138">
        <v>622.45000000000005</v>
      </c>
      <c r="E857" s="138">
        <v>32.450000000000003</v>
      </c>
      <c r="G857" s="308" t="s">
        <v>378</v>
      </c>
      <c r="I857" s="138">
        <v>622.45000000000005</v>
      </c>
      <c r="K857" s="138">
        <f t="shared" si="22"/>
        <v>0</v>
      </c>
    </row>
    <row r="858" spans="1:11">
      <c r="A858" s="136">
        <v>42521</v>
      </c>
      <c r="B858" s="307" t="s">
        <v>2602</v>
      </c>
      <c r="C858" s="137" t="s">
        <v>372</v>
      </c>
      <c r="D858" s="138">
        <v>71.14</v>
      </c>
      <c r="E858" s="138">
        <v>3.71</v>
      </c>
      <c r="G858" s="308" t="s">
        <v>378</v>
      </c>
      <c r="I858" s="138">
        <v>71.14</v>
      </c>
      <c r="J858" s="137" t="s">
        <v>2868</v>
      </c>
      <c r="K858" s="138">
        <f t="shared" si="22"/>
        <v>0</v>
      </c>
    </row>
    <row r="859" spans="1:11">
      <c r="A859" s="136">
        <v>42521</v>
      </c>
      <c r="B859" s="307" t="s">
        <v>2607</v>
      </c>
      <c r="C859" s="137" t="s">
        <v>2200</v>
      </c>
      <c r="D859" s="138">
        <v>1867.76</v>
      </c>
      <c r="E859" s="138">
        <v>138.08000000000001</v>
      </c>
      <c r="G859" s="308" t="s">
        <v>378</v>
      </c>
      <c r="K859" s="138">
        <f t="shared" si="22"/>
        <v>1867.76</v>
      </c>
    </row>
    <row r="860" spans="1:11">
      <c r="A860" s="136">
        <v>42521</v>
      </c>
      <c r="B860" s="307" t="s">
        <v>2723</v>
      </c>
      <c r="C860" s="137" t="s">
        <v>424</v>
      </c>
      <c r="D860" s="138">
        <v>304.77999999999997</v>
      </c>
      <c r="E860" s="138">
        <v>50.8</v>
      </c>
      <c r="G860" s="308" t="s">
        <v>373</v>
      </c>
      <c r="K860" s="138">
        <f t="shared" si="22"/>
        <v>304.77999999999997</v>
      </c>
    </row>
    <row r="861" spans="1:11">
      <c r="A861" s="136">
        <v>42522</v>
      </c>
      <c r="B861" s="307" t="s">
        <v>2610</v>
      </c>
      <c r="C861" s="137" t="s">
        <v>2200</v>
      </c>
      <c r="D861" s="138">
        <v>1569.16</v>
      </c>
      <c r="E861" s="138">
        <v>102.24</v>
      </c>
      <c r="G861" s="308" t="s">
        <v>373</v>
      </c>
      <c r="K861" s="138">
        <f t="shared" ref="K861:K907" si="23">IF(D861&lt;&gt;"",D861-I861,"")</f>
        <v>1569.16</v>
      </c>
    </row>
    <row r="862" spans="1:11">
      <c r="A862" s="136">
        <v>42522</v>
      </c>
      <c r="B862" s="307" t="s">
        <v>2672</v>
      </c>
      <c r="C862" s="137" t="s">
        <v>372</v>
      </c>
      <c r="D862" s="138">
        <v>10.8</v>
      </c>
      <c r="E862" s="138">
        <v>0.56000000000000005</v>
      </c>
      <c r="G862" s="308" t="s">
        <v>373</v>
      </c>
      <c r="I862" s="138">
        <v>10.8</v>
      </c>
      <c r="J862" s="137" t="s">
        <v>2975</v>
      </c>
      <c r="K862" s="138">
        <f t="shared" si="23"/>
        <v>0</v>
      </c>
    </row>
    <row r="863" spans="1:11">
      <c r="A863" s="136">
        <v>42523</v>
      </c>
      <c r="B863" s="307" t="s">
        <v>2608</v>
      </c>
      <c r="C863" s="137" t="s">
        <v>2200</v>
      </c>
      <c r="D863" s="138">
        <v>13.55</v>
      </c>
      <c r="E863" s="138">
        <v>2.2599999999999998</v>
      </c>
      <c r="G863" s="308" t="s">
        <v>378</v>
      </c>
      <c r="K863" s="138">
        <f t="shared" si="23"/>
        <v>13.55</v>
      </c>
    </row>
    <row r="864" spans="1:11">
      <c r="A864" s="136">
        <v>42523</v>
      </c>
      <c r="B864" s="307" t="s">
        <v>2609</v>
      </c>
      <c r="C864" s="137" t="s">
        <v>2200</v>
      </c>
      <c r="D864" s="138">
        <v>42.92</v>
      </c>
      <c r="E864" s="138">
        <v>7.15</v>
      </c>
      <c r="G864" s="308" t="s">
        <v>378</v>
      </c>
      <c r="K864" s="138">
        <f t="shared" si="23"/>
        <v>42.92</v>
      </c>
    </row>
    <row r="865" spans="1:11">
      <c r="A865" s="136">
        <v>42523</v>
      </c>
      <c r="B865" s="307" t="s">
        <v>2676</v>
      </c>
      <c r="C865" s="137" t="s">
        <v>2200</v>
      </c>
      <c r="D865" s="138">
        <v>42.37</v>
      </c>
      <c r="E865" s="138">
        <v>2.48</v>
      </c>
      <c r="G865" s="308" t="s">
        <v>373</v>
      </c>
      <c r="K865" s="138">
        <f t="shared" si="23"/>
        <v>42.37</v>
      </c>
    </row>
    <row r="866" spans="1:11">
      <c r="A866" s="136">
        <v>42523</v>
      </c>
      <c r="B866" s="307" t="s">
        <v>2677</v>
      </c>
      <c r="C866" s="137" t="s">
        <v>2200</v>
      </c>
      <c r="D866" s="138">
        <v>38.450000000000003</v>
      </c>
      <c r="E866" s="138">
        <v>6.41</v>
      </c>
      <c r="G866" s="308" t="s">
        <v>373</v>
      </c>
      <c r="K866" s="138">
        <f t="shared" si="23"/>
        <v>38.450000000000003</v>
      </c>
    </row>
    <row r="867" spans="1:11">
      <c r="A867" s="136">
        <v>42523</v>
      </c>
      <c r="B867" s="307" t="s">
        <v>2722</v>
      </c>
      <c r="C867" s="137" t="s">
        <v>187</v>
      </c>
      <c r="D867" s="138">
        <v>388.8</v>
      </c>
      <c r="E867" s="138">
        <v>23.9</v>
      </c>
      <c r="G867" s="308" t="s">
        <v>378</v>
      </c>
      <c r="K867" s="138">
        <f t="shared" si="23"/>
        <v>388.8</v>
      </c>
    </row>
    <row r="868" spans="1:11">
      <c r="A868" s="136">
        <v>42524</v>
      </c>
      <c r="B868" s="307" t="s">
        <v>2671</v>
      </c>
      <c r="C868" s="137" t="s">
        <v>372</v>
      </c>
      <c r="D868" s="138">
        <v>6.92</v>
      </c>
      <c r="E868" s="138">
        <v>0.36</v>
      </c>
      <c r="G868" s="308" t="s">
        <v>373</v>
      </c>
      <c r="I868" s="138">
        <v>6.92</v>
      </c>
      <c r="J868" s="137" t="s">
        <v>2975</v>
      </c>
      <c r="K868" s="138">
        <f t="shared" si="23"/>
        <v>0</v>
      </c>
    </row>
    <row r="869" spans="1:11">
      <c r="A869" s="136">
        <v>42524</v>
      </c>
      <c r="B869" s="307" t="s">
        <v>2678</v>
      </c>
      <c r="C869" s="137" t="s">
        <v>372</v>
      </c>
      <c r="D869" s="138">
        <v>184.37</v>
      </c>
      <c r="E869" s="138">
        <v>9.61</v>
      </c>
      <c r="G869" s="308" t="s">
        <v>378</v>
      </c>
      <c r="I869" s="138">
        <v>184.37</v>
      </c>
      <c r="J869" s="137" t="s">
        <v>2974</v>
      </c>
      <c r="K869" s="138">
        <f t="shared" si="23"/>
        <v>0</v>
      </c>
    </row>
    <row r="870" spans="1:11">
      <c r="A870" s="136">
        <v>42524</v>
      </c>
      <c r="B870" s="307" t="s">
        <v>2679</v>
      </c>
      <c r="C870" s="137" t="s">
        <v>2200</v>
      </c>
      <c r="D870" s="138">
        <v>2101.81</v>
      </c>
      <c r="E870" s="138">
        <v>124.7</v>
      </c>
      <c r="G870" s="308" t="s">
        <v>378</v>
      </c>
      <c r="K870" s="138">
        <f t="shared" si="23"/>
        <v>2101.81</v>
      </c>
    </row>
    <row r="871" spans="1:11">
      <c r="A871" s="136">
        <v>42524</v>
      </c>
      <c r="B871" s="307" t="s">
        <v>2702</v>
      </c>
      <c r="C871" s="137" t="s">
        <v>187</v>
      </c>
      <c r="D871" s="138">
        <v>480.18</v>
      </c>
      <c r="E871" s="138">
        <v>29.43</v>
      </c>
      <c r="G871" s="308" t="s">
        <v>373</v>
      </c>
      <c r="I871" s="138">
        <v>480.18</v>
      </c>
      <c r="K871" s="138">
        <f t="shared" si="23"/>
        <v>0</v>
      </c>
    </row>
    <row r="872" spans="1:11">
      <c r="A872" s="136">
        <v>42524</v>
      </c>
      <c r="B872" s="307" t="s">
        <v>2717</v>
      </c>
      <c r="C872" s="137" t="s">
        <v>187</v>
      </c>
      <c r="D872" s="138">
        <v>622.45000000000005</v>
      </c>
      <c r="E872" s="138">
        <v>32.450000000000003</v>
      </c>
      <c r="G872" s="308" t="s">
        <v>378</v>
      </c>
      <c r="I872" s="138">
        <v>622.45000000000005</v>
      </c>
      <c r="K872" s="138">
        <f t="shared" si="23"/>
        <v>0</v>
      </c>
    </row>
    <row r="873" spans="1:11">
      <c r="A873" s="136">
        <v>42525</v>
      </c>
      <c r="B873" s="307" t="s">
        <v>2683</v>
      </c>
      <c r="C873" s="137" t="s">
        <v>372</v>
      </c>
      <c r="D873" s="138">
        <v>140.44999999999999</v>
      </c>
      <c r="E873" s="138">
        <v>7.32</v>
      </c>
      <c r="G873" s="308" t="s">
        <v>378</v>
      </c>
      <c r="I873" s="138">
        <v>140.44999999999999</v>
      </c>
      <c r="J873" s="137" t="s">
        <v>2974</v>
      </c>
      <c r="K873" s="138">
        <f t="shared" si="23"/>
        <v>0</v>
      </c>
    </row>
    <row r="874" spans="1:11">
      <c r="A874" s="136">
        <v>42527</v>
      </c>
      <c r="B874" s="307" t="s">
        <v>2701</v>
      </c>
      <c r="C874" s="137" t="s">
        <v>2252</v>
      </c>
      <c r="D874" s="138">
        <v>269.38</v>
      </c>
      <c r="E874" s="138">
        <v>23.28</v>
      </c>
      <c r="G874" s="308" t="s">
        <v>378</v>
      </c>
      <c r="K874" s="138">
        <f t="shared" si="23"/>
        <v>269.38</v>
      </c>
    </row>
    <row r="875" spans="1:11">
      <c r="A875" s="136">
        <v>42527</v>
      </c>
      <c r="B875" s="307" t="s">
        <v>2669</v>
      </c>
      <c r="C875" s="137" t="s">
        <v>2200</v>
      </c>
      <c r="D875" s="138">
        <v>120.27</v>
      </c>
      <c r="E875" s="138">
        <v>6.54</v>
      </c>
      <c r="G875" s="308" t="s">
        <v>373</v>
      </c>
      <c r="K875" s="138">
        <f t="shared" si="23"/>
        <v>120.27</v>
      </c>
    </row>
    <row r="876" spans="1:11">
      <c r="A876" s="136">
        <v>42527</v>
      </c>
      <c r="B876" s="307" t="s">
        <v>2670</v>
      </c>
      <c r="C876" s="137" t="s">
        <v>372</v>
      </c>
      <c r="D876" s="138">
        <v>18.399999999999999</v>
      </c>
      <c r="E876" s="138">
        <v>0.96</v>
      </c>
      <c r="G876" s="308" t="s">
        <v>373</v>
      </c>
      <c r="I876" s="138">
        <v>18.399999999999999</v>
      </c>
      <c r="J876" s="137" t="s">
        <v>2975</v>
      </c>
      <c r="K876" s="138">
        <f t="shared" si="23"/>
        <v>0</v>
      </c>
    </row>
    <row r="877" spans="1:11">
      <c r="A877" s="136">
        <v>42527</v>
      </c>
      <c r="B877" s="307" t="s">
        <v>2682</v>
      </c>
      <c r="C877" s="137" t="s">
        <v>372</v>
      </c>
      <c r="D877" s="138">
        <v>152.47999999999999</v>
      </c>
      <c r="E877" s="138">
        <v>7.95</v>
      </c>
      <c r="G877" s="308" t="s">
        <v>378</v>
      </c>
      <c r="I877" s="138">
        <v>152.47999999999999</v>
      </c>
      <c r="J877" s="137" t="s">
        <v>2974</v>
      </c>
      <c r="K877" s="138">
        <f t="shared" si="23"/>
        <v>0</v>
      </c>
    </row>
    <row r="878" spans="1:11">
      <c r="A878" s="136">
        <v>42527</v>
      </c>
      <c r="B878" s="307" t="s">
        <v>2709</v>
      </c>
      <c r="C878" s="137" t="s">
        <v>187</v>
      </c>
      <c r="D878" s="138">
        <v>87.04</v>
      </c>
      <c r="E878" s="138">
        <v>4.54</v>
      </c>
      <c r="G878" s="308" t="s">
        <v>378</v>
      </c>
      <c r="I878" s="138">
        <v>87.04</v>
      </c>
      <c r="K878" s="138">
        <f t="shared" si="23"/>
        <v>0</v>
      </c>
    </row>
    <row r="879" spans="1:11">
      <c r="A879" s="136">
        <v>42528</v>
      </c>
      <c r="B879" s="307" t="s">
        <v>2695</v>
      </c>
      <c r="C879" s="137" t="s">
        <v>2200</v>
      </c>
      <c r="D879" s="138">
        <v>1566.91</v>
      </c>
      <c r="E879" s="138">
        <v>94.09</v>
      </c>
      <c r="G879" s="308" t="s">
        <v>378</v>
      </c>
      <c r="K879" s="138">
        <f t="shared" si="23"/>
        <v>1566.91</v>
      </c>
    </row>
    <row r="880" spans="1:11">
      <c r="A880" s="136">
        <v>42528</v>
      </c>
      <c r="B880" s="307" t="s">
        <v>2703</v>
      </c>
      <c r="C880" s="137" t="s">
        <v>182</v>
      </c>
      <c r="D880" s="138">
        <v>612.29999999999995</v>
      </c>
      <c r="E880" s="138">
        <v>31.92</v>
      </c>
      <c r="G880" s="308" t="s">
        <v>373</v>
      </c>
      <c r="I880" s="138">
        <v>612.29999999999995</v>
      </c>
      <c r="J880" s="137" t="s">
        <v>2730</v>
      </c>
      <c r="K880" s="138">
        <f t="shared" si="23"/>
        <v>0</v>
      </c>
    </row>
    <row r="881" spans="1:11">
      <c r="A881" s="136">
        <v>42529</v>
      </c>
      <c r="B881" s="307" t="s">
        <v>2694</v>
      </c>
      <c r="C881" s="137" t="s">
        <v>182</v>
      </c>
      <c r="D881" s="138">
        <v>400.21</v>
      </c>
      <c r="E881" s="138">
        <v>20.86</v>
      </c>
      <c r="G881" s="308" t="s">
        <v>378</v>
      </c>
      <c r="I881" s="138">
        <v>400.21</v>
      </c>
      <c r="J881" s="137" t="s">
        <v>2731</v>
      </c>
      <c r="K881" s="138">
        <f t="shared" si="23"/>
        <v>0</v>
      </c>
    </row>
    <row r="882" spans="1:11">
      <c r="A882" s="136">
        <v>42529</v>
      </c>
      <c r="B882" s="307" t="s">
        <v>2704</v>
      </c>
      <c r="C882" s="137" t="s">
        <v>2200</v>
      </c>
      <c r="D882" s="138">
        <v>75.959999999999994</v>
      </c>
      <c r="E882" s="138">
        <v>10.87</v>
      </c>
      <c r="G882" s="308" t="s">
        <v>373</v>
      </c>
      <c r="K882" s="138">
        <f t="shared" si="23"/>
        <v>75.959999999999994</v>
      </c>
    </row>
    <row r="883" spans="1:11">
      <c r="A883" s="136">
        <v>42529</v>
      </c>
      <c r="B883" s="307" t="s">
        <v>2705</v>
      </c>
      <c r="C883" s="137" t="s">
        <v>2200</v>
      </c>
      <c r="D883" s="138">
        <v>1174.71</v>
      </c>
      <c r="E883" s="138">
        <v>62.49</v>
      </c>
      <c r="G883" s="308" t="s">
        <v>373</v>
      </c>
      <c r="K883" s="138">
        <f t="shared" si="23"/>
        <v>1174.71</v>
      </c>
    </row>
    <row r="884" spans="1:11">
      <c r="A884" s="136">
        <v>42530</v>
      </c>
      <c r="B884" s="307" t="s">
        <v>2696</v>
      </c>
      <c r="C884" s="137" t="s">
        <v>2200</v>
      </c>
      <c r="D884" s="138">
        <v>98.06</v>
      </c>
      <c r="E884" s="138">
        <v>5.12</v>
      </c>
      <c r="G884" s="308" t="s">
        <v>378</v>
      </c>
      <c r="K884" s="138">
        <f t="shared" si="23"/>
        <v>98.06</v>
      </c>
    </row>
    <row r="885" spans="1:11">
      <c r="A885" s="136">
        <v>42530</v>
      </c>
      <c r="B885" s="307" t="s">
        <v>2697</v>
      </c>
      <c r="C885" s="137" t="s">
        <v>2200</v>
      </c>
      <c r="D885" s="138">
        <v>54.69</v>
      </c>
      <c r="E885" s="138">
        <v>9.1199999999999992</v>
      </c>
      <c r="G885" s="308" t="s">
        <v>373</v>
      </c>
      <c r="K885" s="138">
        <f t="shared" si="23"/>
        <v>54.69</v>
      </c>
    </row>
    <row r="886" spans="1:11">
      <c r="A886" s="136">
        <v>42530</v>
      </c>
      <c r="B886" s="307" t="s">
        <v>2698</v>
      </c>
      <c r="C886" s="137" t="s">
        <v>2200</v>
      </c>
      <c r="D886" s="138">
        <v>45.95</v>
      </c>
      <c r="E886" s="138">
        <v>7.66</v>
      </c>
      <c r="G886" s="308" t="s">
        <v>378</v>
      </c>
      <c r="K886" s="138">
        <f t="shared" si="23"/>
        <v>45.95</v>
      </c>
    </row>
    <row r="887" spans="1:11">
      <c r="A887" s="136">
        <v>42530</v>
      </c>
      <c r="B887" s="307" t="s">
        <v>2699</v>
      </c>
      <c r="C887" s="137" t="s">
        <v>2200</v>
      </c>
      <c r="D887" s="138">
        <v>1054.97</v>
      </c>
      <c r="E887" s="138">
        <v>72.680000000000007</v>
      </c>
      <c r="G887" s="308" t="s">
        <v>378</v>
      </c>
      <c r="K887" s="138">
        <f t="shared" si="23"/>
        <v>1054.97</v>
      </c>
    </row>
    <row r="888" spans="1:11">
      <c r="A888" s="136">
        <v>42530</v>
      </c>
      <c r="B888" s="307" t="s">
        <v>2700</v>
      </c>
      <c r="C888" s="137" t="s">
        <v>2200</v>
      </c>
      <c r="D888" s="138">
        <v>26.83</v>
      </c>
      <c r="E888" s="138">
        <v>4.47</v>
      </c>
      <c r="G888" s="308" t="s">
        <v>378</v>
      </c>
      <c r="K888" s="138">
        <f t="shared" si="23"/>
        <v>26.83</v>
      </c>
    </row>
    <row r="889" spans="1:11">
      <c r="A889" s="136">
        <v>42530</v>
      </c>
      <c r="B889" s="307" t="s">
        <v>2751</v>
      </c>
      <c r="C889" s="137" t="s">
        <v>187</v>
      </c>
      <c r="D889" s="138">
        <v>1310.04</v>
      </c>
      <c r="E889" s="138">
        <v>87.36</v>
      </c>
      <c r="G889" s="308" t="s">
        <v>378</v>
      </c>
      <c r="I889" s="138">
        <v>1310.04</v>
      </c>
      <c r="K889" s="138">
        <f t="shared" si="23"/>
        <v>0</v>
      </c>
    </row>
    <row r="890" spans="1:11">
      <c r="A890" s="136">
        <v>42531</v>
      </c>
      <c r="B890" s="307" t="s">
        <v>2711</v>
      </c>
      <c r="C890" s="137" t="s">
        <v>372</v>
      </c>
      <c r="D890" s="138">
        <v>186.95</v>
      </c>
      <c r="E890" s="138">
        <v>9.75</v>
      </c>
      <c r="G890" s="308" t="s">
        <v>378</v>
      </c>
      <c r="I890" s="138">
        <v>186.95</v>
      </c>
      <c r="J890" s="137" t="s">
        <v>2974</v>
      </c>
      <c r="K890" s="138">
        <f t="shared" si="23"/>
        <v>0</v>
      </c>
    </row>
    <row r="891" spans="1:11">
      <c r="A891" s="136">
        <v>42531</v>
      </c>
      <c r="B891" s="307" t="s">
        <v>2712</v>
      </c>
      <c r="C891" s="137" t="s">
        <v>372</v>
      </c>
      <c r="D891" s="138">
        <v>105.11</v>
      </c>
      <c r="E891" s="138">
        <v>5.48</v>
      </c>
      <c r="G891" s="308" t="s">
        <v>378</v>
      </c>
      <c r="I891" s="138">
        <v>105.11</v>
      </c>
      <c r="J891" s="137" t="s">
        <v>2974</v>
      </c>
      <c r="K891" s="138">
        <f t="shared" si="23"/>
        <v>0</v>
      </c>
    </row>
    <row r="892" spans="1:11">
      <c r="A892" s="136">
        <v>42531</v>
      </c>
      <c r="B892" s="307" t="s">
        <v>2713</v>
      </c>
      <c r="C892" s="137" t="s">
        <v>2200</v>
      </c>
      <c r="D892" s="138">
        <v>202.12</v>
      </c>
      <c r="E892" s="138">
        <v>14.21</v>
      </c>
      <c r="G892" s="308" t="s">
        <v>378</v>
      </c>
      <c r="K892" s="138">
        <f t="shared" si="23"/>
        <v>202.12</v>
      </c>
    </row>
    <row r="893" spans="1:11">
      <c r="A893" s="136">
        <v>42531</v>
      </c>
      <c r="B893" s="307" t="s">
        <v>2718</v>
      </c>
      <c r="C893" s="137" t="s">
        <v>2719</v>
      </c>
      <c r="D893" s="138">
        <v>1302.71</v>
      </c>
      <c r="E893" s="138">
        <v>67.91</v>
      </c>
      <c r="G893" s="308" t="s">
        <v>378</v>
      </c>
      <c r="J893" s="137" t="s">
        <v>2867</v>
      </c>
      <c r="K893" s="138">
        <f t="shared" si="23"/>
        <v>1302.71</v>
      </c>
    </row>
    <row r="894" spans="1:11">
      <c r="A894" s="136">
        <v>42531</v>
      </c>
      <c r="B894" s="307" t="s">
        <v>2734</v>
      </c>
      <c r="C894" s="137" t="s">
        <v>187</v>
      </c>
      <c r="D894" s="138">
        <v>640.04</v>
      </c>
      <c r="E894" s="138">
        <v>41.39</v>
      </c>
      <c r="G894" s="308" t="s">
        <v>373</v>
      </c>
      <c r="K894" s="138">
        <f t="shared" si="23"/>
        <v>640.04</v>
      </c>
    </row>
    <row r="895" spans="1:11">
      <c r="A895" s="136">
        <v>42531</v>
      </c>
      <c r="B895" s="307" t="s">
        <v>2750</v>
      </c>
      <c r="C895" s="137" t="s">
        <v>372</v>
      </c>
      <c r="D895" s="138">
        <v>15.26</v>
      </c>
      <c r="E895" s="138">
        <v>0.8</v>
      </c>
      <c r="G895" s="308" t="s">
        <v>373</v>
      </c>
      <c r="I895" s="138">
        <v>15.26</v>
      </c>
      <c r="J895" s="137" t="s">
        <v>2975</v>
      </c>
      <c r="K895" s="138">
        <f t="shared" si="23"/>
        <v>0</v>
      </c>
    </row>
    <row r="896" spans="1:11">
      <c r="A896" s="136">
        <v>42532</v>
      </c>
      <c r="B896" s="307" t="s">
        <v>2710</v>
      </c>
      <c r="C896" s="137" t="s">
        <v>372</v>
      </c>
      <c r="D896" s="138">
        <v>246.93</v>
      </c>
      <c r="E896" s="138">
        <v>12.87</v>
      </c>
      <c r="G896" s="308" t="s">
        <v>378</v>
      </c>
      <c r="I896" s="138">
        <v>246.93</v>
      </c>
      <c r="J896" s="137" t="s">
        <v>2974</v>
      </c>
      <c r="K896" s="138">
        <f t="shared" si="23"/>
        <v>0</v>
      </c>
    </row>
    <row r="897" spans="1:11">
      <c r="A897" s="136">
        <v>42534</v>
      </c>
      <c r="B897" s="307" t="s">
        <v>2714</v>
      </c>
      <c r="C897" s="137" t="s">
        <v>2200</v>
      </c>
      <c r="D897" s="138">
        <v>795.22</v>
      </c>
      <c r="E897" s="138">
        <v>41.74</v>
      </c>
      <c r="G897" s="308" t="s">
        <v>378</v>
      </c>
      <c r="K897" s="138">
        <f t="shared" si="23"/>
        <v>795.22</v>
      </c>
    </row>
    <row r="898" spans="1:11">
      <c r="A898" s="136">
        <v>42534</v>
      </c>
      <c r="B898" s="307" t="s">
        <v>2715</v>
      </c>
      <c r="C898" s="137" t="s">
        <v>2200</v>
      </c>
      <c r="D898" s="138">
        <v>52.65</v>
      </c>
      <c r="E898" s="138">
        <v>8.7799999999999994</v>
      </c>
      <c r="G898" s="308" t="s">
        <v>378</v>
      </c>
      <c r="K898" s="138">
        <f t="shared" si="23"/>
        <v>52.65</v>
      </c>
    </row>
    <row r="899" spans="1:11">
      <c r="A899" s="136">
        <v>42534</v>
      </c>
      <c r="B899" s="307" t="s">
        <v>2716</v>
      </c>
      <c r="C899" s="137" t="s">
        <v>2200</v>
      </c>
      <c r="D899" s="138">
        <v>7.63</v>
      </c>
      <c r="E899" s="138">
        <v>1.27</v>
      </c>
      <c r="G899" s="308" t="s">
        <v>378</v>
      </c>
      <c r="K899" s="138">
        <f t="shared" si="23"/>
        <v>7.63</v>
      </c>
    </row>
    <row r="900" spans="1:11">
      <c r="A900" s="136">
        <v>42534</v>
      </c>
      <c r="B900" s="307" t="s">
        <v>2749</v>
      </c>
      <c r="C900" s="137" t="s">
        <v>372</v>
      </c>
      <c r="D900" s="138">
        <v>19.37</v>
      </c>
      <c r="E900" s="138">
        <v>1.01</v>
      </c>
      <c r="G900" s="308" t="s">
        <v>373</v>
      </c>
      <c r="I900" s="138">
        <v>19.37</v>
      </c>
      <c r="J900" s="137" t="s">
        <v>2975</v>
      </c>
      <c r="K900" s="138">
        <f t="shared" si="23"/>
        <v>0</v>
      </c>
    </row>
    <row r="901" spans="1:11">
      <c r="A901" s="136">
        <v>42535</v>
      </c>
      <c r="B901" s="307" t="s">
        <v>2720</v>
      </c>
      <c r="C901" s="137" t="s">
        <v>2200</v>
      </c>
      <c r="D901" s="138">
        <v>450.06</v>
      </c>
      <c r="E901" s="138">
        <v>23.46</v>
      </c>
      <c r="G901" s="308" t="s">
        <v>378</v>
      </c>
      <c r="K901" s="138">
        <f t="shared" si="23"/>
        <v>450.06</v>
      </c>
    </row>
    <row r="902" spans="1:11">
      <c r="A902" s="136">
        <v>42535</v>
      </c>
      <c r="B902" s="307" t="s">
        <v>2721</v>
      </c>
      <c r="C902" s="137" t="s">
        <v>2200</v>
      </c>
      <c r="D902" s="138">
        <v>1343.04</v>
      </c>
      <c r="E902" s="138">
        <v>80.790000000000006</v>
      </c>
      <c r="G902" s="308" t="s">
        <v>378</v>
      </c>
      <c r="K902" s="138">
        <f t="shared" si="23"/>
        <v>1343.04</v>
      </c>
    </row>
    <row r="903" spans="1:11">
      <c r="A903" s="136">
        <v>42536</v>
      </c>
      <c r="B903" s="307" t="s">
        <v>2744</v>
      </c>
      <c r="C903" s="137" t="s">
        <v>2200</v>
      </c>
      <c r="D903" s="138">
        <v>1269.3399999999999</v>
      </c>
      <c r="E903" s="138">
        <v>93.34</v>
      </c>
      <c r="G903" s="308" t="s">
        <v>373</v>
      </c>
      <c r="K903" s="138">
        <f t="shared" si="23"/>
        <v>1269.3399999999999</v>
      </c>
    </row>
    <row r="904" spans="1:11">
      <c r="A904" s="136">
        <v>42536</v>
      </c>
      <c r="B904" s="307" t="s">
        <v>2746</v>
      </c>
      <c r="C904" s="137" t="s">
        <v>2200</v>
      </c>
      <c r="D904" s="138">
        <v>140.93</v>
      </c>
      <c r="E904" s="138">
        <v>21.79</v>
      </c>
      <c r="G904" s="308" t="s">
        <v>373</v>
      </c>
      <c r="K904" s="138">
        <f t="shared" si="23"/>
        <v>140.93</v>
      </c>
    </row>
    <row r="905" spans="1:11">
      <c r="A905" s="136">
        <v>42537</v>
      </c>
      <c r="B905" s="307" t="s">
        <v>2748</v>
      </c>
      <c r="C905" s="137" t="s">
        <v>372</v>
      </c>
      <c r="D905" s="138">
        <v>15.19</v>
      </c>
      <c r="E905" s="138">
        <v>0.79</v>
      </c>
      <c r="G905" s="308" t="s">
        <v>373</v>
      </c>
      <c r="I905" s="138">
        <v>15.19</v>
      </c>
      <c r="J905" s="137" t="s">
        <v>2975</v>
      </c>
      <c r="K905" s="138">
        <f t="shared" si="23"/>
        <v>0</v>
      </c>
    </row>
    <row r="906" spans="1:11">
      <c r="A906" s="136">
        <v>42537</v>
      </c>
      <c r="B906" s="307" t="s">
        <v>2753</v>
      </c>
      <c r="C906" s="137" t="s">
        <v>187</v>
      </c>
      <c r="D906" s="138">
        <v>1291.1400000000001</v>
      </c>
      <c r="E906" s="138">
        <v>70.94</v>
      </c>
      <c r="G906" s="308" t="s">
        <v>378</v>
      </c>
      <c r="I906" s="138">
        <v>1291.1400000000001</v>
      </c>
      <c r="K906" s="138">
        <f t="shared" si="23"/>
        <v>0</v>
      </c>
    </row>
    <row r="907" spans="1:11">
      <c r="A907" s="136">
        <v>42537</v>
      </c>
      <c r="B907" s="307" t="s">
        <v>2765</v>
      </c>
      <c r="C907" s="137" t="s">
        <v>372</v>
      </c>
      <c r="D907" s="138">
        <v>129.61000000000001</v>
      </c>
      <c r="E907" s="138">
        <v>6.76</v>
      </c>
      <c r="G907" s="308" t="s">
        <v>378</v>
      </c>
      <c r="I907" s="138">
        <v>129.61000000000001</v>
      </c>
      <c r="J907" s="137" t="s">
        <v>2974</v>
      </c>
      <c r="K907" s="138">
        <f t="shared" si="23"/>
        <v>0</v>
      </c>
    </row>
    <row r="908" spans="1:11">
      <c r="A908" s="136">
        <v>42537</v>
      </c>
      <c r="B908" s="307" t="s">
        <v>3314</v>
      </c>
      <c r="C908" s="137" t="s">
        <v>3146</v>
      </c>
      <c r="D908" s="138">
        <v>213.77</v>
      </c>
      <c r="E908" s="138">
        <v>35.630000000000003</v>
      </c>
      <c r="G908" s="308" t="s">
        <v>378</v>
      </c>
    </row>
    <row r="909" spans="1:11">
      <c r="A909" s="136">
        <v>42538</v>
      </c>
      <c r="B909" s="307" t="s">
        <v>2736</v>
      </c>
      <c r="C909" s="137" t="s">
        <v>2200</v>
      </c>
      <c r="D909" s="138">
        <v>1228.53</v>
      </c>
      <c r="E909" s="138">
        <v>82.46</v>
      </c>
      <c r="G909" s="308" t="s">
        <v>378</v>
      </c>
      <c r="K909" s="138">
        <f t="shared" ref="K909:K914" si="24">IF(D909&lt;&gt;"",D909-I909,"")</f>
        <v>1228.53</v>
      </c>
    </row>
    <row r="910" spans="1:11">
      <c r="A910" s="136">
        <v>42538</v>
      </c>
      <c r="B910" s="307" t="s">
        <v>2737</v>
      </c>
      <c r="C910" s="137" t="s">
        <v>2200</v>
      </c>
      <c r="D910" s="138">
        <v>24.19</v>
      </c>
      <c r="E910" s="138">
        <v>4.03</v>
      </c>
      <c r="G910" s="308" t="s">
        <v>378</v>
      </c>
      <c r="K910" s="138">
        <f t="shared" si="24"/>
        <v>24.19</v>
      </c>
    </row>
    <row r="911" spans="1:11">
      <c r="A911" s="136">
        <v>42538</v>
      </c>
      <c r="B911" s="307" t="s">
        <v>2738</v>
      </c>
      <c r="C911" s="137" t="s">
        <v>2200</v>
      </c>
      <c r="D911" s="138">
        <v>11.79</v>
      </c>
      <c r="E911" s="138">
        <v>0.61</v>
      </c>
      <c r="G911" s="308" t="s">
        <v>378</v>
      </c>
      <c r="K911" s="138">
        <f t="shared" si="24"/>
        <v>11.79</v>
      </c>
    </row>
    <row r="912" spans="1:11">
      <c r="A912" s="136">
        <v>42538</v>
      </c>
      <c r="B912" s="307" t="s">
        <v>2742</v>
      </c>
      <c r="C912" s="137" t="s">
        <v>372</v>
      </c>
      <c r="D912" s="138">
        <v>121.69</v>
      </c>
      <c r="E912" s="138">
        <v>6.34</v>
      </c>
      <c r="G912" s="308" t="s">
        <v>378</v>
      </c>
      <c r="I912" s="138">
        <v>121.69</v>
      </c>
      <c r="J912" s="137" t="s">
        <v>2974</v>
      </c>
      <c r="K912" s="138">
        <f t="shared" si="24"/>
        <v>0</v>
      </c>
    </row>
    <row r="913" spans="1:11">
      <c r="A913" s="136">
        <v>42538</v>
      </c>
      <c r="B913" s="307" t="s">
        <v>2754</v>
      </c>
      <c r="C913" s="137" t="s">
        <v>187</v>
      </c>
      <c r="D913" s="138">
        <v>480.18</v>
      </c>
      <c r="E913" s="138">
        <v>29.43</v>
      </c>
      <c r="G913" s="308" t="s">
        <v>373</v>
      </c>
      <c r="K913" s="138">
        <f t="shared" si="24"/>
        <v>480.18</v>
      </c>
    </row>
    <row r="914" spans="1:11">
      <c r="A914" s="136">
        <v>42539</v>
      </c>
      <c r="B914" s="307" t="s">
        <v>2739</v>
      </c>
      <c r="C914" s="137" t="s">
        <v>372</v>
      </c>
      <c r="D914" s="138">
        <v>147.78</v>
      </c>
      <c r="E914" s="138">
        <v>7.7</v>
      </c>
      <c r="G914" s="308" t="s">
        <v>378</v>
      </c>
      <c r="I914" s="138">
        <v>147.78</v>
      </c>
      <c r="J914" s="137" t="s">
        <v>2974</v>
      </c>
      <c r="K914" s="138">
        <f t="shared" si="24"/>
        <v>0</v>
      </c>
    </row>
    <row r="915" spans="1:11">
      <c r="A915" s="136">
        <v>42541</v>
      </c>
      <c r="B915" s="307" t="s">
        <v>2707</v>
      </c>
      <c r="C915" s="137" t="s">
        <v>2521</v>
      </c>
      <c r="D915" s="138">
        <v>326.39999999999998</v>
      </c>
      <c r="E915" s="138">
        <v>54.4</v>
      </c>
      <c r="G915" s="308" t="s">
        <v>378</v>
      </c>
      <c r="K915" s="138">
        <f t="shared" ref="K915:K978" si="25">IF(D915&lt;&gt;"",D915-I915,"")</f>
        <v>326.39999999999998</v>
      </c>
    </row>
    <row r="916" spans="1:11">
      <c r="A916" s="136">
        <v>42541</v>
      </c>
      <c r="B916" s="307" t="s">
        <v>2735</v>
      </c>
      <c r="C916" s="137" t="s">
        <v>372</v>
      </c>
      <c r="D916" s="138">
        <v>72.92</v>
      </c>
      <c r="E916" s="138">
        <v>3.8</v>
      </c>
      <c r="G916" s="308" t="s">
        <v>378</v>
      </c>
      <c r="I916" s="138">
        <v>72.92</v>
      </c>
      <c r="J916" s="137" t="s">
        <v>2974</v>
      </c>
      <c r="K916" s="138">
        <f t="shared" si="25"/>
        <v>0</v>
      </c>
    </row>
    <row r="917" spans="1:11">
      <c r="A917" s="136">
        <v>42541</v>
      </c>
      <c r="B917" s="307" t="s">
        <v>2747</v>
      </c>
      <c r="C917" s="137" t="s">
        <v>372</v>
      </c>
      <c r="D917" s="138">
        <v>13.84</v>
      </c>
      <c r="E917" s="138">
        <v>0.72</v>
      </c>
      <c r="G917" s="308" t="s">
        <v>373</v>
      </c>
      <c r="I917" s="138">
        <v>13.84</v>
      </c>
      <c r="J917" s="137" t="s">
        <v>2975</v>
      </c>
      <c r="K917" s="138">
        <f t="shared" si="25"/>
        <v>0</v>
      </c>
    </row>
    <row r="918" spans="1:11">
      <c r="A918" s="136">
        <v>42542</v>
      </c>
      <c r="B918" s="307" t="s">
        <v>2740</v>
      </c>
      <c r="C918" s="137" t="s">
        <v>2200</v>
      </c>
      <c r="D918" s="138">
        <v>1824.34</v>
      </c>
      <c r="E918" s="138">
        <v>110.64</v>
      </c>
      <c r="G918" s="308" t="s">
        <v>378</v>
      </c>
      <c r="K918" s="138">
        <f t="shared" si="25"/>
        <v>1824.34</v>
      </c>
    </row>
    <row r="919" spans="1:11">
      <c r="A919" s="136">
        <v>42542</v>
      </c>
      <c r="B919" s="307" t="s">
        <v>2757</v>
      </c>
      <c r="C919" s="137" t="s">
        <v>2200</v>
      </c>
      <c r="D919" s="138">
        <v>14.5</v>
      </c>
      <c r="E919" s="138">
        <v>2.42</v>
      </c>
      <c r="G919" s="308" t="s">
        <v>378</v>
      </c>
      <c r="K919" s="138">
        <f t="shared" si="25"/>
        <v>14.5</v>
      </c>
    </row>
    <row r="920" spans="1:11">
      <c r="A920" s="136">
        <v>42543</v>
      </c>
      <c r="B920" s="307" t="s">
        <v>2741</v>
      </c>
      <c r="C920" s="137" t="s">
        <v>182</v>
      </c>
      <c r="D920" s="138">
        <v>763.19</v>
      </c>
      <c r="E920" s="138">
        <v>39.79</v>
      </c>
      <c r="G920" s="308" t="s">
        <v>378</v>
      </c>
      <c r="I920" s="138">
        <v>763.19</v>
      </c>
      <c r="J920" s="137" t="s">
        <v>2950</v>
      </c>
      <c r="K920" s="138">
        <f t="shared" si="25"/>
        <v>0</v>
      </c>
    </row>
    <row r="921" spans="1:11">
      <c r="A921" s="136">
        <v>42543</v>
      </c>
      <c r="B921" s="307" t="s">
        <v>2743</v>
      </c>
      <c r="C921" s="137" t="s">
        <v>2200</v>
      </c>
      <c r="D921" s="138">
        <v>1585.68</v>
      </c>
      <c r="E921" s="138">
        <v>94.14</v>
      </c>
      <c r="G921" s="308" t="s">
        <v>373</v>
      </c>
      <c r="K921" s="138">
        <f t="shared" si="25"/>
        <v>1585.68</v>
      </c>
    </row>
    <row r="922" spans="1:11">
      <c r="A922" s="136">
        <v>42543</v>
      </c>
      <c r="B922" s="307" t="s">
        <v>2745</v>
      </c>
      <c r="C922" s="137" t="s">
        <v>2200</v>
      </c>
      <c r="D922" s="138">
        <v>13.77</v>
      </c>
      <c r="E922" s="138">
        <v>2.2999999999999998</v>
      </c>
      <c r="G922" s="308" t="s">
        <v>373</v>
      </c>
      <c r="K922" s="138">
        <f t="shared" si="25"/>
        <v>13.77</v>
      </c>
    </row>
    <row r="923" spans="1:11">
      <c r="A923" s="136">
        <v>42543</v>
      </c>
      <c r="B923" s="307" t="s">
        <v>2763</v>
      </c>
      <c r="C923" s="137" t="s">
        <v>852</v>
      </c>
      <c r="D923" s="138">
        <v>207.62</v>
      </c>
      <c r="E923" s="138">
        <v>10.82</v>
      </c>
      <c r="G923" s="308" t="s">
        <v>373</v>
      </c>
      <c r="I923" s="138">
        <v>207.62</v>
      </c>
      <c r="J923" s="137" t="s">
        <v>2973</v>
      </c>
      <c r="K923" s="138">
        <f t="shared" si="25"/>
        <v>0</v>
      </c>
    </row>
    <row r="924" spans="1:11">
      <c r="A924" s="136">
        <v>42544</v>
      </c>
      <c r="B924" s="307" t="s">
        <v>2732</v>
      </c>
      <c r="C924" s="137" t="s">
        <v>2200</v>
      </c>
      <c r="D924" s="138">
        <v>36.83</v>
      </c>
      <c r="E924" s="138">
        <v>6.14</v>
      </c>
      <c r="G924" s="308" t="s">
        <v>378</v>
      </c>
      <c r="K924" s="138">
        <f t="shared" si="25"/>
        <v>36.83</v>
      </c>
    </row>
    <row r="925" spans="1:11">
      <c r="A925" s="136">
        <v>42544</v>
      </c>
      <c r="B925" s="307" t="s">
        <v>2733</v>
      </c>
      <c r="C925" s="137" t="s">
        <v>2200</v>
      </c>
      <c r="D925" s="138">
        <v>77.25</v>
      </c>
      <c r="E925" s="138">
        <v>4.3</v>
      </c>
      <c r="G925" s="308" t="s">
        <v>378</v>
      </c>
      <c r="K925" s="138">
        <f t="shared" si="25"/>
        <v>77.25</v>
      </c>
    </row>
    <row r="926" spans="1:11">
      <c r="A926" s="136">
        <v>42544</v>
      </c>
      <c r="B926" s="307" t="s">
        <v>2752</v>
      </c>
      <c r="C926" s="137" t="s">
        <v>187</v>
      </c>
      <c r="D926" s="138">
        <v>689.23</v>
      </c>
      <c r="E926" s="138">
        <v>35.93</v>
      </c>
      <c r="G926" s="308" t="s">
        <v>378</v>
      </c>
      <c r="I926" s="138">
        <v>689.23</v>
      </c>
      <c r="K926" s="138">
        <f t="shared" si="25"/>
        <v>0</v>
      </c>
    </row>
    <row r="927" spans="1:11">
      <c r="A927" s="136">
        <v>42544</v>
      </c>
      <c r="B927" s="307" t="s">
        <v>2767</v>
      </c>
      <c r="C927" s="137" t="s">
        <v>372</v>
      </c>
      <c r="D927" s="138">
        <v>84.07</v>
      </c>
      <c r="E927" s="138">
        <v>4.38</v>
      </c>
      <c r="G927" s="308" t="s">
        <v>378</v>
      </c>
      <c r="I927" s="138">
        <v>84.07</v>
      </c>
      <c r="J927" s="137" t="s">
        <v>2974</v>
      </c>
      <c r="K927" s="138">
        <f t="shared" si="25"/>
        <v>0</v>
      </c>
    </row>
    <row r="928" spans="1:11">
      <c r="A928" s="136">
        <v>42545</v>
      </c>
      <c r="B928" s="307" t="s">
        <v>2758</v>
      </c>
      <c r="C928" s="137" t="s">
        <v>2200</v>
      </c>
      <c r="D928" s="138">
        <v>1525.07</v>
      </c>
      <c r="E928" s="138">
        <v>86.37</v>
      </c>
      <c r="G928" s="308" t="s">
        <v>378</v>
      </c>
      <c r="K928" s="138">
        <f t="shared" si="25"/>
        <v>1525.07</v>
      </c>
    </row>
    <row r="929" spans="1:11">
      <c r="A929" s="136">
        <v>42545</v>
      </c>
      <c r="B929" s="307" t="s">
        <v>2761</v>
      </c>
      <c r="C929" s="137" t="s">
        <v>2200</v>
      </c>
      <c r="D929" s="138">
        <v>149.81</v>
      </c>
      <c r="E929" s="138">
        <v>8.08</v>
      </c>
      <c r="G929" s="308" t="s">
        <v>373</v>
      </c>
      <c r="K929" s="138">
        <f t="shared" si="25"/>
        <v>149.81</v>
      </c>
    </row>
    <row r="930" spans="1:11">
      <c r="A930" s="136">
        <v>42545</v>
      </c>
      <c r="B930" s="307" t="s">
        <v>2768</v>
      </c>
      <c r="C930" s="137" t="s">
        <v>372</v>
      </c>
      <c r="D930" s="138">
        <v>239.28</v>
      </c>
      <c r="E930" s="138">
        <v>12.47</v>
      </c>
      <c r="G930" s="308" t="s">
        <v>378</v>
      </c>
      <c r="I930" s="138">
        <v>239.28</v>
      </c>
      <c r="J930" s="137" t="s">
        <v>2974</v>
      </c>
      <c r="K930" s="138">
        <f t="shared" si="25"/>
        <v>0</v>
      </c>
    </row>
    <row r="931" spans="1:11">
      <c r="A931" s="136">
        <v>42545</v>
      </c>
      <c r="B931" s="307" t="s">
        <v>2854</v>
      </c>
      <c r="C931" s="137" t="s">
        <v>187</v>
      </c>
      <c r="D931" s="138">
        <v>642.17999999999995</v>
      </c>
      <c r="E931" s="138">
        <v>37.880000000000003</v>
      </c>
      <c r="G931" s="308" t="s">
        <v>373</v>
      </c>
      <c r="K931" s="138">
        <f t="shared" si="25"/>
        <v>642.17999999999995</v>
      </c>
    </row>
    <row r="932" spans="1:11">
      <c r="A932" s="136">
        <v>42546</v>
      </c>
      <c r="B932" s="307" t="s">
        <v>2756</v>
      </c>
      <c r="C932" s="137" t="s">
        <v>372</v>
      </c>
      <c r="D932" s="138">
        <v>21.21</v>
      </c>
      <c r="E932" s="138">
        <v>1.1100000000000001</v>
      </c>
      <c r="G932" s="308" t="s">
        <v>373</v>
      </c>
      <c r="I932" s="138">
        <v>21.21</v>
      </c>
      <c r="J932" s="137" t="s">
        <v>2975</v>
      </c>
      <c r="K932" s="138">
        <f t="shared" si="25"/>
        <v>0</v>
      </c>
    </row>
    <row r="933" spans="1:11">
      <c r="A933" s="136">
        <v>42546</v>
      </c>
      <c r="B933" s="307" t="s">
        <v>2764</v>
      </c>
      <c r="C933" s="137" t="s">
        <v>372</v>
      </c>
      <c r="D933" s="138">
        <v>172.17</v>
      </c>
      <c r="E933" s="138">
        <v>8.98</v>
      </c>
      <c r="G933" s="308" t="s">
        <v>378</v>
      </c>
      <c r="I933" s="138">
        <v>172.17</v>
      </c>
      <c r="J933" s="137" t="s">
        <v>2974</v>
      </c>
      <c r="K933" s="138">
        <f t="shared" si="25"/>
        <v>0</v>
      </c>
    </row>
    <row r="934" spans="1:11">
      <c r="A934" s="136">
        <v>42548</v>
      </c>
      <c r="B934" s="307" t="s">
        <v>2755</v>
      </c>
      <c r="C934" s="137" t="s">
        <v>2200</v>
      </c>
      <c r="D934" s="138">
        <v>195.44</v>
      </c>
      <c r="E934" s="138">
        <v>10.46</v>
      </c>
      <c r="G934" s="308" t="s">
        <v>373</v>
      </c>
      <c r="K934" s="138">
        <f t="shared" si="25"/>
        <v>195.44</v>
      </c>
    </row>
    <row r="935" spans="1:11">
      <c r="A935" s="136">
        <v>42548</v>
      </c>
      <c r="B935" s="307" t="s">
        <v>2759</v>
      </c>
      <c r="C935" s="137" t="s">
        <v>2200</v>
      </c>
      <c r="D935" s="138">
        <v>11.79</v>
      </c>
      <c r="E935" s="138">
        <v>0.61</v>
      </c>
      <c r="G935" s="308" t="s">
        <v>378</v>
      </c>
      <c r="K935" s="138">
        <f t="shared" si="25"/>
        <v>11.79</v>
      </c>
    </row>
    <row r="936" spans="1:11">
      <c r="A936" s="136">
        <v>42548</v>
      </c>
      <c r="B936" s="307" t="s">
        <v>2760</v>
      </c>
      <c r="C936" s="137" t="s">
        <v>2200</v>
      </c>
      <c r="D936" s="138">
        <v>1033.6199999999999</v>
      </c>
      <c r="E936" s="138">
        <v>58.79</v>
      </c>
      <c r="G936" s="308" t="s">
        <v>378</v>
      </c>
      <c r="K936" s="138">
        <f t="shared" si="25"/>
        <v>1033.6199999999999</v>
      </c>
    </row>
    <row r="937" spans="1:11">
      <c r="A937" s="136">
        <v>42548</v>
      </c>
      <c r="B937" s="307" t="s">
        <v>2766</v>
      </c>
      <c r="C937" s="137" t="s">
        <v>372</v>
      </c>
      <c r="D937" s="138">
        <v>117.63</v>
      </c>
      <c r="E937" s="138">
        <v>6.13</v>
      </c>
      <c r="G937" s="308" t="s">
        <v>378</v>
      </c>
      <c r="I937" s="138">
        <v>117.63</v>
      </c>
      <c r="J937" s="137" t="s">
        <v>2974</v>
      </c>
      <c r="K937" s="138">
        <f t="shared" si="25"/>
        <v>0</v>
      </c>
    </row>
    <row r="938" spans="1:11">
      <c r="A938" s="136">
        <v>42548</v>
      </c>
      <c r="B938" s="307" t="s">
        <v>2771</v>
      </c>
      <c r="C938" s="137" t="s">
        <v>852</v>
      </c>
      <c r="D938" s="138">
        <v>519.05999999999995</v>
      </c>
      <c r="E938" s="138">
        <v>27.06</v>
      </c>
      <c r="G938" s="308" t="s">
        <v>378</v>
      </c>
      <c r="I938" s="138">
        <v>519.05999999999995</v>
      </c>
      <c r="J938" s="137" t="s">
        <v>2972</v>
      </c>
      <c r="K938" s="138">
        <f t="shared" si="25"/>
        <v>0</v>
      </c>
    </row>
    <row r="939" spans="1:11">
      <c r="A939" s="136">
        <v>42548</v>
      </c>
      <c r="B939" s="307" t="s">
        <v>2855</v>
      </c>
      <c r="C939" s="137" t="s">
        <v>187</v>
      </c>
      <c r="D939" s="138">
        <v>31.68</v>
      </c>
      <c r="E939" s="138">
        <v>5.28</v>
      </c>
      <c r="G939" s="308" t="s">
        <v>373</v>
      </c>
      <c r="K939" s="138">
        <f t="shared" si="25"/>
        <v>31.68</v>
      </c>
    </row>
    <row r="940" spans="1:11">
      <c r="A940" s="136">
        <v>42549</v>
      </c>
      <c r="B940" s="307" t="s">
        <v>2762</v>
      </c>
      <c r="C940" s="137" t="s">
        <v>2200</v>
      </c>
      <c r="D940" s="138">
        <v>2040.54</v>
      </c>
      <c r="E940" s="138">
        <v>135.83000000000001</v>
      </c>
      <c r="G940" s="308" t="s">
        <v>378</v>
      </c>
      <c r="K940" s="138">
        <f t="shared" si="25"/>
        <v>2040.54</v>
      </c>
    </row>
    <row r="941" spans="1:11">
      <c r="A941" s="136">
        <v>42549</v>
      </c>
      <c r="B941" s="307" t="s">
        <v>2769</v>
      </c>
      <c r="C941" s="137" t="s">
        <v>2200</v>
      </c>
      <c r="D941" s="138">
        <v>116.11</v>
      </c>
      <c r="E941" s="138">
        <v>19.350000000000001</v>
      </c>
      <c r="G941" s="308" t="s">
        <v>378</v>
      </c>
      <c r="K941" s="138">
        <f t="shared" si="25"/>
        <v>116.11</v>
      </c>
    </row>
    <row r="942" spans="1:11">
      <c r="A942" s="136">
        <v>42550</v>
      </c>
      <c r="B942" s="307" t="s">
        <v>2847</v>
      </c>
      <c r="C942" s="137" t="s">
        <v>2719</v>
      </c>
      <c r="D942" s="138">
        <v>202.56</v>
      </c>
      <c r="E942" s="138">
        <v>10.56</v>
      </c>
      <c r="G942" s="308" t="s">
        <v>373</v>
      </c>
      <c r="J942" s="137" t="s">
        <v>3208</v>
      </c>
      <c r="K942" s="138">
        <f t="shared" si="25"/>
        <v>202.56</v>
      </c>
    </row>
    <row r="943" spans="1:11">
      <c r="A943" s="136">
        <v>42550</v>
      </c>
      <c r="B943" s="307" t="s">
        <v>2848</v>
      </c>
      <c r="C943" s="137" t="s">
        <v>2719</v>
      </c>
      <c r="D943" s="138">
        <v>358.8</v>
      </c>
      <c r="E943" s="138">
        <v>59.8</v>
      </c>
      <c r="G943" s="308" t="s">
        <v>373</v>
      </c>
      <c r="J943" s="137" t="s">
        <v>2946</v>
      </c>
      <c r="K943" s="138">
        <f t="shared" si="25"/>
        <v>358.8</v>
      </c>
    </row>
    <row r="944" spans="1:11">
      <c r="A944" s="136">
        <v>42550</v>
      </c>
      <c r="B944" s="307" t="s">
        <v>2849</v>
      </c>
      <c r="C944" s="137" t="s">
        <v>2200</v>
      </c>
      <c r="D944" s="138">
        <v>1546.37</v>
      </c>
      <c r="E944" s="138">
        <v>99.7</v>
      </c>
      <c r="G944" s="308" t="s">
        <v>373</v>
      </c>
      <c r="K944" s="138">
        <f t="shared" si="25"/>
        <v>1546.37</v>
      </c>
    </row>
    <row r="945" spans="1:11">
      <c r="A945" s="136">
        <v>42551</v>
      </c>
      <c r="B945" s="307" t="s">
        <v>2831</v>
      </c>
      <c r="C945" s="137" t="s">
        <v>2252</v>
      </c>
      <c r="D945" s="138">
        <v>53.38</v>
      </c>
      <c r="E945" s="138">
        <v>2.78</v>
      </c>
      <c r="G945" s="308" t="s">
        <v>378</v>
      </c>
      <c r="K945" s="138">
        <f t="shared" si="25"/>
        <v>53.38</v>
      </c>
    </row>
    <row r="946" spans="1:11">
      <c r="A946" s="136">
        <v>42551</v>
      </c>
      <c r="B946" s="307" t="s">
        <v>2828</v>
      </c>
      <c r="C946" s="137" t="s">
        <v>2200</v>
      </c>
      <c r="D946" s="138">
        <v>12.89</v>
      </c>
      <c r="E946" s="138">
        <v>2.15</v>
      </c>
      <c r="G946" s="308" t="s">
        <v>378</v>
      </c>
      <c r="K946" s="138">
        <f t="shared" si="25"/>
        <v>12.89</v>
      </c>
    </row>
    <row r="947" spans="1:11">
      <c r="A947" s="136">
        <v>42551</v>
      </c>
      <c r="B947" s="307" t="s">
        <v>2829</v>
      </c>
      <c r="C947" s="137" t="s">
        <v>2200</v>
      </c>
      <c r="D947" s="138">
        <v>675.22</v>
      </c>
      <c r="E947" s="138">
        <v>35.21</v>
      </c>
      <c r="G947" s="308" t="s">
        <v>378</v>
      </c>
      <c r="K947" s="138">
        <f t="shared" si="25"/>
        <v>675.22</v>
      </c>
    </row>
    <row r="948" spans="1:11">
      <c r="A948" s="136">
        <v>42551</v>
      </c>
      <c r="B948" s="307" t="s">
        <v>2832</v>
      </c>
      <c r="C948" s="137" t="s">
        <v>187</v>
      </c>
      <c r="D948" s="138">
        <v>1148.53</v>
      </c>
      <c r="E948" s="138">
        <v>83.98</v>
      </c>
      <c r="G948" s="308" t="s">
        <v>378</v>
      </c>
      <c r="K948" s="138">
        <f t="shared" si="25"/>
        <v>1148.53</v>
      </c>
    </row>
    <row r="949" spans="1:11">
      <c r="A949" s="136">
        <v>42551</v>
      </c>
      <c r="B949" s="307" t="s">
        <v>2833</v>
      </c>
      <c r="C949" s="137" t="s">
        <v>372</v>
      </c>
      <c r="D949" s="138">
        <v>207.43</v>
      </c>
      <c r="E949" s="138">
        <v>10.81</v>
      </c>
      <c r="G949" s="308" t="s">
        <v>378</v>
      </c>
      <c r="I949" s="138">
        <v>207.43</v>
      </c>
      <c r="J949" s="137" t="s">
        <v>2974</v>
      </c>
      <c r="K949" s="138">
        <f t="shared" si="25"/>
        <v>0</v>
      </c>
    </row>
    <row r="950" spans="1:11">
      <c r="A950" s="136">
        <v>42551</v>
      </c>
      <c r="B950" s="307" t="s">
        <v>2856</v>
      </c>
      <c r="C950" s="137" t="s">
        <v>187</v>
      </c>
      <c r="D950" s="138">
        <v>614.46</v>
      </c>
      <c r="E950" s="138">
        <v>40.06</v>
      </c>
      <c r="G950" s="308" t="s">
        <v>373</v>
      </c>
      <c r="K950" s="138">
        <f t="shared" si="25"/>
        <v>614.46</v>
      </c>
    </row>
    <row r="951" spans="1:11">
      <c r="A951" s="136">
        <v>42551</v>
      </c>
      <c r="B951" s="307" t="s">
        <v>2857</v>
      </c>
      <c r="C951" s="137" t="s">
        <v>424</v>
      </c>
      <c r="D951" s="138">
        <v>377.16</v>
      </c>
      <c r="E951" s="138">
        <v>62.86</v>
      </c>
      <c r="G951" s="308" t="s">
        <v>373</v>
      </c>
      <c r="K951" s="138">
        <f t="shared" si="25"/>
        <v>377.16</v>
      </c>
    </row>
    <row r="952" spans="1:11">
      <c r="A952" s="136">
        <v>42551</v>
      </c>
      <c r="B952" s="307" t="s">
        <v>2859</v>
      </c>
      <c r="C952" s="137" t="s">
        <v>372</v>
      </c>
      <c r="D952" s="138">
        <v>15.56</v>
      </c>
      <c r="E952" s="138">
        <v>0.81</v>
      </c>
      <c r="G952" s="308" t="s">
        <v>373</v>
      </c>
      <c r="I952" s="138">
        <v>15.56</v>
      </c>
      <c r="J952" s="137" t="s">
        <v>2975</v>
      </c>
      <c r="K952" s="138">
        <f t="shared" si="25"/>
        <v>0</v>
      </c>
    </row>
    <row r="953" spans="1:11">
      <c r="A953" s="136">
        <v>42552</v>
      </c>
      <c r="B953" s="307" t="s">
        <v>2827</v>
      </c>
      <c r="C953" s="137" t="s">
        <v>2200</v>
      </c>
      <c r="D953" s="138">
        <v>7.25</v>
      </c>
      <c r="E953" s="138">
        <v>1.21</v>
      </c>
      <c r="G953" s="308" t="s">
        <v>378</v>
      </c>
      <c r="K953" s="138">
        <f t="shared" si="25"/>
        <v>7.25</v>
      </c>
    </row>
    <row r="954" spans="1:11">
      <c r="A954" s="136">
        <v>42552</v>
      </c>
      <c r="B954" s="307" t="s">
        <v>2830</v>
      </c>
      <c r="C954" s="137" t="s">
        <v>2200</v>
      </c>
      <c r="D954" s="138">
        <v>675.58</v>
      </c>
      <c r="E954" s="138">
        <v>51.74</v>
      </c>
      <c r="G954" s="308" t="s">
        <v>378</v>
      </c>
      <c r="K954" s="138">
        <f t="shared" si="25"/>
        <v>675.58</v>
      </c>
    </row>
    <row r="955" spans="1:11">
      <c r="A955" s="136">
        <v>42552</v>
      </c>
      <c r="B955" s="307" t="s">
        <v>2834</v>
      </c>
      <c r="C955" s="137" t="s">
        <v>372</v>
      </c>
      <c r="D955" s="138">
        <v>16.96</v>
      </c>
      <c r="E955" s="138">
        <v>0.88</v>
      </c>
      <c r="G955" s="308" t="s">
        <v>378</v>
      </c>
      <c r="K955" s="138">
        <f t="shared" si="25"/>
        <v>16.96</v>
      </c>
    </row>
    <row r="956" spans="1:11">
      <c r="A956" s="136">
        <v>42553</v>
      </c>
      <c r="B956" s="307" t="s">
        <v>2835</v>
      </c>
      <c r="C956" s="137" t="s">
        <v>372</v>
      </c>
      <c r="D956" s="138">
        <v>206.07</v>
      </c>
      <c r="E956" s="138">
        <v>10.74</v>
      </c>
      <c r="G956" s="308" t="s">
        <v>378</v>
      </c>
      <c r="K956" s="138">
        <f t="shared" si="25"/>
        <v>206.07</v>
      </c>
    </row>
    <row r="957" spans="1:11">
      <c r="A957" s="136">
        <v>42555</v>
      </c>
      <c r="B957" s="307" t="s">
        <v>2826</v>
      </c>
      <c r="C957" s="137" t="s">
        <v>2200</v>
      </c>
      <c r="D957" s="138">
        <v>31.55</v>
      </c>
      <c r="E957" s="138">
        <v>5.26</v>
      </c>
      <c r="G957" s="308" t="s">
        <v>378</v>
      </c>
      <c r="K957" s="138">
        <f t="shared" si="25"/>
        <v>31.55</v>
      </c>
    </row>
    <row r="958" spans="1:11">
      <c r="A958" s="136">
        <v>42555</v>
      </c>
      <c r="B958" s="307" t="s">
        <v>2836</v>
      </c>
      <c r="C958" s="137" t="s">
        <v>372</v>
      </c>
      <c r="D958" s="138">
        <v>63.24</v>
      </c>
      <c r="E958" s="138">
        <v>3.3</v>
      </c>
      <c r="G958" s="308" t="s">
        <v>378</v>
      </c>
      <c r="K958" s="138">
        <f t="shared" si="25"/>
        <v>63.24</v>
      </c>
    </row>
    <row r="959" spans="1:11">
      <c r="A959" s="136">
        <v>42555</v>
      </c>
      <c r="B959" s="307" t="s">
        <v>2844</v>
      </c>
      <c r="C959" s="137" t="s">
        <v>2521</v>
      </c>
      <c r="D959" s="138">
        <v>9.94</v>
      </c>
      <c r="E959" s="138">
        <v>0.52</v>
      </c>
      <c r="G959" s="308" t="s">
        <v>378</v>
      </c>
      <c r="K959" s="138">
        <f t="shared" si="25"/>
        <v>9.94</v>
      </c>
    </row>
    <row r="960" spans="1:11">
      <c r="A960" s="136">
        <v>42555</v>
      </c>
      <c r="B960" s="307" t="s">
        <v>2861</v>
      </c>
      <c r="C960" s="137" t="s">
        <v>372</v>
      </c>
      <c r="D960" s="138">
        <v>3.17</v>
      </c>
      <c r="E960" s="138">
        <v>0.17</v>
      </c>
      <c r="G960" s="308" t="s">
        <v>373</v>
      </c>
      <c r="K960" s="138">
        <f t="shared" si="25"/>
        <v>3.17</v>
      </c>
    </row>
    <row r="961" spans="1:11">
      <c r="A961" s="136">
        <v>42555</v>
      </c>
      <c r="B961" s="307" t="s">
        <v>2862</v>
      </c>
      <c r="C961" s="137" t="s">
        <v>372</v>
      </c>
      <c r="D961" s="138">
        <v>8.5500000000000007</v>
      </c>
      <c r="E961" s="138">
        <v>0.45</v>
      </c>
      <c r="G961" s="308" t="s">
        <v>373</v>
      </c>
      <c r="K961" s="138">
        <f t="shared" si="25"/>
        <v>8.5500000000000007</v>
      </c>
    </row>
    <row r="962" spans="1:11">
      <c r="A962" s="136">
        <v>42556</v>
      </c>
      <c r="B962" s="307" t="s">
        <v>2816</v>
      </c>
      <c r="C962" s="137" t="s">
        <v>2200</v>
      </c>
      <c r="D962" s="138">
        <v>647.07000000000005</v>
      </c>
      <c r="E962" s="138">
        <v>60</v>
      </c>
      <c r="G962" s="308" t="s">
        <v>378</v>
      </c>
      <c r="K962" s="138">
        <f t="shared" si="25"/>
        <v>647.07000000000005</v>
      </c>
    </row>
    <row r="963" spans="1:11">
      <c r="A963" s="136">
        <v>42556</v>
      </c>
      <c r="B963" s="307" t="s">
        <v>2818</v>
      </c>
      <c r="C963" s="137" t="s">
        <v>2200</v>
      </c>
      <c r="D963" s="138">
        <v>111.25</v>
      </c>
      <c r="E963" s="138">
        <v>9.5500000000000007</v>
      </c>
      <c r="G963" s="308" t="s">
        <v>378</v>
      </c>
      <c r="K963" s="138">
        <f t="shared" si="25"/>
        <v>111.25</v>
      </c>
    </row>
    <row r="964" spans="1:11">
      <c r="A964" s="136">
        <v>42556</v>
      </c>
      <c r="B964" s="307" t="s">
        <v>2819</v>
      </c>
      <c r="C964" s="137" t="s">
        <v>2200</v>
      </c>
      <c r="D964" s="138">
        <v>837.78</v>
      </c>
      <c r="E964" s="138">
        <v>68.33</v>
      </c>
      <c r="G964" s="308" t="s">
        <v>378</v>
      </c>
      <c r="K964" s="138">
        <f t="shared" si="25"/>
        <v>837.78</v>
      </c>
    </row>
    <row r="965" spans="1:11">
      <c r="A965" s="136">
        <v>42556</v>
      </c>
      <c r="B965" s="307" t="s">
        <v>2820</v>
      </c>
      <c r="C965" s="137" t="s">
        <v>2200</v>
      </c>
      <c r="D965" s="138">
        <v>16.14</v>
      </c>
      <c r="E965" s="138">
        <v>2.69</v>
      </c>
      <c r="G965" s="308" t="s">
        <v>378</v>
      </c>
      <c r="K965" s="138">
        <f t="shared" si="25"/>
        <v>16.14</v>
      </c>
    </row>
    <row r="966" spans="1:11">
      <c r="A966" s="136">
        <v>42556</v>
      </c>
      <c r="B966" s="307" t="s">
        <v>2838</v>
      </c>
      <c r="C966" s="137" t="s">
        <v>372</v>
      </c>
      <c r="D966" s="138">
        <v>89.77</v>
      </c>
      <c r="E966" s="138">
        <v>4.68</v>
      </c>
      <c r="G966" s="308" t="s">
        <v>378</v>
      </c>
      <c r="K966" s="138">
        <f t="shared" si="25"/>
        <v>89.77</v>
      </c>
    </row>
    <row r="967" spans="1:11">
      <c r="A967" s="136">
        <v>42556</v>
      </c>
      <c r="B967" s="307" t="s">
        <v>2843</v>
      </c>
      <c r="C967" s="137" t="s">
        <v>182</v>
      </c>
      <c r="D967" s="138">
        <v>123.7</v>
      </c>
      <c r="E967" s="138">
        <v>6.45</v>
      </c>
      <c r="G967" s="308" t="s">
        <v>378</v>
      </c>
      <c r="I967" s="138">
        <v>123.7</v>
      </c>
      <c r="J967" s="137" t="s">
        <v>2950</v>
      </c>
      <c r="K967" s="138">
        <f t="shared" si="25"/>
        <v>0</v>
      </c>
    </row>
    <row r="968" spans="1:11">
      <c r="A968" s="136">
        <v>42556</v>
      </c>
      <c r="B968" s="307" t="s">
        <v>2864</v>
      </c>
      <c r="C968" s="137" t="s">
        <v>182</v>
      </c>
      <c r="D968" s="138">
        <v>510.42</v>
      </c>
      <c r="E968" s="138">
        <v>26.61</v>
      </c>
      <c r="G968" s="308" t="s">
        <v>373</v>
      </c>
      <c r="I968" s="138">
        <v>510.42</v>
      </c>
      <c r="J968" s="137" t="s">
        <v>2949</v>
      </c>
      <c r="K968" s="138">
        <f t="shared" si="25"/>
        <v>0</v>
      </c>
    </row>
    <row r="969" spans="1:11">
      <c r="A969" s="136">
        <v>42557</v>
      </c>
      <c r="B969" s="307" t="s">
        <v>2863</v>
      </c>
      <c r="C969" s="137" t="s">
        <v>372</v>
      </c>
      <c r="D969" s="138">
        <v>21.71</v>
      </c>
      <c r="E969" s="138">
        <v>1.1299999999999999</v>
      </c>
      <c r="G969" s="308" t="s">
        <v>373</v>
      </c>
      <c r="K969" s="138">
        <f t="shared" si="25"/>
        <v>21.71</v>
      </c>
    </row>
    <row r="970" spans="1:11">
      <c r="A970" s="136">
        <v>42557</v>
      </c>
      <c r="B970" s="307" t="s">
        <v>3315</v>
      </c>
      <c r="C970" s="137" t="s">
        <v>3146</v>
      </c>
      <c r="D970" s="138">
        <v>592.20000000000005</v>
      </c>
      <c r="E970" s="138">
        <v>98.7</v>
      </c>
      <c r="G970" s="308" t="s">
        <v>378</v>
      </c>
      <c r="K970" s="138">
        <f t="shared" si="25"/>
        <v>592.20000000000005</v>
      </c>
    </row>
    <row r="971" spans="1:11">
      <c r="A971" s="136">
        <v>42558</v>
      </c>
      <c r="B971" s="307" t="s">
        <v>2821</v>
      </c>
      <c r="C971" s="137" t="s">
        <v>2200</v>
      </c>
      <c r="D971" s="138">
        <v>204.41</v>
      </c>
      <c r="E971" s="138">
        <v>34.07</v>
      </c>
      <c r="G971" s="308" t="s">
        <v>378</v>
      </c>
      <c r="K971" s="138">
        <f t="shared" si="25"/>
        <v>204.41</v>
      </c>
    </row>
    <row r="972" spans="1:11">
      <c r="A972" s="136">
        <v>42558</v>
      </c>
      <c r="B972" s="307" t="s">
        <v>2822</v>
      </c>
      <c r="C972" s="137" t="s">
        <v>2200</v>
      </c>
      <c r="D972" s="138">
        <v>1185.24</v>
      </c>
      <c r="E972" s="138">
        <v>75.53</v>
      </c>
      <c r="G972" s="308" t="s">
        <v>378</v>
      </c>
      <c r="K972" s="138">
        <f t="shared" si="25"/>
        <v>1185.24</v>
      </c>
    </row>
    <row r="973" spans="1:11">
      <c r="A973" s="136">
        <v>42558</v>
      </c>
      <c r="B973" s="307" t="s">
        <v>2845</v>
      </c>
      <c r="C973" s="137" t="s">
        <v>2846</v>
      </c>
      <c r="D973" s="138">
        <v>1131.5999999999999</v>
      </c>
      <c r="E973" s="138">
        <v>105.6</v>
      </c>
      <c r="G973" s="308" t="s">
        <v>378</v>
      </c>
      <c r="K973" s="138">
        <f t="shared" si="25"/>
        <v>1131.5999999999999</v>
      </c>
    </row>
    <row r="974" spans="1:11">
      <c r="A974" s="136">
        <v>42558</v>
      </c>
      <c r="B974" s="307" t="s">
        <v>2850</v>
      </c>
      <c r="C974" s="137" t="s">
        <v>2200</v>
      </c>
      <c r="D974" s="138">
        <v>1452.78</v>
      </c>
      <c r="E974" s="138">
        <v>97.48</v>
      </c>
      <c r="G974" s="308" t="s">
        <v>373</v>
      </c>
      <c r="K974" s="138">
        <f t="shared" si="25"/>
        <v>1452.78</v>
      </c>
    </row>
    <row r="975" spans="1:11">
      <c r="A975" s="136">
        <v>42558</v>
      </c>
      <c r="B975" s="307" t="s">
        <v>2851</v>
      </c>
      <c r="C975" s="137" t="s">
        <v>2200</v>
      </c>
      <c r="D975" s="138">
        <v>63.58</v>
      </c>
      <c r="E975" s="138">
        <v>10.6</v>
      </c>
      <c r="G975" s="308" t="s">
        <v>373</v>
      </c>
      <c r="K975" s="138">
        <f t="shared" si="25"/>
        <v>63.58</v>
      </c>
    </row>
    <row r="976" spans="1:11">
      <c r="A976" s="136">
        <v>42558</v>
      </c>
      <c r="B976" s="307" t="s">
        <v>2888</v>
      </c>
      <c r="C976" s="137" t="s">
        <v>187</v>
      </c>
      <c r="D976" s="138">
        <v>694.98</v>
      </c>
      <c r="E976" s="138">
        <v>41.78</v>
      </c>
      <c r="G976" s="308" t="s">
        <v>378</v>
      </c>
      <c r="K976" s="138">
        <f t="shared" si="25"/>
        <v>694.98</v>
      </c>
    </row>
    <row r="977" spans="1:11">
      <c r="A977" s="136">
        <v>42558</v>
      </c>
      <c r="B977" s="307" t="s">
        <v>2982</v>
      </c>
      <c r="C977" s="137" t="s">
        <v>372</v>
      </c>
      <c r="D977" s="138">
        <v>178.92</v>
      </c>
      <c r="E977" s="138">
        <v>9.33</v>
      </c>
      <c r="G977" s="308" t="s">
        <v>378</v>
      </c>
      <c r="K977" s="138">
        <f t="shared" si="25"/>
        <v>178.92</v>
      </c>
    </row>
    <row r="978" spans="1:11">
      <c r="A978" s="136">
        <v>42559</v>
      </c>
      <c r="B978" s="307" t="s">
        <v>2825</v>
      </c>
      <c r="C978" s="137" t="s">
        <v>2200</v>
      </c>
      <c r="D978" s="138">
        <v>460.04</v>
      </c>
      <c r="E978" s="138">
        <v>23.98</v>
      </c>
      <c r="G978" s="308" t="s">
        <v>378</v>
      </c>
      <c r="K978" s="138">
        <f t="shared" si="25"/>
        <v>460.04</v>
      </c>
    </row>
    <row r="979" spans="1:11">
      <c r="A979" s="136">
        <v>42559</v>
      </c>
      <c r="B979" s="307" t="s">
        <v>2837</v>
      </c>
      <c r="C979" s="137" t="s">
        <v>372</v>
      </c>
      <c r="D979" s="138">
        <v>105.13</v>
      </c>
      <c r="E979" s="138">
        <v>5.48</v>
      </c>
      <c r="G979" s="308" t="s">
        <v>378</v>
      </c>
      <c r="K979" s="138">
        <f t="shared" ref="K979:K1042" si="26">IF(D979&lt;&gt;"",D979-I979,"")</f>
        <v>105.13</v>
      </c>
    </row>
    <row r="980" spans="1:11">
      <c r="A980" s="136">
        <v>42559</v>
      </c>
      <c r="B980" s="307" t="s">
        <v>2884</v>
      </c>
      <c r="C980" s="137" t="s">
        <v>187</v>
      </c>
      <c r="D980" s="138">
        <v>638.94000000000005</v>
      </c>
      <c r="E980" s="138">
        <v>41.34</v>
      </c>
      <c r="G980" s="308" t="s">
        <v>373</v>
      </c>
      <c r="K980" s="138">
        <f t="shared" si="26"/>
        <v>638.94000000000005</v>
      </c>
    </row>
    <row r="981" spans="1:11">
      <c r="A981" s="136">
        <v>42560</v>
      </c>
      <c r="B981" s="307" t="s">
        <v>2839</v>
      </c>
      <c r="C981" s="137" t="s">
        <v>372</v>
      </c>
      <c r="D981" s="138">
        <v>235.11</v>
      </c>
      <c r="E981" s="138">
        <v>12.26</v>
      </c>
      <c r="G981" s="308" t="s">
        <v>378</v>
      </c>
      <c r="K981" s="138">
        <f t="shared" si="26"/>
        <v>235.11</v>
      </c>
    </row>
    <row r="982" spans="1:11">
      <c r="A982" s="136">
        <v>42562</v>
      </c>
      <c r="B982" s="307" t="s">
        <v>2860</v>
      </c>
      <c r="C982" s="137" t="s">
        <v>372</v>
      </c>
      <c r="D982" s="138">
        <v>28.96</v>
      </c>
      <c r="E982" s="138">
        <v>1.51</v>
      </c>
      <c r="G982" s="308" t="s">
        <v>373</v>
      </c>
      <c r="K982" s="138">
        <f t="shared" si="26"/>
        <v>28.96</v>
      </c>
    </row>
    <row r="983" spans="1:11">
      <c r="A983" s="136">
        <v>42563</v>
      </c>
      <c r="B983" s="307" t="s">
        <v>2814</v>
      </c>
      <c r="C983" s="137" t="s">
        <v>2200</v>
      </c>
      <c r="D983" s="138">
        <v>2365.79</v>
      </c>
      <c r="E983" s="138">
        <v>139.93</v>
      </c>
      <c r="G983" s="308" t="s">
        <v>378</v>
      </c>
      <c r="K983" s="138">
        <f t="shared" si="26"/>
        <v>2365.79</v>
      </c>
    </row>
    <row r="984" spans="1:11">
      <c r="A984" s="136">
        <v>42563</v>
      </c>
      <c r="B984" s="307" t="s">
        <v>2980</v>
      </c>
      <c r="C984" s="137" t="s">
        <v>372</v>
      </c>
      <c r="D984" s="138">
        <v>106.62</v>
      </c>
      <c r="E984" s="138">
        <v>5.56</v>
      </c>
      <c r="G984" s="308" t="s">
        <v>378</v>
      </c>
      <c r="K984" s="138">
        <f t="shared" si="26"/>
        <v>106.62</v>
      </c>
    </row>
    <row r="985" spans="1:11">
      <c r="A985" s="136">
        <v>42564</v>
      </c>
      <c r="B985" s="307" t="s">
        <v>2817</v>
      </c>
      <c r="C985" s="137" t="s">
        <v>2200</v>
      </c>
      <c r="D985" s="138">
        <v>186.51</v>
      </c>
      <c r="E985" s="138">
        <v>13.2</v>
      </c>
      <c r="G985" s="308" t="s">
        <v>378</v>
      </c>
      <c r="K985" s="138">
        <f t="shared" si="26"/>
        <v>186.51</v>
      </c>
    </row>
    <row r="986" spans="1:11">
      <c r="A986" s="136">
        <v>42564</v>
      </c>
      <c r="B986" s="307" t="s">
        <v>2840</v>
      </c>
      <c r="C986" s="137" t="s">
        <v>372</v>
      </c>
      <c r="D986" s="138">
        <v>113.16</v>
      </c>
      <c r="E986" s="138">
        <v>5.9</v>
      </c>
      <c r="G986" s="308" t="s">
        <v>378</v>
      </c>
      <c r="K986" s="138">
        <f t="shared" si="26"/>
        <v>113.16</v>
      </c>
    </row>
    <row r="987" spans="1:11">
      <c r="A987" s="136">
        <v>42564</v>
      </c>
      <c r="B987" s="307" t="s">
        <v>2853</v>
      </c>
      <c r="C987" s="137" t="s">
        <v>2200</v>
      </c>
      <c r="D987" s="138">
        <v>1434.76</v>
      </c>
      <c r="E987" s="138">
        <v>89.16</v>
      </c>
      <c r="G987" s="308" t="s">
        <v>373</v>
      </c>
      <c r="K987" s="138">
        <f t="shared" si="26"/>
        <v>1434.76</v>
      </c>
    </row>
    <row r="988" spans="1:11">
      <c r="A988" s="136">
        <v>42566</v>
      </c>
      <c r="B988" s="307" t="s">
        <v>2815</v>
      </c>
      <c r="C988" s="137" t="s">
        <v>2200</v>
      </c>
      <c r="D988" s="138">
        <v>274.73</v>
      </c>
      <c r="E988" s="138">
        <v>21.66</v>
      </c>
      <c r="G988" s="308" t="s">
        <v>378</v>
      </c>
      <c r="K988" s="138">
        <f t="shared" si="26"/>
        <v>274.73</v>
      </c>
    </row>
    <row r="989" spans="1:11">
      <c r="A989" s="136">
        <v>42566</v>
      </c>
      <c r="B989" s="307" t="s">
        <v>2823</v>
      </c>
      <c r="C989" s="137" t="s">
        <v>2200</v>
      </c>
      <c r="D989" s="138">
        <v>369.53</v>
      </c>
      <c r="E989" s="138">
        <v>19.55</v>
      </c>
      <c r="G989" s="308" t="s">
        <v>378</v>
      </c>
      <c r="K989" s="138">
        <f t="shared" si="26"/>
        <v>369.53</v>
      </c>
    </row>
    <row r="990" spans="1:11">
      <c r="A990" s="136">
        <v>42566</v>
      </c>
      <c r="B990" s="307" t="s">
        <v>2842</v>
      </c>
      <c r="C990" s="137" t="s">
        <v>182</v>
      </c>
      <c r="D990" s="138">
        <v>169.64</v>
      </c>
      <c r="E990" s="138">
        <v>8.84</v>
      </c>
      <c r="G990" s="308" t="s">
        <v>378</v>
      </c>
      <c r="I990" s="138">
        <v>169.64</v>
      </c>
      <c r="J990" s="137" t="s">
        <v>2950</v>
      </c>
      <c r="K990" s="138">
        <f t="shared" si="26"/>
        <v>0</v>
      </c>
    </row>
    <row r="991" spans="1:11">
      <c r="A991" s="136">
        <v>42566</v>
      </c>
      <c r="B991" s="307" t="s">
        <v>2852</v>
      </c>
      <c r="C991" s="137" t="s">
        <v>2200</v>
      </c>
      <c r="D991" s="138">
        <v>31.25</v>
      </c>
      <c r="E991" s="138">
        <v>1.9</v>
      </c>
      <c r="G991" s="308" t="s">
        <v>373</v>
      </c>
      <c r="K991" s="138">
        <f t="shared" si="26"/>
        <v>31.25</v>
      </c>
    </row>
    <row r="992" spans="1:11">
      <c r="A992" s="136">
        <v>42566</v>
      </c>
      <c r="B992" s="307" t="s">
        <v>2858</v>
      </c>
      <c r="C992" s="137" t="s">
        <v>372</v>
      </c>
      <c r="D992" s="138">
        <v>7.32</v>
      </c>
      <c r="E992" s="138">
        <v>0.38</v>
      </c>
      <c r="G992" s="308" t="s">
        <v>373</v>
      </c>
      <c r="K992" s="138">
        <f t="shared" si="26"/>
        <v>7.32</v>
      </c>
    </row>
    <row r="993" spans="1:11">
      <c r="A993" s="136">
        <v>42566</v>
      </c>
      <c r="B993" s="307" t="s">
        <v>2897</v>
      </c>
      <c r="C993" s="137" t="s">
        <v>187</v>
      </c>
      <c r="D993" s="138">
        <v>918.96</v>
      </c>
      <c r="E993" s="138">
        <v>62.26</v>
      </c>
      <c r="G993" s="308" t="s">
        <v>378</v>
      </c>
      <c r="K993" s="138">
        <f t="shared" si="26"/>
        <v>918.96</v>
      </c>
    </row>
    <row r="994" spans="1:11">
      <c r="A994" s="136">
        <v>42567</v>
      </c>
      <c r="B994" s="307" t="s">
        <v>2841</v>
      </c>
      <c r="C994" s="137" t="s">
        <v>372</v>
      </c>
      <c r="D994" s="138">
        <v>219.45</v>
      </c>
      <c r="E994" s="138">
        <v>11.44</v>
      </c>
      <c r="G994" s="308" t="s">
        <v>378</v>
      </c>
      <c r="K994" s="138">
        <f t="shared" si="26"/>
        <v>219.45</v>
      </c>
    </row>
    <row r="995" spans="1:11">
      <c r="A995" s="136">
        <v>42567</v>
      </c>
      <c r="B995" s="307" t="s">
        <v>3045</v>
      </c>
      <c r="C995" s="137" t="s">
        <v>2521</v>
      </c>
      <c r="D995" s="138">
        <v>347.3</v>
      </c>
      <c r="E995" s="138">
        <v>57.88</v>
      </c>
      <c r="G995" s="308" t="s">
        <v>378</v>
      </c>
      <c r="K995" s="138">
        <f t="shared" si="26"/>
        <v>347.3</v>
      </c>
    </row>
    <row r="996" spans="1:11">
      <c r="A996" s="136">
        <v>42567</v>
      </c>
      <c r="B996" s="307" t="s">
        <v>3046</v>
      </c>
      <c r="C996" s="137" t="s">
        <v>2521</v>
      </c>
      <c r="D996" s="138">
        <v>23.62</v>
      </c>
      <c r="E996" s="138">
        <v>3.94</v>
      </c>
      <c r="G996" s="308" t="s">
        <v>378</v>
      </c>
      <c r="K996" s="138">
        <f t="shared" si="26"/>
        <v>23.62</v>
      </c>
    </row>
    <row r="997" spans="1:11">
      <c r="A997" s="136">
        <v>42569</v>
      </c>
      <c r="B997" s="307" t="s">
        <v>2824</v>
      </c>
      <c r="C997" s="137" t="s">
        <v>2200</v>
      </c>
      <c r="D997" s="138">
        <v>1284.47</v>
      </c>
      <c r="E997" s="138">
        <v>92.59</v>
      </c>
      <c r="G997" s="308" t="s">
        <v>378</v>
      </c>
      <c r="K997" s="138">
        <f t="shared" si="26"/>
        <v>1284.47</v>
      </c>
    </row>
    <row r="998" spans="1:11">
      <c r="A998" s="136">
        <v>42569</v>
      </c>
      <c r="B998" s="307" t="s">
        <v>2881</v>
      </c>
      <c r="C998" s="137" t="s">
        <v>372</v>
      </c>
      <c r="D998" s="138">
        <v>30.32</v>
      </c>
      <c r="E998" s="138">
        <v>1.58</v>
      </c>
      <c r="G998" s="308" t="s">
        <v>373</v>
      </c>
      <c r="K998" s="138">
        <f t="shared" si="26"/>
        <v>30.32</v>
      </c>
    </row>
    <row r="999" spans="1:11">
      <c r="A999" s="136">
        <v>42570</v>
      </c>
      <c r="B999" s="307" t="s">
        <v>2883</v>
      </c>
      <c r="C999" s="137" t="s">
        <v>372</v>
      </c>
      <c r="D999" s="138">
        <v>101.74</v>
      </c>
      <c r="E999" s="138">
        <v>5.3</v>
      </c>
      <c r="G999" s="308" t="s">
        <v>378</v>
      </c>
      <c r="K999" s="138">
        <f t="shared" si="26"/>
        <v>101.74</v>
      </c>
    </row>
    <row r="1000" spans="1:11">
      <c r="A1000" s="136">
        <v>42570</v>
      </c>
      <c r="B1000" s="307" t="s">
        <v>2885</v>
      </c>
      <c r="C1000" s="137" t="s">
        <v>2200</v>
      </c>
      <c r="D1000" s="138">
        <v>1873.39</v>
      </c>
      <c r="E1000" s="138">
        <v>104.12</v>
      </c>
      <c r="G1000" s="308" t="s">
        <v>378</v>
      </c>
      <c r="K1000" s="138">
        <f t="shared" si="26"/>
        <v>1873.39</v>
      </c>
    </row>
    <row r="1001" spans="1:11">
      <c r="A1001" s="136">
        <v>42571</v>
      </c>
      <c r="B1001" s="307" t="s">
        <v>2877</v>
      </c>
      <c r="C1001" s="137" t="s">
        <v>2200</v>
      </c>
      <c r="D1001" s="138">
        <v>650.88</v>
      </c>
      <c r="E1001" s="138">
        <v>36.979999999999997</v>
      </c>
      <c r="G1001" s="308" t="s">
        <v>373</v>
      </c>
      <c r="K1001" s="138">
        <f t="shared" si="26"/>
        <v>650.88</v>
      </c>
    </row>
    <row r="1002" spans="1:11">
      <c r="A1002" s="136">
        <v>42572</v>
      </c>
      <c r="B1002" s="307" t="s">
        <v>2878</v>
      </c>
      <c r="C1002" s="137" t="s">
        <v>2200</v>
      </c>
      <c r="D1002" s="138">
        <v>82.76</v>
      </c>
      <c r="E1002" s="138">
        <v>4.59</v>
      </c>
      <c r="G1002" s="308" t="s">
        <v>373</v>
      </c>
      <c r="K1002" s="138">
        <f t="shared" si="26"/>
        <v>82.76</v>
      </c>
    </row>
    <row r="1003" spans="1:11">
      <c r="A1003" s="136">
        <v>42572</v>
      </c>
      <c r="B1003" s="307" t="s">
        <v>2879</v>
      </c>
      <c r="C1003" s="137" t="s">
        <v>2200</v>
      </c>
      <c r="D1003" s="138">
        <v>15.06</v>
      </c>
      <c r="E1003" s="138">
        <v>2.06</v>
      </c>
      <c r="G1003" s="308" t="s">
        <v>373</v>
      </c>
      <c r="K1003" s="138">
        <f t="shared" si="26"/>
        <v>15.06</v>
      </c>
    </row>
    <row r="1004" spans="1:11">
      <c r="A1004" s="136">
        <v>42572</v>
      </c>
      <c r="B1004" s="307" t="s">
        <v>2880</v>
      </c>
      <c r="C1004" s="137" t="s">
        <v>372</v>
      </c>
      <c r="D1004" s="138">
        <v>14.85</v>
      </c>
      <c r="E1004" s="138">
        <v>0.77</v>
      </c>
      <c r="G1004" s="308" t="s">
        <v>373</v>
      </c>
      <c r="K1004" s="138">
        <f t="shared" si="26"/>
        <v>14.85</v>
      </c>
    </row>
    <row r="1005" spans="1:11">
      <c r="A1005" s="136">
        <v>42572</v>
      </c>
      <c r="B1005" s="307" t="s">
        <v>2882</v>
      </c>
      <c r="C1005" s="137" t="s">
        <v>372</v>
      </c>
      <c r="D1005" s="138">
        <v>18.45</v>
      </c>
      <c r="E1005" s="138">
        <v>0.96</v>
      </c>
      <c r="G1005" s="308" t="s">
        <v>378</v>
      </c>
      <c r="K1005" s="138">
        <f t="shared" si="26"/>
        <v>18.45</v>
      </c>
    </row>
    <row r="1006" spans="1:11">
      <c r="A1006" s="136">
        <v>42572</v>
      </c>
      <c r="B1006" s="307" t="s">
        <v>2886</v>
      </c>
      <c r="C1006" s="137" t="s">
        <v>182</v>
      </c>
      <c r="D1006" s="138">
        <v>671.15</v>
      </c>
      <c r="E1006" s="138">
        <v>34.99</v>
      </c>
      <c r="G1006" s="308" t="s">
        <v>378</v>
      </c>
      <c r="I1006" s="138">
        <v>671.15</v>
      </c>
      <c r="J1006" s="137" t="s">
        <v>3249</v>
      </c>
      <c r="K1006" s="138">
        <f t="shared" si="26"/>
        <v>0</v>
      </c>
    </row>
    <row r="1007" spans="1:11">
      <c r="A1007" s="136">
        <v>42572</v>
      </c>
      <c r="B1007" s="307" t="s">
        <v>2887</v>
      </c>
      <c r="C1007" s="137" t="s">
        <v>182</v>
      </c>
      <c r="D1007" s="138">
        <v>65.459999999999994</v>
      </c>
      <c r="E1007" s="138">
        <v>3.41</v>
      </c>
      <c r="G1007" s="308" t="s">
        <v>378</v>
      </c>
      <c r="I1007" s="138">
        <v>65.459999999999994</v>
      </c>
      <c r="J1007" s="137" t="s">
        <v>3249</v>
      </c>
      <c r="K1007" s="138">
        <f t="shared" si="26"/>
        <v>0</v>
      </c>
    </row>
    <row r="1008" spans="1:11">
      <c r="A1008" s="136">
        <v>42572</v>
      </c>
      <c r="B1008" s="307" t="s">
        <v>2942</v>
      </c>
      <c r="C1008" s="137" t="s">
        <v>187</v>
      </c>
      <c r="D1008" s="138">
        <v>838.51</v>
      </c>
      <c r="E1008" s="138">
        <v>43.71</v>
      </c>
      <c r="G1008" s="308" t="s">
        <v>378</v>
      </c>
      <c r="K1008" s="138">
        <f t="shared" si="26"/>
        <v>838.51</v>
      </c>
    </row>
    <row r="1009" spans="1:11">
      <c r="A1009" s="136">
        <v>42573</v>
      </c>
      <c r="B1009" s="307" t="s">
        <v>2889</v>
      </c>
      <c r="C1009" s="137" t="s">
        <v>2200</v>
      </c>
      <c r="D1009" s="138">
        <v>1790.84</v>
      </c>
      <c r="E1009" s="138">
        <v>129.62</v>
      </c>
      <c r="G1009" s="308" t="s">
        <v>378</v>
      </c>
      <c r="K1009" s="138">
        <f t="shared" si="26"/>
        <v>1790.84</v>
      </c>
    </row>
    <row r="1010" spans="1:11">
      <c r="A1010" s="136">
        <v>42573</v>
      </c>
      <c r="B1010" s="307" t="s">
        <v>2890</v>
      </c>
      <c r="C1010" s="137" t="s">
        <v>2200</v>
      </c>
      <c r="D1010" s="138">
        <v>12.76</v>
      </c>
      <c r="E1010" s="138">
        <v>2.13</v>
      </c>
      <c r="G1010" s="308" t="s">
        <v>378</v>
      </c>
      <c r="K1010" s="138">
        <f t="shared" si="26"/>
        <v>12.76</v>
      </c>
    </row>
    <row r="1011" spans="1:11">
      <c r="A1011" s="136">
        <v>42573</v>
      </c>
      <c r="B1011" s="307" t="s">
        <v>2891</v>
      </c>
      <c r="C1011" s="137" t="s">
        <v>372</v>
      </c>
      <c r="D1011" s="138">
        <v>48.74</v>
      </c>
      <c r="E1011" s="138">
        <v>2.54</v>
      </c>
      <c r="G1011" s="308" t="s">
        <v>378</v>
      </c>
      <c r="K1011" s="138">
        <f t="shared" si="26"/>
        <v>48.74</v>
      </c>
    </row>
    <row r="1012" spans="1:11">
      <c r="A1012" s="136">
        <v>42573</v>
      </c>
      <c r="B1012" s="307" t="s">
        <v>2935</v>
      </c>
      <c r="C1012" s="137" t="s">
        <v>2200</v>
      </c>
      <c r="D1012" s="138">
        <v>8.33</v>
      </c>
      <c r="E1012" s="138">
        <v>0.43</v>
      </c>
      <c r="G1012" s="308" t="s">
        <v>378</v>
      </c>
      <c r="K1012" s="138">
        <f t="shared" si="26"/>
        <v>8.33</v>
      </c>
    </row>
    <row r="1013" spans="1:11">
      <c r="A1013" s="136">
        <v>42573</v>
      </c>
      <c r="B1013" s="307" t="s">
        <v>2951</v>
      </c>
      <c r="C1013" s="137" t="s">
        <v>187</v>
      </c>
      <c r="D1013" s="138">
        <v>455.65</v>
      </c>
      <c r="E1013" s="138">
        <v>28.15</v>
      </c>
      <c r="G1013" s="308" t="s">
        <v>373</v>
      </c>
      <c r="K1013" s="138">
        <f t="shared" si="26"/>
        <v>455.65</v>
      </c>
    </row>
    <row r="1014" spans="1:11">
      <c r="A1014" s="136">
        <v>42574</v>
      </c>
      <c r="B1014" s="307" t="s">
        <v>2895</v>
      </c>
      <c r="C1014" s="137" t="s">
        <v>372</v>
      </c>
      <c r="D1014" s="138">
        <v>336.84</v>
      </c>
      <c r="E1014" s="138">
        <v>17.559999999999999</v>
      </c>
      <c r="G1014" s="308" t="s">
        <v>378</v>
      </c>
      <c r="K1014" s="138">
        <f t="shared" si="26"/>
        <v>336.84</v>
      </c>
    </row>
    <row r="1015" spans="1:11">
      <c r="A1015" s="136">
        <v>42576</v>
      </c>
      <c r="B1015" s="307" t="s">
        <v>2894</v>
      </c>
      <c r="C1015" s="137" t="s">
        <v>2200</v>
      </c>
      <c r="D1015" s="138">
        <v>1047.52</v>
      </c>
      <c r="E1015" s="138">
        <v>71.7</v>
      </c>
      <c r="G1015" s="308" t="s">
        <v>378</v>
      </c>
      <c r="K1015" s="138">
        <f t="shared" si="26"/>
        <v>1047.52</v>
      </c>
    </row>
    <row r="1016" spans="1:11">
      <c r="A1016" s="136">
        <v>42576</v>
      </c>
      <c r="B1016" s="307" t="s">
        <v>2936</v>
      </c>
      <c r="C1016" s="137" t="s">
        <v>372</v>
      </c>
      <c r="D1016" s="138">
        <v>34.44</v>
      </c>
      <c r="E1016" s="138">
        <v>1.8</v>
      </c>
      <c r="G1016" s="308" t="s">
        <v>378</v>
      </c>
      <c r="K1016" s="138">
        <f t="shared" si="26"/>
        <v>34.44</v>
      </c>
    </row>
    <row r="1017" spans="1:11">
      <c r="A1017" s="136">
        <v>42576</v>
      </c>
      <c r="B1017" s="307" t="s">
        <v>3313</v>
      </c>
      <c r="C1017" s="137" t="s">
        <v>3146</v>
      </c>
      <c r="D1017" s="138">
        <v>660.97</v>
      </c>
      <c r="E1017" s="138">
        <v>110.16</v>
      </c>
      <c r="G1017" s="308" t="s">
        <v>378</v>
      </c>
      <c r="K1017" s="138">
        <f t="shared" si="26"/>
        <v>660.97</v>
      </c>
    </row>
    <row r="1018" spans="1:11">
      <c r="A1018" s="136">
        <v>42577</v>
      </c>
      <c r="B1018" s="307" t="s">
        <v>2892</v>
      </c>
      <c r="C1018" s="137" t="s">
        <v>372</v>
      </c>
      <c r="D1018" s="138">
        <v>13.61</v>
      </c>
      <c r="E1018" s="138">
        <v>0.71</v>
      </c>
      <c r="G1018" s="308" t="s">
        <v>378</v>
      </c>
      <c r="K1018" s="138">
        <f t="shared" si="26"/>
        <v>13.61</v>
      </c>
    </row>
    <row r="1019" spans="1:11">
      <c r="A1019" s="136">
        <v>42577</v>
      </c>
      <c r="B1019" s="307" t="s">
        <v>3312</v>
      </c>
      <c r="C1019" s="137" t="s">
        <v>3146</v>
      </c>
      <c r="D1019" s="138">
        <v>1721.99</v>
      </c>
      <c r="E1019" s="138">
        <v>287</v>
      </c>
      <c r="G1019" s="308" t="s">
        <v>378</v>
      </c>
      <c r="K1019" s="138">
        <f t="shared" si="26"/>
        <v>1721.99</v>
      </c>
    </row>
    <row r="1020" spans="1:11">
      <c r="A1020" s="136">
        <v>42578</v>
      </c>
      <c r="B1020" s="307" t="s">
        <v>2937</v>
      </c>
      <c r="C1020" s="137" t="s">
        <v>2200</v>
      </c>
      <c r="D1020" s="378">
        <v>1490.1</v>
      </c>
      <c r="E1020" s="138">
        <v>98.67</v>
      </c>
      <c r="G1020" s="308" t="s">
        <v>373</v>
      </c>
      <c r="K1020" s="138">
        <f t="shared" si="26"/>
        <v>1490.1</v>
      </c>
    </row>
    <row r="1021" spans="1:11">
      <c r="A1021" s="136">
        <v>42578</v>
      </c>
      <c r="B1021" s="307" t="s">
        <v>2938</v>
      </c>
      <c r="C1021" s="137" t="s">
        <v>852</v>
      </c>
      <c r="D1021" s="138">
        <v>207.62</v>
      </c>
      <c r="E1021" s="138">
        <v>10.82</v>
      </c>
      <c r="G1021" s="308" t="s">
        <v>373</v>
      </c>
      <c r="K1021" s="138">
        <f t="shared" si="26"/>
        <v>207.62</v>
      </c>
    </row>
    <row r="1022" spans="1:11">
      <c r="A1022" s="136">
        <v>42579</v>
      </c>
      <c r="B1022" s="307" t="s">
        <v>2893</v>
      </c>
      <c r="C1022" s="137" t="s">
        <v>372</v>
      </c>
      <c r="D1022" s="138">
        <v>60.01</v>
      </c>
      <c r="E1022" s="138">
        <v>3.13</v>
      </c>
      <c r="G1022" s="308" t="s">
        <v>378</v>
      </c>
      <c r="K1022" s="138">
        <f t="shared" si="26"/>
        <v>60.01</v>
      </c>
    </row>
    <row r="1023" spans="1:11">
      <c r="A1023" s="136">
        <v>42579</v>
      </c>
      <c r="B1023" s="307" t="s">
        <v>2896</v>
      </c>
      <c r="C1023" s="137" t="s">
        <v>2200</v>
      </c>
      <c r="D1023" s="138">
        <v>630.48</v>
      </c>
      <c r="E1023" s="138">
        <v>36</v>
      </c>
      <c r="G1023" s="308" t="s">
        <v>378</v>
      </c>
      <c r="K1023" s="138">
        <f t="shared" si="26"/>
        <v>630.48</v>
      </c>
    </row>
    <row r="1024" spans="1:11">
      <c r="A1024" s="136">
        <v>42579</v>
      </c>
      <c r="B1024" s="307" t="s">
        <v>2941</v>
      </c>
      <c r="C1024" s="137" t="s">
        <v>372</v>
      </c>
      <c r="D1024" s="138">
        <v>14.88</v>
      </c>
      <c r="E1024" s="138">
        <v>0.78</v>
      </c>
      <c r="G1024" s="308" t="s">
        <v>373</v>
      </c>
      <c r="K1024" s="138">
        <f t="shared" si="26"/>
        <v>14.88</v>
      </c>
    </row>
    <row r="1025" spans="1:11">
      <c r="A1025" s="136">
        <v>42579</v>
      </c>
      <c r="B1025" s="307" t="s">
        <v>2943</v>
      </c>
      <c r="C1025" s="137" t="s">
        <v>187</v>
      </c>
      <c r="D1025" s="138">
        <v>956.07</v>
      </c>
      <c r="E1025" s="138">
        <v>59.02</v>
      </c>
      <c r="G1025" s="308" t="s">
        <v>378</v>
      </c>
      <c r="K1025" s="138">
        <f t="shared" si="26"/>
        <v>956.07</v>
      </c>
    </row>
    <row r="1026" spans="1:11">
      <c r="A1026" s="136">
        <v>42580</v>
      </c>
      <c r="B1026" s="307" t="s">
        <v>2933</v>
      </c>
      <c r="C1026" s="137" t="s">
        <v>372</v>
      </c>
      <c r="D1026" s="138">
        <v>225.69</v>
      </c>
      <c r="E1026" s="138">
        <v>11.77</v>
      </c>
      <c r="G1026" s="308" t="s">
        <v>378</v>
      </c>
      <c r="K1026" s="138">
        <f t="shared" si="26"/>
        <v>225.69</v>
      </c>
    </row>
    <row r="1027" spans="1:11">
      <c r="A1027" s="136">
        <v>42580</v>
      </c>
      <c r="B1027" s="307" t="s">
        <v>2934</v>
      </c>
      <c r="C1027" s="137" t="s">
        <v>2200</v>
      </c>
      <c r="D1027" s="138">
        <v>2439.94</v>
      </c>
      <c r="E1027" s="138">
        <v>162.13</v>
      </c>
      <c r="G1027" s="308" t="s">
        <v>378</v>
      </c>
      <c r="K1027" s="138">
        <f t="shared" si="26"/>
        <v>2439.94</v>
      </c>
    </row>
    <row r="1028" spans="1:11">
      <c r="A1028" s="136">
        <v>42580</v>
      </c>
      <c r="B1028" s="307" t="s">
        <v>2939</v>
      </c>
      <c r="C1028" s="137" t="s">
        <v>2200</v>
      </c>
      <c r="D1028" s="138">
        <v>2.88</v>
      </c>
      <c r="E1028" s="138">
        <v>0.15</v>
      </c>
      <c r="G1028" s="308" t="s">
        <v>373</v>
      </c>
      <c r="K1028" s="138">
        <f t="shared" si="26"/>
        <v>2.88</v>
      </c>
    </row>
    <row r="1029" spans="1:11">
      <c r="A1029" s="136">
        <v>42580</v>
      </c>
      <c r="B1029" s="307" t="s">
        <v>2940</v>
      </c>
      <c r="C1029" s="137" t="s">
        <v>2200</v>
      </c>
      <c r="D1029" s="138">
        <v>35.1</v>
      </c>
      <c r="E1029" s="138">
        <v>5.85</v>
      </c>
      <c r="G1029" s="308" t="s">
        <v>373</v>
      </c>
      <c r="K1029" s="138">
        <f t="shared" si="26"/>
        <v>35.1</v>
      </c>
    </row>
    <row r="1030" spans="1:11">
      <c r="A1030" s="136">
        <v>42580</v>
      </c>
      <c r="B1030" s="307" t="s">
        <v>2993</v>
      </c>
      <c r="C1030" s="137" t="s">
        <v>187</v>
      </c>
      <c r="D1030" s="138">
        <v>508.25</v>
      </c>
      <c r="E1030" s="138">
        <v>26.5</v>
      </c>
      <c r="G1030" s="308" t="s">
        <v>373</v>
      </c>
      <c r="K1030" s="138">
        <f t="shared" si="26"/>
        <v>508.25</v>
      </c>
    </row>
    <row r="1031" spans="1:11">
      <c r="A1031" s="136">
        <v>42581</v>
      </c>
      <c r="B1031" s="307" t="s">
        <v>2945</v>
      </c>
      <c r="C1031" s="137" t="s">
        <v>372</v>
      </c>
      <c r="D1031" s="138">
        <v>98.66</v>
      </c>
      <c r="E1031" s="138">
        <v>5.14</v>
      </c>
      <c r="G1031" s="308" t="s">
        <v>378</v>
      </c>
      <c r="K1031" s="138">
        <f t="shared" si="26"/>
        <v>98.66</v>
      </c>
    </row>
    <row r="1032" spans="1:11">
      <c r="A1032" s="136">
        <v>42583</v>
      </c>
      <c r="B1032" s="307" t="s">
        <v>2944</v>
      </c>
      <c r="C1032" s="137" t="s">
        <v>372</v>
      </c>
      <c r="D1032" s="138">
        <v>141.47999999999999</v>
      </c>
      <c r="E1032" s="138">
        <v>7.38</v>
      </c>
      <c r="G1032" s="308" t="s">
        <v>378</v>
      </c>
      <c r="K1032" s="138">
        <f t="shared" si="26"/>
        <v>141.47999999999999</v>
      </c>
    </row>
    <row r="1033" spans="1:11">
      <c r="A1033" s="136">
        <v>42583</v>
      </c>
      <c r="B1033" s="307" t="s">
        <v>2952</v>
      </c>
      <c r="C1033" s="137" t="s">
        <v>372</v>
      </c>
      <c r="D1033" s="138">
        <v>16.329999999999998</v>
      </c>
      <c r="E1033" s="138">
        <v>0.85</v>
      </c>
      <c r="G1033" s="308" t="s">
        <v>373</v>
      </c>
      <c r="K1033" s="138">
        <f t="shared" si="26"/>
        <v>16.329999999999998</v>
      </c>
    </row>
    <row r="1034" spans="1:11">
      <c r="A1034" s="136">
        <v>42583</v>
      </c>
      <c r="B1034" s="307" t="s">
        <v>2986</v>
      </c>
      <c r="C1034" s="137" t="s">
        <v>182</v>
      </c>
      <c r="D1034" s="138">
        <v>144.32</v>
      </c>
      <c r="E1034" s="138">
        <v>7.52</v>
      </c>
      <c r="G1034" s="308" t="s">
        <v>378</v>
      </c>
      <c r="I1034" s="138">
        <v>144.32</v>
      </c>
      <c r="J1034" s="137" t="s">
        <v>1540</v>
      </c>
      <c r="K1034" s="138">
        <f t="shared" si="26"/>
        <v>0</v>
      </c>
    </row>
    <row r="1035" spans="1:11">
      <c r="A1035" s="136">
        <v>42583</v>
      </c>
      <c r="B1035" s="307" t="s">
        <v>3145</v>
      </c>
      <c r="C1035" s="137" t="s">
        <v>3146</v>
      </c>
      <c r="D1035" s="138">
        <v>271.14999999999998</v>
      </c>
      <c r="E1035" s="138">
        <v>45.19</v>
      </c>
      <c r="G1035" s="308" t="s">
        <v>378</v>
      </c>
      <c r="K1035" s="138">
        <f t="shared" si="26"/>
        <v>271.14999999999998</v>
      </c>
    </row>
    <row r="1036" spans="1:11">
      <c r="A1036" s="136">
        <v>42584</v>
      </c>
      <c r="B1036" s="307" t="s">
        <v>2953</v>
      </c>
      <c r="C1036" s="137" t="s">
        <v>2200</v>
      </c>
      <c r="D1036" s="138">
        <v>1255.3499999999999</v>
      </c>
      <c r="E1036" s="138">
        <v>77.17</v>
      </c>
      <c r="G1036" s="308" t="s">
        <v>378</v>
      </c>
      <c r="K1036" s="138">
        <f t="shared" si="26"/>
        <v>1255.3499999999999</v>
      </c>
    </row>
    <row r="1037" spans="1:11">
      <c r="A1037" s="136">
        <v>42584</v>
      </c>
      <c r="B1037" s="307" t="s">
        <v>2954</v>
      </c>
      <c r="C1037" s="137" t="s">
        <v>2200</v>
      </c>
      <c r="D1037" s="138">
        <v>471.19</v>
      </c>
      <c r="E1037" s="138">
        <v>28.94</v>
      </c>
      <c r="G1037" s="308" t="s">
        <v>378</v>
      </c>
      <c r="K1037" s="138">
        <f t="shared" si="26"/>
        <v>471.19</v>
      </c>
    </row>
    <row r="1038" spans="1:11">
      <c r="A1038" s="136">
        <v>42584</v>
      </c>
      <c r="B1038" s="307" t="s">
        <v>2955</v>
      </c>
      <c r="C1038" s="137" t="s">
        <v>2200</v>
      </c>
      <c r="D1038" s="138">
        <v>117.58</v>
      </c>
      <c r="E1038" s="138">
        <v>6.13</v>
      </c>
      <c r="G1038" s="308" t="s">
        <v>378</v>
      </c>
      <c r="K1038" s="138">
        <f t="shared" si="26"/>
        <v>117.58</v>
      </c>
    </row>
    <row r="1039" spans="1:11">
      <c r="A1039" s="136">
        <v>42585</v>
      </c>
      <c r="B1039" s="307" t="s">
        <v>2992</v>
      </c>
      <c r="C1039" s="137" t="s">
        <v>2200</v>
      </c>
      <c r="D1039" s="138">
        <v>1289.3599999999999</v>
      </c>
      <c r="E1039" s="138">
        <v>83.59</v>
      </c>
      <c r="G1039" s="308" t="s">
        <v>373</v>
      </c>
      <c r="K1039" s="138">
        <f t="shared" si="26"/>
        <v>1289.3599999999999</v>
      </c>
    </row>
    <row r="1040" spans="1:11">
      <c r="A1040" s="136">
        <v>42585</v>
      </c>
      <c r="B1040" s="307" t="s">
        <v>3059</v>
      </c>
      <c r="C1040" s="137" t="s">
        <v>372</v>
      </c>
      <c r="D1040" s="138">
        <v>11.94</v>
      </c>
      <c r="E1040" s="138">
        <v>0.62</v>
      </c>
      <c r="G1040" s="308" t="s">
        <v>373</v>
      </c>
      <c r="K1040" s="138">
        <f t="shared" si="26"/>
        <v>11.94</v>
      </c>
    </row>
    <row r="1041" spans="1:11">
      <c r="A1041" s="136">
        <v>42586</v>
      </c>
      <c r="B1041" s="307" t="s">
        <v>2979</v>
      </c>
      <c r="C1041" s="137" t="s">
        <v>372</v>
      </c>
      <c r="D1041" s="138">
        <v>100.12</v>
      </c>
      <c r="E1041" s="138">
        <v>5.22</v>
      </c>
      <c r="G1041" s="308" t="s">
        <v>378</v>
      </c>
      <c r="K1041" s="138">
        <f t="shared" si="26"/>
        <v>100.12</v>
      </c>
    </row>
    <row r="1042" spans="1:11">
      <c r="A1042" s="136">
        <v>42586</v>
      </c>
      <c r="B1042" s="307" t="s">
        <v>2981</v>
      </c>
      <c r="C1042" s="137" t="s">
        <v>372</v>
      </c>
      <c r="D1042" s="138">
        <v>50.78</v>
      </c>
      <c r="E1042" s="138">
        <v>2.65</v>
      </c>
      <c r="G1042" s="308" t="s">
        <v>378</v>
      </c>
      <c r="K1042" s="138">
        <f t="shared" si="26"/>
        <v>50.78</v>
      </c>
    </row>
    <row r="1043" spans="1:11">
      <c r="A1043" s="136">
        <v>42586</v>
      </c>
      <c r="B1043" s="307" t="s">
        <v>2987</v>
      </c>
      <c r="C1043" s="137" t="s">
        <v>2200</v>
      </c>
      <c r="D1043" s="138">
        <v>219.95</v>
      </c>
      <c r="E1043" s="138">
        <v>36.659999999999997</v>
      </c>
      <c r="G1043" s="308" t="s">
        <v>378</v>
      </c>
      <c r="K1043" s="138">
        <f t="shared" ref="K1043:K1106" si="27">IF(D1043&lt;&gt;"",D1043-I1043,"")</f>
        <v>219.95</v>
      </c>
    </row>
    <row r="1044" spans="1:11">
      <c r="A1044" s="136">
        <v>42586</v>
      </c>
      <c r="B1044" s="307" t="s">
        <v>2988</v>
      </c>
      <c r="C1044" s="137" t="s">
        <v>2200</v>
      </c>
      <c r="D1044" s="138">
        <v>565.22</v>
      </c>
      <c r="E1044" s="138">
        <v>29.49</v>
      </c>
      <c r="G1044" s="308" t="s">
        <v>378</v>
      </c>
      <c r="K1044" s="138">
        <f t="shared" si="27"/>
        <v>565.22</v>
      </c>
    </row>
    <row r="1045" spans="1:11">
      <c r="A1045" s="136">
        <v>42586</v>
      </c>
      <c r="B1045" s="307" t="s">
        <v>3004</v>
      </c>
      <c r="C1045" s="137" t="s">
        <v>187</v>
      </c>
      <c r="D1045" s="138">
        <v>911.23</v>
      </c>
      <c r="E1045" s="138">
        <v>49.43</v>
      </c>
      <c r="G1045" s="308" t="s">
        <v>378</v>
      </c>
      <c r="K1045" s="138">
        <f t="shared" si="27"/>
        <v>911.23</v>
      </c>
    </row>
    <row r="1046" spans="1:11">
      <c r="A1046" s="136">
        <v>42587</v>
      </c>
      <c r="B1046" s="307" t="s">
        <v>2989</v>
      </c>
      <c r="C1046" s="137" t="s">
        <v>372</v>
      </c>
      <c r="D1046" s="138">
        <v>14.24</v>
      </c>
      <c r="E1046" s="138">
        <v>0.74</v>
      </c>
      <c r="G1046" s="308" t="s">
        <v>378</v>
      </c>
      <c r="K1046" s="138">
        <f t="shared" si="27"/>
        <v>14.24</v>
      </c>
    </row>
    <row r="1047" spans="1:11">
      <c r="A1047" s="136">
        <v>42587</v>
      </c>
      <c r="B1047" s="307" t="s">
        <v>2990</v>
      </c>
      <c r="C1047" s="137" t="s">
        <v>2200</v>
      </c>
      <c r="D1047" s="138">
        <v>904.45</v>
      </c>
      <c r="E1047" s="138">
        <v>49.79</v>
      </c>
      <c r="G1047" s="308" t="s">
        <v>378</v>
      </c>
      <c r="K1047" s="138">
        <f t="shared" si="27"/>
        <v>904.45</v>
      </c>
    </row>
    <row r="1048" spans="1:11">
      <c r="A1048" s="136">
        <v>42587</v>
      </c>
      <c r="B1048" s="307" t="s">
        <v>3179</v>
      </c>
      <c r="C1048" s="137" t="s">
        <v>187</v>
      </c>
      <c r="D1048" s="138">
        <v>316.5</v>
      </c>
      <c r="E1048" s="138">
        <v>16.5</v>
      </c>
      <c r="G1048" s="308" t="s">
        <v>373</v>
      </c>
      <c r="K1048" s="138">
        <f t="shared" si="27"/>
        <v>316.5</v>
      </c>
    </row>
    <row r="1049" spans="1:11">
      <c r="A1049" s="136">
        <v>42588</v>
      </c>
      <c r="B1049" s="307" t="s">
        <v>2984</v>
      </c>
      <c r="C1049" s="137" t="s">
        <v>372</v>
      </c>
      <c r="D1049" s="138">
        <v>49.18</v>
      </c>
      <c r="E1049" s="138">
        <v>2.56</v>
      </c>
      <c r="G1049" s="308" t="s">
        <v>378</v>
      </c>
      <c r="K1049" s="138">
        <f t="shared" si="27"/>
        <v>49.18</v>
      </c>
    </row>
    <row r="1050" spans="1:11">
      <c r="A1050" s="136">
        <v>42588</v>
      </c>
      <c r="B1050" s="307" t="s">
        <v>2985</v>
      </c>
      <c r="C1050" s="137" t="s">
        <v>372</v>
      </c>
      <c r="D1050" s="138">
        <v>252.83</v>
      </c>
      <c r="E1050" s="138">
        <v>13.18</v>
      </c>
      <c r="G1050" s="308" t="s">
        <v>378</v>
      </c>
      <c r="K1050" s="138">
        <f t="shared" si="27"/>
        <v>252.83</v>
      </c>
    </row>
    <row r="1051" spans="1:11">
      <c r="A1051" s="136">
        <v>42590</v>
      </c>
      <c r="B1051" s="307" t="s">
        <v>2983</v>
      </c>
      <c r="C1051" s="137" t="s">
        <v>2200</v>
      </c>
      <c r="D1051" s="138">
        <v>496.19</v>
      </c>
      <c r="E1051" s="138">
        <v>32.380000000000003</v>
      </c>
      <c r="G1051" s="308" t="s">
        <v>378</v>
      </c>
      <c r="K1051" s="138">
        <f t="shared" si="27"/>
        <v>496.19</v>
      </c>
    </row>
    <row r="1052" spans="1:11">
      <c r="A1052" s="136">
        <v>42590</v>
      </c>
      <c r="B1052" s="307" t="s">
        <v>2991</v>
      </c>
      <c r="C1052" s="137" t="s">
        <v>2200</v>
      </c>
      <c r="D1052" s="138">
        <v>51.46</v>
      </c>
      <c r="E1052" s="138">
        <v>8.58</v>
      </c>
      <c r="G1052" s="308" t="s">
        <v>373</v>
      </c>
      <c r="K1052" s="138">
        <f t="shared" si="27"/>
        <v>51.46</v>
      </c>
    </row>
    <row r="1053" spans="1:11">
      <c r="A1053" s="136">
        <v>42590</v>
      </c>
      <c r="B1053" s="307" t="s">
        <v>3060</v>
      </c>
      <c r="C1053" s="137" t="s">
        <v>372</v>
      </c>
      <c r="D1053" s="138">
        <v>10.68</v>
      </c>
      <c r="E1053" s="138">
        <v>0.56000000000000005</v>
      </c>
      <c r="G1053" s="308" t="s">
        <v>373</v>
      </c>
      <c r="K1053" s="138">
        <f t="shared" si="27"/>
        <v>10.68</v>
      </c>
    </row>
    <row r="1054" spans="1:11">
      <c r="A1054" s="136">
        <v>42591</v>
      </c>
      <c r="B1054" s="307" t="s">
        <v>2999</v>
      </c>
      <c r="C1054" s="137" t="s">
        <v>2200</v>
      </c>
      <c r="D1054" s="138">
        <v>1817.01</v>
      </c>
      <c r="E1054" s="138">
        <v>194.54</v>
      </c>
      <c r="G1054" s="308" t="s">
        <v>378</v>
      </c>
      <c r="K1054" s="138">
        <f t="shared" si="27"/>
        <v>1817.01</v>
      </c>
    </row>
    <row r="1055" spans="1:11">
      <c r="A1055" s="136">
        <v>42592</v>
      </c>
      <c r="B1055" s="307" t="s">
        <v>3006</v>
      </c>
      <c r="C1055" s="137" t="s">
        <v>2200</v>
      </c>
      <c r="D1055" s="138">
        <v>878.58</v>
      </c>
      <c r="E1055" s="138">
        <v>56.08</v>
      </c>
      <c r="G1055" s="308" t="s">
        <v>373</v>
      </c>
      <c r="K1055" s="138">
        <f t="shared" si="27"/>
        <v>878.58</v>
      </c>
    </row>
    <row r="1056" spans="1:11">
      <c r="A1056" s="136">
        <v>42592</v>
      </c>
      <c r="B1056" s="307" t="s">
        <v>3058</v>
      </c>
      <c r="C1056" s="137" t="s">
        <v>372</v>
      </c>
      <c r="D1056" s="138">
        <v>12.89</v>
      </c>
      <c r="E1056" s="138">
        <v>0.67</v>
      </c>
      <c r="G1056" s="308" t="s">
        <v>373</v>
      </c>
      <c r="K1056" s="138">
        <f t="shared" si="27"/>
        <v>12.89</v>
      </c>
    </row>
    <row r="1057" spans="1:11">
      <c r="A1057" s="136">
        <v>42593</v>
      </c>
      <c r="B1057" s="307" t="s">
        <v>2995</v>
      </c>
      <c r="C1057" s="137" t="s">
        <v>372</v>
      </c>
      <c r="D1057" s="138">
        <v>90.12</v>
      </c>
      <c r="E1057" s="138">
        <v>4.7</v>
      </c>
      <c r="G1057" s="308" t="s">
        <v>378</v>
      </c>
      <c r="K1057" s="138">
        <f t="shared" si="27"/>
        <v>90.12</v>
      </c>
    </row>
    <row r="1058" spans="1:11">
      <c r="A1058" s="136">
        <v>42593</v>
      </c>
      <c r="B1058" s="307" t="s">
        <v>2996</v>
      </c>
      <c r="C1058" s="137" t="s">
        <v>2200</v>
      </c>
      <c r="D1058" s="138">
        <v>111.29</v>
      </c>
      <c r="E1058" s="138">
        <v>18.55</v>
      </c>
      <c r="G1058" s="308" t="s">
        <v>378</v>
      </c>
      <c r="K1058" s="138">
        <f t="shared" si="27"/>
        <v>111.29</v>
      </c>
    </row>
    <row r="1059" spans="1:11">
      <c r="A1059" s="136">
        <v>42593</v>
      </c>
      <c r="B1059" s="307" t="s">
        <v>3005</v>
      </c>
      <c r="C1059" s="137" t="s">
        <v>2200</v>
      </c>
      <c r="D1059" s="138">
        <v>17.760000000000002</v>
      </c>
      <c r="E1059" s="138">
        <v>2.96</v>
      </c>
      <c r="G1059" s="308" t="s">
        <v>373</v>
      </c>
      <c r="K1059" s="138">
        <f t="shared" si="27"/>
        <v>17.760000000000002</v>
      </c>
    </row>
    <row r="1060" spans="1:11">
      <c r="A1060" s="136">
        <v>42594</v>
      </c>
      <c r="B1060" s="307" t="s">
        <v>3010</v>
      </c>
      <c r="C1060" s="137" t="s">
        <v>2200</v>
      </c>
      <c r="D1060" s="138">
        <v>78.42</v>
      </c>
      <c r="E1060" s="138">
        <v>13.07</v>
      </c>
      <c r="G1060" s="308" t="s">
        <v>373</v>
      </c>
      <c r="K1060" s="138">
        <f t="shared" si="27"/>
        <v>78.42</v>
      </c>
    </row>
    <row r="1061" spans="1:11">
      <c r="A1061" s="136">
        <v>42594</v>
      </c>
      <c r="B1061" s="307" t="s">
        <v>3012</v>
      </c>
      <c r="C1061" s="137" t="s">
        <v>182</v>
      </c>
      <c r="D1061" s="138">
        <v>517.45000000000005</v>
      </c>
      <c r="E1061" s="138">
        <v>26.98</v>
      </c>
      <c r="G1061" s="308" t="s">
        <v>373</v>
      </c>
      <c r="I1061" s="138">
        <v>517.45000000000005</v>
      </c>
      <c r="J1061" s="137" t="s">
        <v>3429</v>
      </c>
      <c r="K1061" s="138">
        <f t="shared" si="27"/>
        <v>0</v>
      </c>
    </row>
    <row r="1062" spans="1:11">
      <c r="A1062" s="136">
        <v>42594</v>
      </c>
      <c r="B1062" s="307" t="s">
        <v>3032</v>
      </c>
      <c r="C1062" s="137" t="s">
        <v>187</v>
      </c>
      <c r="D1062" s="138">
        <v>237.41</v>
      </c>
      <c r="E1062" s="138">
        <v>16.010000000000002</v>
      </c>
      <c r="G1062" s="308" t="s">
        <v>373</v>
      </c>
      <c r="K1062" s="138">
        <f t="shared" si="27"/>
        <v>237.41</v>
      </c>
    </row>
    <row r="1063" spans="1:11">
      <c r="A1063" s="136">
        <v>42599</v>
      </c>
      <c r="B1063" s="307" t="s">
        <v>2997</v>
      </c>
      <c r="C1063" s="137" t="s">
        <v>2200</v>
      </c>
      <c r="D1063" s="138">
        <v>130.68</v>
      </c>
      <c r="E1063" s="138">
        <v>21.78</v>
      </c>
      <c r="G1063" s="308" t="s">
        <v>378</v>
      </c>
      <c r="K1063" s="138">
        <f t="shared" si="27"/>
        <v>130.68</v>
      </c>
    </row>
    <row r="1064" spans="1:11">
      <c r="A1064" s="136">
        <v>42599</v>
      </c>
      <c r="B1064" s="307" t="s">
        <v>2998</v>
      </c>
      <c r="C1064" s="137" t="s">
        <v>2200</v>
      </c>
      <c r="D1064" s="138">
        <v>593.84</v>
      </c>
      <c r="E1064" s="138">
        <v>32.92</v>
      </c>
      <c r="G1064" s="308" t="s">
        <v>378</v>
      </c>
      <c r="K1064" s="138">
        <f t="shared" si="27"/>
        <v>593.84</v>
      </c>
    </row>
    <row r="1065" spans="1:11">
      <c r="A1065" s="136">
        <v>42599</v>
      </c>
      <c r="B1065" s="307" t="s">
        <v>3008</v>
      </c>
      <c r="C1065" s="137" t="s">
        <v>2200</v>
      </c>
      <c r="D1065" s="138">
        <v>590.87</v>
      </c>
      <c r="E1065" s="138">
        <v>31.07</v>
      </c>
      <c r="G1065" s="308" t="s">
        <v>373</v>
      </c>
      <c r="K1065" s="138">
        <f t="shared" si="27"/>
        <v>590.87</v>
      </c>
    </row>
    <row r="1066" spans="1:11">
      <c r="A1066" s="136">
        <v>42599</v>
      </c>
      <c r="B1066" s="307" t="s">
        <v>3009</v>
      </c>
      <c r="C1066" s="137" t="s">
        <v>2200</v>
      </c>
      <c r="D1066" s="138">
        <v>75.58</v>
      </c>
      <c r="E1066" s="138">
        <v>4.13</v>
      </c>
      <c r="G1066" s="308" t="s">
        <v>373</v>
      </c>
      <c r="K1066" s="138">
        <f t="shared" si="27"/>
        <v>75.58</v>
      </c>
    </row>
    <row r="1067" spans="1:11">
      <c r="A1067" s="136">
        <v>42600</v>
      </c>
      <c r="B1067" s="307" t="s">
        <v>2994</v>
      </c>
      <c r="C1067" s="137" t="s">
        <v>2200</v>
      </c>
      <c r="D1067" s="138">
        <v>964.77</v>
      </c>
      <c r="E1067" s="138">
        <v>54.64</v>
      </c>
      <c r="G1067" s="308" t="s">
        <v>378</v>
      </c>
      <c r="K1067" s="138">
        <f t="shared" si="27"/>
        <v>964.77</v>
      </c>
    </row>
    <row r="1068" spans="1:11">
      <c r="A1068" s="136">
        <v>42600</v>
      </c>
      <c r="B1068" s="307" t="s">
        <v>3007</v>
      </c>
      <c r="C1068" s="137" t="s">
        <v>2200</v>
      </c>
      <c r="D1068" s="138">
        <v>113.23</v>
      </c>
      <c r="E1068" s="138">
        <v>12.86</v>
      </c>
      <c r="G1068" s="308" t="s">
        <v>373</v>
      </c>
      <c r="K1068" s="138">
        <f t="shared" si="27"/>
        <v>113.23</v>
      </c>
    </row>
    <row r="1069" spans="1:11">
      <c r="A1069" s="136">
        <v>42600</v>
      </c>
      <c r="B1069" s="307" t="s">
        <v>3011</v>
      </c>
      <c r="C1069" s="137" t="s">
        <v>372</v>
      </c>
      <c r="D1069" s="138">
        <v>4.7699999999999996</v>
      </c>
      <c r="E1069" s="138">
        <v>0.25</v>
      </c>
      <c r="G1069" s="308" t="s">
        <v>373</v>
      </c>
      <c r="K1069" s="138">
        <f t="shared" si="27"/>
        <v>4.7699999999999996</v>
      </c>
    </row>
    <row r="1070" spans="1:11">
      <c r="A1070" s="136">
        <v>42601</v>
      </c>
      <c r="B1070" s="307" t="s">
        <v>3000</v>
      </c>
      <c r="C1070" s="137" t="s">
        <v>2200</v>
      </c>
      <c r="D1070" s="138">
        <v>563.64</v>
      </c>
      <c r="E1070" s="138">
        <v>31.59</v>
      </c>
      <c r="G1070" s="308" t="s">
        <v>378</v>
      </c>
      <c r="K1070" s="138">
        <f t="shared" si="27"/>
        <v>563.64</v>
      </c>
    </row>
    <row r="1071" spans="1:11">
      <c r="A1071" s="136">
        <v>42601</v>
      </c>
      <c r="B1071" s="307" t="s">
        <v>3001</v>
      </c>
      <c r="C1071" s="137" t="s">
        <v>2200</v>
      </c>
      <c r="D1071" s="138">
        <v>41.99</v>
      </c>
      <c r="E1071" s="138">
        <v>2.46</v>
      </c>
      <c r="G1071" s="308" t="s">
        <v>378</v>
      </c>
      <c r="K1071" s="138">
        <f t="shared" si="27"/>
        <v>41.99</v>
      </c>
    </row>
    <row r="1072" spans="1:11">
      <c r="A1072" s="136">
        <v>42601</v>
      </c>
      <c r="B1072" s="307" t="s">
        <v>3002</v>
      </c>
      <c r="C1072" s="137" t="s">
        <v>372</v>
      </c>
      <c r="D1072" s="378">
        <v>29.33</v>
      </c>
      <c r="E1072" s="138">
        <v>1.53</v>
      </c>
      <c r="G1072" s="308" t="s">
        <v>378</v>
      </c>
      <c r="K1072" s="138">
        <f t="shared" si="27"/>
        <v>29.33</v>
      </c>
    </row>
    <row r="1073" spans="1:11">
      <c r="A1073" s="136">
        <v>42601</v>
      </c>
      <c r="B1073" s="307" t="s">
        <v>3003</v>
      </c>
      <c r="C1073" s="137" t="s">
        <v>372</v>
      </c>
      <c r="D1073" s="138">
        <v>129.91</v>
      </c>
      <c r="E1073" s="138">
        <v>6.77</v>
      </c>
      <c r="G1073" s="308" t="s">
        <v>378</v>
      </c>
      <c r="K1073" s="138">
        <f t="shared" si="27"/>
        <v>129.91</v>
      </c>
    </row>
    <row r="1074" spans="1:11">
      <c r="A1074" s="136">
        <v>42601</v>
      </c>
      <c r="B1074" s="307" t="s">
        <v>3036</v>
      </c>
      <c r="C1074" s="137" t="s">
        <v>187</v>
      </c>
      <c r="D1074" s="138">
        <v>891.68</v>
      </c>
      <c r="E1074" s="138">
        <v>50.88</v>
      </c>
      <c r="G1074" s="308" t="s">
        <v>378</v>
      </c>
      <c r="K1074" s="138">
        <f t="shared" si="27"/>
        <v>891.68</v>
      </c>
    </row>
    <row r="1075" spans="1:11">
      <c r="A1075" s="136">
        <v>42601</v>
      </c>
      <c r="B1075" s="307" t="s">
        <v>3061</v>
      </c>
      <c r="C1075" s="137" t="s">
        <v>187</v>
      </c>
      <c r="D1075" s="138">
        <v>237.38</v>
      </c>
      <c r="E1075" s="138">
        <v>12.38</v>
      </c>
      <c r="G1075" s="308" t="s">
        <v>373</v>
      </c>
      <c r="K1075" s="138">
        <f t="shared" si="27"/>
        <v>237.38</v>
      </c>
    </row>
    <row r="1076" spans="1:11">
      <c r="A1076" s="136">
        <v>42601</v>
      </c>
      <c r="B1076" s="307" t="s">
        <v>3209</v>
      </c>
      <c r="C1076" s="137" t="s">
        <v>2719</v>
      </c>
      <c r="D1076" s="378">
        <v>695.6</v>
      </c>
      <c r="E1076" s="378">
        <v>96.3</v>
      </c>
      <c r="F1076" s="309"/>
      <c r="G1076" s="308" t="s">
        <v>373</v>
      </c>
      <c r="I1076" s="378"/>
      <c r="J1076" s="137" t="s">
        <v>3208</v>
      </c>
      <c r="K1076" s="138">
        <f t="shared" si="27"/>
        <v>695.6</v>
      </c>
    </row>
    <row r="1077" spans="1:11">
      <c r="A1077" s="136">
        <v>42602</v>
      </c>
      <c r="B1077" s="307" t="s">
        <v>3014</v>
      </c>
      <c r="C1077" s="137" t="s">
        <v>372</v>
      </c>
      <c r="D1077" s="138">
        <v>267.95</v>
      </c>
      <c r="E1077" s="138">
        <v>13.97</v>
      </c>
      <c r="G1077" s="308" t="s">
        <v>378</v>
      </c>
      <c r="K1077" s="138">
        <f t="shared" si="27"/>
        <v>267.95</v>
      </c>
    </row>
    <row r="1078" spans="1:11">
      <c r="A1078" s="136">
        <v>42602</v>
      </c>
      <c r="B1078" s="307" t="s">
        <v>3015</v>
      </c>
      <c r="C1078" s="137" t="s">
        <v>372</v>
      </c>
      <c r="D1078" s="138">
        <v>66.319999999999993</v>
      </c>
      <c r="E1078" s="138">
        <v>3.46</v>
      </c>
      <c r="G1078" s="308" t="s">
        <v>378</v>
      </c>
      <c r="K1078" s="138">
        <f t="shared" si="27"/>
        <v>66.319999999999993</v>
      </c>
    </row>
    <row r="1079" spans="1:11">
      <c r="A1079" s="136">
        <v>42604</v>
      </c>
      <c r="B1079" s="307" t="s">
        <v>3013</v>
      </c>
      <c r="C1079" s="137" t="s">
        <v>372</v>
      </c>
      <c r="D1079" s="138">
        <v>75.959999999999994</v>
      </c>
      <c r="E1079" s="138">
        <v>3.96</v>
      </c>
      <c r="G1079" s="308" t="s">
        <v>378</v>
      </c>
      <c r="K1079" s="138">
        <f t="shared" si="27"/>
        <v>75.959999999999994</v>
      </c>
    </row>
    <row r="1080" spans="1:11">
      <c r="A1080" s="136">
        <v>42604</v>
      </c>
      <c r="B1080" s="307" t="s">
        <v>3016</v>
      </c>
      <c r="C1080" s="137" t="s">
        <v>2200</v>
      </c>
      <c r="D1080" s="138">
        <v>1109.0899999999999</v>
      </c>
      <c r="E1080" s="138">
        <v>81.89</v>
      </c>
      <c r="G1080" s="308" t="s">
        <v>378</v>
      </c>
      <c r="K1080" s="138">
        <f t="shared" si="27"/>
        <v>1109.0899999999999</v>
      </c>
    </row>
    <row r="1081" spans="1:11">
      <c r="A1081" s="136">
        <v>42604</v>
      </c>
      <c r="B1081" s="307" t="s">
        <v>3030</v>
      </c>
      <c r="C1081" s="137" t="s">
        <v>372</v>
      </c>
      <c r="D1081" s="138">
        <v>3.17</v>
      </c>
      <c r="E1081" s="138">
        <v>0.17</v>
      </c>
      <c r="G1081" s="308" t="s">
        <v>373</v>
      </c>
      <c r="K1081" s="138">
        <f t="shared" si="27"/>
        <v>3.17</v>
      </c>
    </row>
    <row r="1082" spans="1:11">
      <c r="A1082" s="136">
        <v>42604</v>
      </c>
      <c r="B1082" s="307" t="s">
        <v>3062</v>
      </c>
      <c r="C1082" s="137" t="s">
        <v>187</v>
      </c>
      <c r="D1082" s="138">
        <v>130.03</v>
      </c>
      <c r="E1082" s="138">
        <v>6.78</v>
      </c>
      <c r="G1082" s="308" t="s">
        <v>373</v>
      </c>
      <c r="K1082" s="138">
        <f t="shared" si="27"/>
        <v>130.03</v>
      </c>
    </row>
    <row r="1083" spans="1:11">
      <c r="A1083" s="136">
        <v>42604</v>
      </c>
      <c r="B1083" s="307" t="s">
        <v>3119</v>
      </c>
      <c r="C1083" s="137" t="s">
        <v>2719</v>
      </c>
      <c r="D1083" s="138">
        <v>358.8</v>
      </c>
      <c r="E1083" s="138">
        <v>59.8</v>
      </c>
      <c r="G1083" s="308" t="s">
        <v>373</v>
      </c>
      <c r="K1083" s="138">
        <f t="shared" si="27"/>
        <v>358.8</v>
      </c>
    </row>
    <row r="1084" spans="1:11">
      <c r="A1084" s="136">
        <v>42604</v>
      </c>
      <c r="B1084" s="307" t="s">
        <v>3120</v>
      </c>
      <c r="C1084" s="137" t="s">
        <v>2719</v>
      </c>
      <c r="D1084" s="138">
        <v>202.56</v>
      </c>
      <c r="E1084" s="138">
        <v>10.56</v>
      </c>
      <c r="G1084" s="308" t="s">
        <v>373</v>
      </c>
      <c r="K1084" s="138">
        <f t="shared" si="27"/>
        <v>202.56</v>
      </c>
    </row>
    <row r="1085" spans="1:11">
      <c r="A1085" s="136">
        <v>42605</v>
      </c>
      <c r="B1085" s="307" t="s">
        <v>3026</v>
      </c>
      <c r="C1085" s="137" t="s">
        <v>852</v>
      </c>
      <c r="D1085" s="138">
        <v>415.25</v>
      </c>
      <c r="E1085" s="138">
        <v>21.65</v>
      </c>
      <c r="G1085" s="308" t="s">
        <v>378</v>
      </c>
      <c r="K1085" s="138">
        <f t="shared" si="27"/>
        <v>415.25</v>
      </c>
    </row>
    <row r="1086" spans="1:11">
      <c r="A1086" s="136">
        <v>42605</v>
      </c>
      <c r="B1086" s="307" t="s">
        <v>3033</v>
      </c>
      <c r="C1086" s="137" t="s">
        <v>2200</v>
      </c>
      <c r="D1086" s="138">
        <v>1051.8399999999999</v>
      </c>
      <c r="E1086" s="138">
        <v>58.92</v>
      </c>
      <c r="G1086" s="308" t="s">
        <v>378</v>
      </c>
      <c r="K1086" s="138">
        <f t="shared" si="27"/>
        <v>1051.8399999999999</v>
      </c>
    </row>
    <row r="1087" spans="1:11">
      <c r="A1087" s="136">
        <v>42605</v>
      </c>
      <c r="B1087" s="307" t="s">
        <v>3034</v>
      </c>
      <c r="C1087" s="137" t="s">
        <v>372</v>
      </c>
      <c r="D1087" s="138">
        <v>79.53</v>
      </c>
      <c r="E1087" s="138">
        <v>4.1500000000000004</v>
      </c>
      <c r="G1087" s="308" t="s">
        <v>378</v>
      </c>
      <c r="K1087" s="138">
        <f t="shared" si="27"/>
        <v>79.53</v>
      </c>
    </row>
    <row r="1088" spans="1:11">
      <c r="A1088" s="136">
        <v>42605</v>
      </c>
      <c r="B1088" s="307" t="s">
        <v>3035</v>
      </c>
      <c r="C1088" s="137" t="s">
        <v>372</v>
      </c>
      <c r="D1088" s="138">
        <v>110.49</v>
      </c>
      <c r="E1088" s="138">
        <v>5.76</v>
      </c>
      <c r="G1088" s="308" t="s">
        <v>378</v>
      </c>
      <c r="K1088" s="138">
        <f t="shared" si="27"/>
        <v>110.49</v>
      </c>
    </row>
    <row r="1089" spans="1:11">
      <c r="A1089" s="136">
        <v>42605</v>
      </c>
      <c r="B1089" s="307" t="s">
        <v>3031</v>
      </c>
      <c r="C1089" s="137" t="s">
        <v>372</v>
      </c>
      <c r="D1089" s="138">
        <v>12.34</v>
      </c>
      <c r="E1089" s="138">
        <v>0.64</v>
      </c>
      <c r="G1089" s="308" t="s">
        <v>373</v>
      </c>
      <c r="K1089" s="138">
        <f t="shared" si="27"/>
        <v>12.34</v>
      </c>
    </row>
    <row r="1090" spans="1:11">
      <c r="A1090" s="136">
        <v>42605</v>
      </c>
      <c r="B1090" s="307" t="s">
        <v>3066</v>
      </c>
      <c r="C1090" s="137" t="s">
        <v>2719</v>
      </c>
      <c r="D1090" s="138">
        <v>202.56</v>
      </c>
      <c r="E1090" s="138">
        <v>10.56</v>
      </c>
      <c r="G1090" s="308" t="s">
        <v>373</v>
      </c>
      <c r="J1090" s="137" t="s">
        <v>3208</v>
      </c>
      <c r="K1090" s="138">
        <f t="shared" si="27"/>
        <v>202.56</v>
      </c>
    </row>
    <row r="1091" spans="1:11">
      <c r="A1091" s="136">
        <v>42605</v>
      </c>
      <c r="B1091" s="307" t="s">
        <v>3067</v>
      </c>
      <c r="C1091" s="137" t="s">
        <v>2719</v>
      </c>
      <c r="D1091" s="138">
        <v>358.8</v>
      </c>
      <c r="E1091" s="138">
        <v>59.8</v>
      </c>
      <c r="G1091" s="308" t="s">
        <v>373</v>
      </c>
      <c r="J1091" s="137" t="s">
        <v>3208</v>
      </c>
      <c r="K1091" s="138">
        <f t="shared" si="27"/>
        <v>358.8</v>
      </c>
    </row>
    <row r="1092" spans="1:11">
      <c r="A1092" s="136">
        <v>42606</v>
      </c>
      <c r="B1092" s="307" t="s">
        <v>3017</v>
      </c>
      <c r="C1092" s="137" t="s">
        <v>2200</v>
      </c>
      <c r="D1092" s="138">
        <v>930.24</v>
      </c>
      <c r="E1092" s="138">
        <v>63.01</v>
      </c>
      <c r="G1092" s="308" t="s">
        <v>378</v>
      </c>
      <c r="K1092" s="138">
        <f t="shared" si="27"/>
        <v>930.24</v>
      </c>
    </row>
    <row r="1093" spans="1:11">
      <c r="A1093" s="136">
        <v>42606</v>
      </c>
      <c r="B1093" s="307" t="s">
        <v>3018</v>
      </c>
      <c r="C1093" s="137" t="s">
        <v>2200</v>
      </c>
      <c r="D1093" s="138">
        <v>1278.57</v>
      </c>
      <c r="E1093" s="138">
        <v>69.739999999999995</v>
      </c>
      <c r="G1093" s="308" t="s">
        <v>378</v>
      </c>
      <c r="K1093" s="138">
        <f t="shared" si="27"/>
        <v>1278.57</v>
      </c>
    </row>
    <row r="1094" spans="1:11">
      <c r="A1094" s="136">
        <v>42606</v>
      </c>
      <c r="B1094" s="307" t="s">
        <v>3027</v>
      </c>
      <c r="C1094" s="137" t="s">
        <v>182</v>
      </c>
      <c r="D1094" s="138">
        <v>915.81</v>
      </c>
      <c r="E1094" s="138">
        <v>47.74</v>
      </c>
      <c r="G1094" s="308" t="s">
        <v>378</v>
      </c>
      <c r="I1094" s="138">
        <v>915.81</v>
      </c>
      <c r="J1094" s="137" t="s">
        <v>3412</v>
      </c>
      <c r="K1094" s="138">
        <f t="shared" si="27"/>
        <v>0</v>
      </c>
    </row>
    <row r="1095" spans="1:11">
      <c r="A1095" s="136">
        <v>42606</v>
      </c>
      <c r="B1095" s="307" t="s">
        <v>3028</v>
      </c>
      <c r="C1095" s="137" t="s">
        <v>2200</v>
      </c>
      <c r="D1095" s="138">
        <v>700.85</v>
      </c>
      <c r="E1095" s="138">
        <v>37.130000000000003</v>
      </c>
      <c r="G1095" s="308" t="s">
        <v>373</v>
      </c>
      <c r="K1095" s="138">
        <f t="shared" si="27"/>
        <v>700.85</v>
      </c>
    </row>
    <row r="1096" spans="1:11">
      <c r="A1096" s="136">
        <v>42606</v>
      </c>
      <c r="B1096" s="307" t="s">
        <v>3029</v>
      </c>
      <c r="C1096" s="137" t="s">
        <v>2200</v>
      </c>
      <c r="D1096" s="138">
        <v>138.28</v>
      </c>
      <c r="E1096" s="138">
        <v>23.05</v>
      </c>
      <c r="G1096" s="308" t="s">
        <v>373</v>
      </c>
      <c r="K1096" s="138">
        <f t="shared" si="27"/>
        <v>138.28</v>
      </c>
    </row>
    <row r="1097" spans="1:11">
      <c r="A1097" s="136">
        <v>42606</v>
      </c>
      <c r="B1097" s="307" t="s">
        <v>3041</v>
      </c>
      <c r="C1097" s="137" t="s">
        <v>187</v>
      </c>
      <c r="D1097" s="138">
        <v>1056.69</v>
      </c>
      <c r="E1097" s="138">
        <v>65.040000000000006</v>
      </c>
      <c r="G1097" s="308" t="s">
        <v>378</v>
      </c>
      <c r="K1097" s="138">
        <f t="shared" si="27"/>
        <v>1056.69</v>
      </c>
    </row>
    <row r="1098" spans="1:11">
      <c r="A1098" s="136">
        <v>42607</v>
      </c>
      <c r="B1098" s="307" t="s">
        <v>3022</v>
      </c>
      <c r="C1098" s="137" t="s">
        <v>2200</v>
      </c>
      <c r="D1098" s="138">
        <v>426.65</v>
      </c>
      <c r="E1098" s="138">
        <v>27.3</v>
      </c>
      <c r="G1098" s="308" t="s">
        <v>378</v>
      </c>
      <c r="K1098" s="138">
        <f t="shared" si="27"/>
        <v>426.65</v>
      </c>
    </row>
    <row r="1099" spans="1:11">
      <c r="A1099" s="136">
        <v>42607</v>
      </c>
      <c r="B1099" s="307" t="s">
        <v>3023</v>
      </c>
      <c r="C1099" s="137" t="s">
        <v>2200</v>
      </c>
      <c r="D1099" s="138">
        <v>47.19</v>
      </c>
      <c r="E1099" s="138">
        <v>2.46</v>
      </c>
      <c r="G1099" s="308" t="s">
        <v>378</v>
      </c>
      <c r="K1099" s="138">
        <f t="shared" si="27"/>
        <v>47.19</v>
      </c>
    </row>
    <row r="1100" spans="1:11">
      <c r="A1100" s="136">
        <v>42607</v>
      </c>
      <c r="B1100" s="307" t="s">
        <v>3024</v>
      </c>
      <c r="C1100" s="137" t="s">
        <v>2200</v>
      </c>
      <c r="D1100" s="138">
        <v>71.53</v>
      </c>
      <c r="E1100" s="138">
        <v>3.73</v>
      </c>
      <c r="G1100" s="308" t="s">
        <v>378</v>
      </c>
      <c r="K1100" s="138">
        <f t="shared" si="27"/>
        <v>71.53</v>
      </c>
    </row>
    <row r="1101" spans="1:11">
      <c r="A1101" s="136">
        <v>42607</v>
      </c>
      <c r="B1101" s="307" t="s">
        <v>3054</v>
      </c>
      <c r="C1101" s="137" t="s">
        <v>372</v>
      </c>
      <c r="D1101" s="138">
        <v>20.53</v>
      </c>
      <c r="E1101" s="138">
        <v>1.07</v>
      </c>
      <c r="G1101" s="308" t="s">
        <v>373</v>
      </c>
      <c r="K1101" s="138">
        <f t="shared" si="27"/>
        <v>20.53</v>
      </c>
    </row>
    <row r="1102" spans="1:11">
      <c r="A1102" s="136">
        <v>42607</v>
      </c>
      <c r="B1102" s="307" t="s">
        <v>3063</v>
      </c>
      <c r="C1102" s="137" t="s">
        <v>186</v>
      </c>
      <c r="D1102" s="138">
        <v>30.84</v>
      </c>
      <c r="E1102" s="138">
        <v>1.61</v>
      </c>
      <c r="G1102" s="308" t="s">
        <v>373</v>
      </c>
      <c r="K1102" s="138">
        <f t="shared" si="27"/>
        <v>30.84</v>
      </c>
    </row>
    <row r="1103" spans="1:11">
      <c r="A1103" s="136">
        <v>42607</v>
      </c>
      <c r="B1103" s="307" t="s">
        <v>3064</v>
      </c>
      <c r="C1103" s="137" t="s">
        <v>2200</v>
      </c>
      <c r="D1103" s="138">
        <v>25.15</v>
      </c>
      <c r="E1103" s="138">
        <v>2.4300000000000002</v>
      </c>
      <c r="G1103" s="308" t="s">
        <v>373</v>
      </c>
      <c r="K1103" s="138">
        <f t="shared" si="27"/>
        <v>25.15</v>
      </c>
    </row>
    <row r="1104" spans="1:11">
      <c r="A1104" s="136">
        <v>42607</v>
      </c>
      <c r="B1104" s="307" t="s">
        <v>3065</v>
      </c>
      <c r="C1104" s="137" t="s">
        <v>2200</v>
      </c>
      <c r="D1104" s="138">
        <v>114.13</v>
      </c>
      <c r="E1104" s="138">
        <v>12.04</v>
      </c>
      <c r="G1104" s="308" t="s">
        <v>373</v>
      </c>
      <c r="K1104" s="138">
        <f t="shared" si="27"/>
        <v>114.13</v>
      </c>
    </row>
    <row r="1105" spans="1:11">
      <c r="A1105" s="136">
        <v>42608</v>
      </c>
      <c r="B1105" s="307" t="s">
        <v>3019</v>
      </c>
      <c r="C1105" s="137" t="s">
        <v>2200</v>
      </c>
      <c r="D1105" s="138">
        <v>1239.8699999999999</v>
      </c>
      <c r="E1105" s="138">
        <v>88.72</v>
      </c>
      <c r="G1105" s="308" t="s">
        <v>378</v>
      </c>
      <c r="K1105" s="138">
        <f t="shared" si="27"/>
        <v>1239.8699999999999</v>
      </c>
    </row>
    <row r="1106" spans="1:11">
      <c r="A1106" s="136">
        <v>42608</v>
      </c>
      <c r="B1106" s="307" t="s">
        <v>3020</v>
      </c>
      <c r="C1106" s="137" t="s">
        <v>2200</v>
      </c>
      <c r="D1106" s="138">
        <v>17.93</v>
      </c>
      <c r="E1106" s="138">
        <v>2.99</v>
      </c>
      <c r="G1106" s="308" t="s">
        <v>378</v>
      </c>
      <c r="K1106" s="138">
        <f t="shared" si="27"/>
        <v>17.93</v>
      </c>
    </row>
    <row r="1107" spans="1:11">
      <c r="A1107" s="136">
        <v>42608</v>
      </c>
      <c r="B1107" s="307" t="s">
        <v>3021</v>
      </c>
      <c r="C1107" s="137" t="s">
        <v>2200</v>
      </c>
      <c r="D1107" s="138">
        <v>96.48</v>
      </c>
      <c r="E1107" s="138">
        <v>16.079999999999998</v>
      </c>
      <c r="G1107" s="308" t="s">
        <v>378</v>
      </c>
      <c r="K1107" s="138">
        <f t="shared" ref="K1107:K1170" si="28">IF(D1107&lt;&gt;"",D1107-I1107,"")</f>
        <v>96.48</v>
      </c>
    </row>
    <row r="1108" spans="1:11">
      <c r="A1108" s="136">
        <v>42608</v>
      </c>
      <c r="B1108" s="307" t="s">
        <v>3025</v>
      </c>
      <c r="C1108" s="137" t="s">
        <v>2200</v>
      </c>
      <c r="D1108" s="138">
        <v>175.77</v>
      </c>
      <c r="E1108" s="138">
        <v>9.16</v>
      </c>
      <c r="G1108" s="308" t="s">
        <v>378</v>
      </c>
      <c r="K1108" s="138">
        <f t="shared" si="28"/>
        <v>175.77</v>
      </c>
    </row>
    <row r="1109" spans="1:11">
      <c r="A1109" s="136">
        <v>42608</v>
      </c>
      <c r="B1109" s="307" t="s">
        <v>3055</v>
      </c>
      <c r="C1109" s="137" t="s">
        <v>2200</v>
      </c>
      <c r="D1109" s="138">
        <v>78.39</v>
      </c>
      <c r="E1109" s="138">
        <v>4.3600000000000003</v>
      </c>
      <c r="G1109" s="308" t="s">
        <v>373</v>
      </c>
      <c r="K1109" s="138">
        <f t="shared" si="28"/>
        <v>78.39</v>
      </c>
    </row>
    <row r="1110" spans="1:11">
      <c r="A1110" s="136">
        <v>42608</v>
      </c>
      <c r="B1110" s="307" t="s">
        <v>3056</v>
      </c>
      <c r="C1110" s="137" t="s">
        <v>2200</v>
      </c>
      <c r="D1110" s="138">
        <v>752.45</v>
      </c>
      <c r="E1110" s="138">
        <v>39.21</v>
      </c>
      <c r="G1110" s="308" t="s">
        <v>373</v>
      </c>
      <c r="K1110" s="138">
        <f t="shared" si="28"/>
        <v>752.45</v>
      </c>
    </row>
    <row r="1111" spans="1:11">
      <c r="A1111" s="136">
        <v>42608</v>
      </c>
      <c r="B1111" s="307" t="s">
        <v>3117</v>
      </c>
      <c r="C1111" s="137" t="s">
        <v>187</v>
      </c>
      <c r="D1111" s="138">
        <v>448.43</v>
      </c>
      <c r="E1111" s="138">
        <v>23.38</v>
      </c>
      <c r="G1111" s="308" t="s">
        <v>373</v>
      </c>
      <c r="K1111" s="138">
        <f t="shared" si="28"/>
        <v>448.43</v>
      </c>
    </row>
    <row r="1112" spans="1:11">
      <c r="A1112" s="136">
        <v>42609</v>
      </c>
      <c r="B1112" s="307" t="s">
        <v>3047</v>
      </c>
      <c r="C1112" s="137" t="s">
        <v>372</v>
      </c>
      <c r="D1112" s="138">
        <v>200.12</v>
      </c>
      <c r="E1112" s="138">
        <v>10.43</v>
      </c>
      <c r="G1112" s="308" t="s">
        <v>378</v>
      </c>
      <c r="K1112" s="138">
        <f t="shared" si="28"/>
        <v>200.12</v>
      </c>
    </row>
    <row r="1113" spans="1:11">
      <c r="A1113" s="136">
        <v>42611</v>
      </c>
      <c r="B1113" s="307" t="s">
        <v>3044</v>
      </c>
      <c r="C1113" s="137" t="s">
        <v>372</v>
      </c>
      <c r="D1113" s="138">
        <v>90.99</v>
      </c>
      <c r="E1113" s="138">
        <v>4.74</v>
      </c>
      <c r="G1113" s="308" t="s">
        <v>378</v>
      </c>
      <c r="K1113" s="138">
        <f t="shared" si="28"/>
        <v>90.99</v>
      </c>
    </row>
    <row r="1114" spans="1:11">
      <c r="A1114" s="136">
        <v>42611</v>
      </c>
      <c r="B1114" s="307" t="s">
        <v>3048</v>
      </c>
      <c r="C1114" s="137" t="s">
        <v>2200</v>
      </c>
      <c r="D1114" s="138">
        <v>937.55</v>
      </c>
      <c r="E1114" s="138">
        <v>57.3</v>
      </c>
      <c r="G1114" s="308" t="s">
        <v>378</v>
      </c>
      <c r="K1114" s="138">
        <f t="shared" si="28"/>
        <v>937.55</v>
      </c>
    </row>
    <row r="1115" spans="1:11">
      <c r="A1115" s="136">
        <v>42611</v>
      </c>
      <c r="B1115" s="307" t="s">
        <v>3049</v>
      </c>
      <c r="C1115" s="137" t="s">
        <v>2200</v>
      </c>
      <c r="D1115" s="138">
        <v>27.19</v>
      </c>
      <c r="E1115" s="138">
        <v>4.53</v>
      </c>
      <c r="G1115" s="308" t="s">
        <v>378</v>
      </c>
      <c r="K1115" s="138">
        <f t="shared" si="28"/>
        <v>27.19</v>
      </c>
    </row>
    <row r="1116" spans="1:11">
      <c r="A1116" s="136">
        <v>42611</v>
      </c>
      <c r="B1116" s="307" t="s">
        <v>3050</v>
      </c>
      <c r="C1116" s="137" t="s">
        <v>372</v>
      </c>
      <c r="D1116" s="138">
        <v>70.58</v>
      </c>
      <c r="E1116" s="138">
        <v>3.68</v>
      </c>
      <c r="G1116" s="308" t="s">
        <v>378</v>
      </c>
      <c r="K1116" s="138">
        <f t="shared" si="28"/>
        <v>70.58</v>
      </c>
    </row>
    <row r="1117" spans="1:11">
      <c r="A1117" s="136">
        <v>42611</v>
      </c>
      <c r="B1117" s="307" t="s">
        <v>3051</v>
      </c>
      <c r="C1117" s="137" t="s">
        <v>372</v>
      </c>
      <c r="D1117" s="138">
        <v>90.77</v>
      </c>
      <c r="E1117" s="138">
        <v>4.7300000000000004</v>
      </c>
      <c r="G1117" s="308" t="s">
        <v>378</v>
      </c>
      <c r="K1117" s="138">
        <f t="shared" si="28"/>
        <v>90.77</v>
      </c>
    </row>
    <row r="1118" spans="1:11">
      <c r="A1118" s="136">
        <v>42611</v>
      </c>
      <c r="B1118" s="307" t="s">
        <v>3057</v>
      </c>
      <c r="C1118" s="137" t="s">
        <v>187</v>
      </c>
      <c r="D1118" s="138">
        <v>781.76</v>
      </c>
      <c r="E1118" s="138">
        <v>40.76</v>
      </c>
      <c r="G1118" s="308" t="s">
        <v>378</v>
      </c>
      <c r="K1118" s="138">
        <f t="shared" si="28"/>
        <v>781.76</v>
      </c>
    </row>
    <row r="1119" spans="1:11">
      <c r="A1119" s="136">
        <v>42611</v>
      </c>
      <c r="B1119" s="307" t="s">
        <v>3053</v>
      </c>
      <c r="C1119" s="137" t="s">
        <v>372</v>
      </c>
      <c r="D1119" s="138">
        <v>27.66</v>
      </c>
      <c r="E1119" s="138">
        <v>1.44</v>
      </c>
      <c r="G1119" s="308" t="s">
        <v>373</v>
      </c>
      <c r="K1119" s="138">
        <f t="shared" si="28"/>
        <v>27.66</v>
      </c>
    </row>
    <row r="1120" spans="1:11">
      <c r="A1120" s="136">
        <v>42612</v>
      </c>
      <c r="B1120" s="307" t="s">
        <v>3042</v>
      </c>
      <c r="C1120" s="137" t="s">
        <v>2200</v>
      </c>
      <c r="D1120" s="138">
        <v>2431.8000000000002</v>
      </c>
      <c r="E1120" s="138">
        <v>178.72</v>
      </c>
      <c r="G1120" s="308" t="s">
        <v>378</v>
      </c>
      <c r="K1120" s="138">
        <f t="shared" si="28"/>
        <v>2431.8000000000002</v>
      </c>
    </row>
    <row r="1121" spans="1:11">
      <c r="A1121" s="136">
        <v>42612</v>
      </c>
      <c r="B1121" s="307" t="s">
        <v>3043</v>
      </c>
      <c r="C1121" s="137" t="s">
        <v>372</v>
      </c>
      <c r="D1121" s="138">
        <v>50.39</v>
      </c>
      <c r="E1121" s="138">
        <v>2.63</v>
      </c>
      <c r="G1121" s="308" t="s">
        <v>378</v>
      </c>
      <c r="K1121" s="138">
        <f t="shared" si="28"/>
        <v>50.39</v>
      </c>
    </row>
    <row r="1122" spans="1:11">
      <c r="A1122" s="136">
        <v>42612</v>
      </c>
      <c r="B1122" s="307" t="s">
        <v>3106</v>
      </c>
      <c r="C1122" s="137" t="s">
        <v>187</v>
      </c>
      <c r="D1122" s="138">
        <v>376.67</v>
      </c>
      <c r="E1122" s="138">
        <v>23.27</v>
      </c>
      <c r="G1122" s="308" t="s">
        <v>378</v>
      </c>
      <c r="K1122" s="138">
        <f t="shared" si="28"/>
        <v>376.67</v>
      </c>
    </row>
    <row r="1123" spans="1:11">
      <c r="A1123" s="136">
        <v>42613</v>
      </c>
      <c r="B1123" s="307" t="s">
        <v>3052</v>
      </c>
      <c r="C1123" s="137" t="s">
        <v>372</v>
      </c>
      <c r="D1123" s="138">
        <v>129.97999999999999</v>
      </c>
      <c r="E1123" s="138">
        <v>6.78</v>
      </c>
      <c r="G1123" s="308" t="s">
        <v>378</v>
      </c>
      <c r="K1123" s="138">
        <f t="shared" si="28"/>
        <v>129.97999999999999</v>
      </c>
    </row>
    <row r="1124" spans="1:11">
      <c r="A1124" s="136">
        <v>42613</v>
      </c>
      <c r="B1124" s="307" t="s">
        <v>3068</v>
      </c>
      <c r="C1124" s="137" t="s">
        <v>182</v>
      </c>
      <c r="D1124" s="138">
        <v>231.54</v>
      </c>
      <c r="E1124" s="138">
        <v>12.07</v>
      </c>
      <c r="G1124" s="308" t="s">
        <v>378</v>
      </c>
      <c r="I1124" s="138">
        <v>231.54</v>
      </c>
      <c r="J1124" s="137" t="s">
        <v>3412</v>
      </c>
      <c r="K1124" s="138">
        <f t="shared" si="28"/>
        <v>0</v>
      </c>
    </row>
    <row r="1125" spans="1:11">
      <c r="A1125" s="136">
        <v>42613</v>
      </c>
      <c r="B1125" s="307" t="s">
        <v>3183</v>
      </c>
      <c r="C1125" s="137" t="s">
        <v>372</v>
      </c>
      <c r="D1125" s="138">
        <v>8.86</v>
      </c>
      <c r="E1125" s="138">
        <v>0.46</v>
      </c>
      <c r="G1125" s="308" t="s">
        <v>373</v>
      </c>
      <c r="K1125" s="138">
        <f t="shared" si="28"/>
        <v>8.86</v>
      </c>
    </row>
    <row r="1126" spans="1:11">
      <c r="A1126" s="136">
        <v>42613</v>
      </c>
      <c r="B1126" s="307" t="s">
        <v>3184</v>
      </c>
      <c r="C1126" s="137" t="s">
        <v>372</v>
      </c>
      <c r="D1126" s="138">
        <v>21.59</v>
      </c>
      <c r="E1126" s="138">
        <v>1.1299999999999999</v>
      </c>
      <c r="G1126" s="308" t="s">
        <v>373</v>
      </c>
      <c r="K1126" s="138">
        <f t="shared" si="28"/>
        <v>21.59</v>
      </c>
    </row>
    <row r="1127" spans="1:11">
      <c r="A1127" s="136">
        <v>42613</v>
      </c>
      <c r="B1127" s="307" t="s">
        <v>3185</v>
      </c>
      <c r="C1127" s="137" t="s">
        <v>2200</v>
      </c>
      <c r="D1127" s="138">
        <v>1600.98</v>
      </c>
      <c r="E1127" s="138">
        <v>106.04</v>
      </c>
      <c r="G1127" s="308" t="s">
        <v>373</v>
      </c>
      <c r="K1127" s="138">
        <f t="shared" si="28"/>
        <v>1600.98</v>
      </c>
    </row>
    <row r="1128" spans="1:11">
      <c r="A1128" s="136">
        <v>42614</v>
      </c>
      <c r="B1128" s="307" t="s">
        <v>3113</v>
      </c>
      <c r="C1128" s="137" t="s">
        <v>2200</v>
      </c>
      <c r="D1128" s="138">
        <v>653.38</v>
      </c>
      <c r="E1128" s="138">
        <v>34.06</v>
      </c>
      <c r="G1128" s="308" t="s">
        <v>378</v>
      </c>
      <c r="K1128" s="138">
        <f t="shared" si="28"/>
        <v>653.38</v>
      </c>
    </row>
    <row r="1129" spans="1:11">
      <c r="A1129" s="136">
        <v>42614</v>
      </c>
      <c r="B1129" s="307" t="s">
        <v>3182</v>
      </c>
      <c r="C1129" s="137" t="s">
        <v>187</v>
      </c>
      <c r="D1129" s="138">
        <v>915.12</v>
      </c>
      <c r="E1129" s="138">
        <v>60.87</v>
      </c>
      <c r="G1129" s="308" t="s">
        <v>373</v>
      </c>
      <c r="K1129" s="138">
        <f t="shared" si="28"/>
        <v>915.12</v>
      </c>
    </row>
    <row r="1130" spans="1:11">
      <c r="A1130" s="136">
        <v>42615</v>
      </c>
      <c r="B1130" s="307" t="s">
        <v>3114</v>
      </c>
      <c r="C1130" s="137" t="s">
        <v>2200</v>
      </c>
      <c r="D1130" s="138">
        <v>603.03</v>
      </c>
      <c r="E1130" s="138">
        <v>42.54</v>
      </c>
      <c r="G1130" s="308" t="s">
        <v>378</v>
      </c>
      <c r="K1130" s="138">
        <f t="shared" si="28"/>
        <v>603.03</v>
      </c>
    </row>
    <row r="1131" spans="1:11">
      <c r="A1131" s="136">
        <v>42615</v>
      </c>
      <c r="B1131" s="307" t="s">
        <v>3115</v>
      </c>
      <c r="C1131" s="137" t="s">
        <v>372</v>
      </c>
      <c r="D1131" s="138">
        <v>191.95</v>
      </c>
      <c r="E1131" s="138">
        <v>10.01</v>
      </c>
      <c r="G1131" s="308" t="s">
        <v>378</v>
      </c>
      <c r="K1131" s="138">
        <f t="shared" si="28"/>
        <v>191.95</v>
      </c>
    </row>
    <row r="1132" spans="1:11">
      <c r="A1132" s="136">
        <v>42615</v>
      </c>
      <c r="B1132" s="307" t="s">
        <v>3116</v>
      </c>
      <c r="C1132" s="137" t="s">
        <v>372</v>
      </c>
      <c r="D1132" s="138">
        <v>47.52</v>
      </c>
      <c r="E1132" s="138">
        <v>2.48</v>
      </c>
      <c r="G1132" s="308" t="s">
        <v>378</v>
      </c>
      <c r="K1132" s="138">
        <f t="shared" si="28"/>
        <v>47.52</v>
      </c>
    </row>
    <row r="1133" spans="1:11">
      <c r="A1133" s="136">
        <v>42615</v>
      </c>
      <c r="B1133" s="307" t="s">
        <v>3118</v>
      </c>
      <c r="C1133" s="137" t="s">
        <v>2200</v>
      </c>
      <c r="D1133" s="138">
        <v>8.34</v>
      </c>
      <c r="E1133" s="378">
        <v>0.62</v>
      </c>
      <c r="G1133" s="308" t="s">
        <v>373</v>
      </c>
      <c r="K1133" s="138">
        <f t="shared" si="28"/>
        <v>8.34</v>
      </c>
    </row>
    <row r="1134" spans="1:11">
      <c r="A1134" s="136">
        <v>42615</v>
      </c>
      <c r="B1134" s="307" t="s">
        <v>3177</v>
      </c>
      <c r="C1134" s="137" t="s">
        <v>187</v>
      </c>
      <c r="D1134" s="138">
        <v>1011.89</v>
      </c>
      <c r="E1134" s="138">
        <v>70.739999999999995</v>
      </c>
      <c r="G1134" s="308" t="s">
        <v>378</v>
      </c>
      <c r="K1134" s="138">
        <f t="shared" si="28"/>
        <v>1011.89</v>
      </c>
    </row>
    <row r="1135" spans="1:11">
      <c r="A1135" s="136">
        <v>42615</v>
      </c>
      <c r="B1135" s="307" t="s">
        <v>3316</v>
      </c>
      <c r="C1135" s="137" t="s">
        <v>3146</v>
      </c>
      <c r="D1135" s="138">
        <v>1568.98</v>
      </c>
      <c r="E1135" s="138">
        <v>261.5</v>
      </c>
      <c r="G1135" s="308" t="s">
        <v>378</v>
      </c>
      <c r="K1135" s="138">
        <f t="shared" si="28"/>
        <v>1568.98</v>
      </c>
    </row>
    <row r="1136" spans="1:11">
      <c r="A1136" s="136">
        <v>42615</v>
      </c>
      <c r="B1136" s="307" t="s">
        <v>3317</v>
      </c>
      <c r="C1136" s="137" t="s">
        <v>3146</v>
      </c>
      <c r="D1136" s="138">
        <v>388.5</v>
      </c>
      <c r="E1136" s="138">
        <v>64.75</v>
      </c>
      <c r="G1136" s="308" t="s">
        <v>378</v>
      </c>
      <c r="K1136" s="138">
        <f t="shared" si="28"/>
        <v>388.5</v>
      </c>
    </row>
    <row r="1137" spans="1:11">
      <c r="A1137" s="136">
        <v>42616</v>
      </c>
      <c r="B1137" s="307" t="s">
        <v>3107</v>
      </c>
      <c r="C1137" s="137" t="s">
        <v>372</v>
      </c>
      <c r="D1137" s="138">
        <v>114.74</v>
      </c>
      <c r="E1137" s="138">
        <v>5.98</v>
      </c>
      <c r="G1137" s="308" t="s">
        <v>378</v>
      </c>
      <c r="K1137" s="138">
        <f t="shared" si="28"/>
        <v>114.74</v>
      </c>
    </row>
    <row r="1138" spans="1:11">
      <c r="A1138" s="136">
        <v>42618</v>
      </c>
      <c r="B1138" s="307" t="s">
        <v>3108</v>
      </c>
      <c r="C1138" s="137" t="s">
        <v>372</v>
      </c>
      <c r="D1138" s="138">
        <v>225.3</v>
      </c>
      <c r="E1138" s="138">
        <v>11.75</v>
      </c>
      <c r="G1138" s="308" t="s">
        <v>378</v>
      </c>
      <c r="K1138" s="138">
        <f t="shared" si="28"/>
        <v>225.3</v>
      </c>
    </row>
    <row r="1139" spans="1:11">
      <c r="A1139" s="136">
        <v>42618</v>
      </c>
      <c r="B1139" s="307" t="s">
        <v>3109</v>
      </c>
      <c r="C1139" s="137" t="s">
        <v>372</v>
      </c>
      <c r="D1139" s="138">
        <v>48.53</v>
      </c>
      <c r="E1139" s="138">
        <v>2.5299999999999998</v>
      </c>
      <c r="G1139" s="308" t="s">
        <v>378</v>
      </c>
      <c r="K1139" s="138">
        <f t="shared" si="28"/>
        <v>48.53</v>
      </c>
    </row>
    <row r="1140" spans="1:11">
      <c r="A1140" s="136">
        <v>42618</v>
      </c>
      <c r="B1140" s="307" t="s">
        <v>3110</v>
      </c>
      <c r="C1140" s="137" t="s">
        <v>2200</v>
      </c>
      <c r="D1140" s="138">
        <v>120.04</v>
      </c>
      <c r="E1140" s="138">
        <v>20.010000000000002</v>
      </c>
      <c r="G1140" s="308" t="s">
        <v>378</v>
      </c>
      <c r="K1140" s="138">
        <f t="shared" si="28"/>
        <v>120.04</v>
      </c>
    </row>
    <row r="1141" spans="1:11">
      <c r="A1141" s="136">
        <v>42618</v>
      </c>
      <c r="B1141" s="307" t="s">
        <v>3111</v>
      </c>
      <c r="C1141" s="137" t="s">
        <v>2200</v>
      </c>
      <c r="D1141" s="138">
        <v>12.76</v>
      </c>
      <c r="E1141" s="138">
        <v>2.12</v>
      </c>
      <c r="G1141" s="308" t="s">
        <v>378</v>
      </c>
      <c r="K1141" s="138">
        <f t="shared" si="28"/>
        <v>12.76</v>
      </c>
    </row>
    <row r="1142" spans="1:11">
      <c r="A1142" s="136">
        <v>42618</v>
      </c>
      <c r="B1142" s="307" t="s">
        <v>3112</v>
      </c>
      <c r="C1142" s="137" t="s">
        <v>2200</v>
      </c>
      <c r="D1142" s="138">
        <v>1009.8</v>
      </c>
      <c r="E1142" s="138">
        <v>52.63</v>
      </c>
      <c r="G1142" s="308" t="s">
        <v>378</v>
      </c>
      <c r="K1142" s="138">
        <f t="shared" si="28"/>
        <v>1009.8</v>
      </c>
    </row>
    <row r="1143" spans="1:11">
      <c r="A1143" s="136">
        <v>42618</v>
      </c>
      <c r="B1143" s="307" t="s">
        <v>3178</v>
      </c>
      <c r="C1143" s="137" t="s">
        <v>372</v>
      </c>
      <c r="D1143" s="138">
        <v>20.45</v>
      </c>
      <c r="E1143" s="138">
        <v>1.07</v>
      </c>
      <c r="G1143" s="308" t="s">
        <v>373</v>
      </c>
      <c r="K1143" s="138">
        <f t="shared" si="28"/>
        <v>20.45</v>
      </c>
    </row>
    <row r="1144" spans="1:11">
      <c r="A1144" s="136">
        <v>42619</v>
      </c>
      <c r="B1144" s="307" t="s">
        <v>3186</v>
      </c>
      <c r="C1144" s="137" t="s">
        <v>372</v>
      </c>
      <c r="D1144" s="138">
        <v>21.07</v>
      </c>
      <c r="E1144" s="138">
        <v>1.1000000000000001</v>
      </c>
      <c r="G1144" s="308" t="s">
        <v>373</v>
      </c>
      <c r="K1144" s="138">
        <f t="shared" si="28"/>
        <v>21.07</v>
      </c>
    </row>
    <row r="1145" spans="1:11">
      <c r="A1145" s="136">
        <v>42620</v>
      </c>
      <c r="B1145" s="307" t="s">
        <v>3162</v>
      </c>
      <c r="C1145" s="137" t="s">
        <v>187</v>
      </c>
      <c r="D1145" s="138">
        <v>22.8</v>
      </c>
      <c r="E1145" s="138">
        <v>3.8</v>
      </c>
      <c r="G1145" s="308" t="s">
        <v>373</v>
      </c>
      <c r="K1145" s="138">
        <f t="shared" si="28"/>
        <v>22.8</v>
      </c>
    </row>
    <row r="1146" spans="1:11">
      <c r="A1146" s="136">
        <v>42620</v>
      </c>
      <c r="B1146" s="307" t="s">
        <v>3180</v>
      </c>
      <c r="C1146" s="137" t="s">
        <v>2200</v>
      </c>
      <c r="D1146" s="378">
        <v>1515.1</v>
      </c>
      <c r="E1146" s="138">
        <v>120.59</v>
      </c>
      <c r="G1146" s="308" t="s">
        <v>373</v>
      </c>
      <c r="K1146" s="138">
        <f t="shared" si="28"/>
        <v>1515.1</v>
      </c>
    </row>
    <row r="1147" spans="1:11">
      <c r="A1147" s="136">
        <v>42620</v>
      </c>
      <c r="B1147" s="307" t="s">
        <v>3181</v>
      </c>
      <c r="C1147" s="137" t="s">
        <v>2200</v>
      </c>
      <c r="D1147" s="138">
        <v>13.07</v>
      </c>
      <c r="E1147" s="138">
        <v>2.1800000000000002</v>
      </c>
      <c r="G1147" s="308" t="s">
        <v>373</v>
      </c>
      <c r="K1147" s="138">
        <f t="shared" si="28"/>
        <v>13.07</v>
      </c>
    </row>
    <row r="1148" spans="1:11">
      <c r="A1148" s="136">
        <v>42621</v>
      </c>
      <c r="B1148" s="307" t="s">
        <v>3156</v>
      </c>
      <c r="C1148" s="137" t="s">
        <v>187</v>
      </c>
      <c r="D1148" s="138">
        <v>1002.86</v>
      </c>
      <c r="E1148" s="138">
        <v>55.91</v>
      </c>
      <c r="G1148" s="308" t="s">
        <v>378</v>
      </c>
      <c r="K1148" s="138">
        <f t="shared" si="28"/>
        <v>1002.86</v>
      </c>
    </row>
    <row r="1149" spans="1:11">
      <c r="A1149" s="136">
        <v>42621</v>
      </c>
      <c r="B1149" s="307" t="s">
        <v>3164</v>
      </c>
      <c r="C1149" s="137" t="s">
        <v>2200</v>
      </c>
      <c r="D1149" s="138">
        <v>109.67</v>
      </c>
      <c r="E1149" s="138">
        <v>18.28</v>
      </c>
      <c r="G1149" s="308" t="s">
        <v>378</v>
      </c>
      <c r="K1149" s="138">
        <f t="shared" si="28"/>
        <v>109.67</v>
      </c>
    </row>
    <row r="1150" spans="1:11">
      <c r="A1150" s="136">
        <v>42621</v>
      </c>
      <c r="B1150" s="307" t="s">
        <v>3168</v>
      </c>
      <c r="C1150" s="137" t="s">
        <v>2200</v>
      </c>
      <c r="D1150" s="138">
        <v>104.7</v>
      </c>
      <c r="E1150" s="138">
        <v>16.2</v>
      </c>
      <c r="G1150" s="308" t="s">
        <v>378</v>
      </c>
      <c r="K1150" s="138">
        <f t="shared" si="28"/>
        <v>104.7</v>
      </c>
    </row>
    <row r="1151" spans="1:11">
      <c r="A1151" s="136">
        <v>42621</v>
      </c>
      <c r="B1151" s="307" t="s">
        <v>3172</v>
      </c>
      <c r="C1151" s="137" t="s">
        <v>2200</v>
      </c>
      <c r="D1151" s="378">
        <v>2696.39</v>
      </c>
      <c r="E1151" s="138">
        <v>174.29</v>
      </c>
      <c r="G1151" s="308" t="s">
        <v>378</v>
      </c>
      <c r="K1151" s="138">
        <f t="shared" si="28"/>
        <v>2696.39</v>
      </c>
    </row>
    <row r="1152" spans="1:11">
      <c r="A1152" s="136">
        <v>42621</v>
      </c>
      <c r="B1152" s="307" t="s">
        <v>3173</v>
      </c>
      <c r="C1152" s="137" t="s">
        <v>372</v>
      </c>
      <c r="D1152" s="138">
        <v>30.6</v>
      </c>
      <c r="E1152" s="138">
        <v>1.6</v>
      </c>
      <c r="G1152" s="308" t="s">
        <v>378</v>
      </c>
      <c r="K1152" s="138">
        <f t="shared" si="28"/>
        <v>30.6</v>
      </c>
    </row>
    <row r="1153" spans="1:11">
      <c r="A1153" s="136">
        <v>42621</v>
      </c>
      <c r="B1153" s="307" t="s">
        <v>3174</v>
      </c>
      <c r="C1153" s="137" t="s">
        <v>372</v>
      </c>
      <c r="D1153" s="138">
        <v>98.75</v>
      </c>
      <c r="E1153" s="138">
        <v>5.15</v>
      </c>
      <c r="G1153" s="308" t="s">
        <v>378</v>
      </c>
      <c r="K1153" s="138">
        <f t="shared" si="28"/>
        <v>98.75</v>
      </c>
    </row>
    <row r="1154" spans="1:11">
      <c r="A1154" s="136">
        <v>42621</v>
      </c>
      <c r="B1154" s="307" t="s">
        <v>3175</v>
      </c>
      <c r="C1154" s="137" t="s">
        <v>2200</v>
      </c>
      <c r="D1154" s="138">
        <v>10.44</v>
      </c>
      <c r="E1154" s="138">
        <v>1.74</v>
      </c>
      <c r="G1154" s="308" t="s">
        <v>378</v>
      </c>
      <c r="K1154" s="138">
        <f t="shared" si="28"/>
        <v>10.44</v>
      </c>
    </row>
    <row r="1155" spans="1:11">
      <c r="A1155" s="136">
        <v>42621</v>
      </c>
      <c r="B1155" s="307" t="s">
        <v>3176</v>
      </c>
      <c r="C1155" s="137" t="s">
        <v>2200</v>
      </c>
      <c r="D1155" s="138">
        <v>838.37</v>
      </c>
      <c r="E1155" s="138">
        <v>82.45</v>
      </c>
      <c r="G1155" s="308" t="s">
        <v>378</v>
      </c>
      <c r="K1155" s="138">
        <f t="shared" si="28"/>
        <v>838.37</v>
      </c>
    </row>
    <row r="1156" spans="1:11">
      <c r="A1156" s="136">
        <v>42621</v>
      </c>
      <c r="B1156" s="307" t="s">
        <v>3194</v>
      </c>
      <c r="C1156" s="137" t="s">
        <v>372</v>
      </c>
      <c r="D1156" s="138">
        <v>14.64</v>
      </c>
      <c r="E1156" s="138">
        <v>0.76</v>
      </c>
      <c r="G1156" s="308" t="s">
        <v>373</v>
      </c>
      <c r="K1156" s="138">
        <f t="shared" si="28"/>
        <v>14.64</v>
      </c>
    </row>
    <row r="1157" spans="1:11">
      <c r="A1157" s="136">
        <v>42622</v>
      </c>
      <c r="B1157" s="307" t="s">
        <v>3140</v>
      </c>
      <c r="C1157" s="137" t="s">
        <v>186</v>
      </c>
      <c r="D1157" s="138">
        <v>706.07</v>
      </c>
      <c r="E1157" s="138">
        <v>36.81</v>
      </c>
      <c r="G1157" s="308" t="s">
        <v>378</v>
      </c>
      <c r="K1157" s="138">
        <f t="shared" si="28"/>
        <v>706.07</v>
      </c>
    </row>
    <row r="1158" spans="1:11">
      <c r="A1158" s="136">
        <v>42622</v>
      </c>
      <c r="B1158" s="307" t="s">
        <v>3159</v>
      </c>
      <c r="C1158" s="137" t="s">
        <v>186</v>
      </c>
      <c r="D1158" s="138">
        <v>769.03</v>
      </c>
      <c r="E1158" s="138">
        <v>46.33</v>
      </c>
      <c r="G1158" s="308" t="s">
        <v>373</v>
      </c>
      <c r="K1158" s="138">
        <f t="shared" si="28"/>
        <v>769.03</v>
      </c>
    </row>
    <row r="1159" spans="1:11">
      <c r="A1159" s="136">
        <v>42623</v>
      </c>
      <c r="B1159" s="307" t="s">
        <v>3154</v>
      </c>
      <c r="C1159" s="137" t="s">
        <v>2719</v>
      </c>
      <c r="D1159" s="138">
        <v>202.56</v>
      </c>
      <c r="E1159" s="138">
        <v>10.56</v>
      </c>
      <c r="G1159" s="308" t="s">
        <v>373</v>
      </c>
      <c r="K1159" s="138">
        <f t="shared" si="28"/>
        <v>202.56</v>
      </c>
    </row>
    <row r="1160" spans="1:11">
      <c r="A1160" s="136">
        <v>42623</v>
      </c>
      <c r="B1160" s="307" t="s">
        <v>3155</v>
      </c>
      <c r="C1160" s="137" t="s">
        <v>2719</v>
      </c>
      <c r="D1160" s="138">
        <v>265.86</v>
      </c>
      <c r="E1160" s="138">
        <v>13.86</v>
      </c>
      <c r="G1160" s="308" t="s">
        <v>378</v>
      </c>
      <c r="K1160" s="138">
        <f t="shared" si="28"/>
        <v>265.86</v>
      </c>
    </row>
    <row r="1161" spans="1:11">
      <c r="A1161" s="136">
        <v>42623</v>
      </c>
      <c r="B1161" s="307" t="s">
        <v>3167</v>
      </c>
      <c r="C1161" s="137" t="s">
        <v>372</v>
      </c>
      <c r="D1161" s="138">
        <v>157.05000000000001</v>
      </c>
      <c r="E1161" s="138">
        <v>8.19</v>
      </c>
      <c r="G1161" s="308" t="s">
        <v>378</v>
      </c>
      <c r="K1161" s="138">
        <f t="shared" si="28"/>
        <v>157.05000000000001</v>
      </c>
    </row>
    <row r="1162" spans="1:11">
      <c r="A1162" s="136">
        <v>42623</v>
      </c>
      <c r="B1162" s="307" t="s">
        <v>3192</v>
      </c>
      <c r="C1162" s="137" t="s">
        <v>2719</v>
      </c>
      <c r="D1162" s="138">
        <v>202.56</v>
      </c>
      <c r="E1162" s="138">
        <v>10.56</v>
      </c>
      <c r="G1162" s="308" t="s">
        <v>3193</v>
      </c>
      <c r="K1162" s="138">
        <f t="shared" si="28"/>
        <v>202.56</v>
      </c>
    </row>
    <row r="1163" spans="1:11">
      <c r="A1163" s="136">
        <v>42625</v>
      </c>
      <c r="B1163" s="307" t="s">
        <v>3165</v>
      </c>
      <c r="C1163" s="137" t="s">
        <v>372</v>
      </c>
      <c r="D1163" s="138">
        <v>119.85</v>
      </c>
      <c r="E1163" s="138">
        <v>6.25</v>
      </c>
      <c r="G1163" s="308" t="s">
        <v>378</v>
      </c>
      <c r="K1163" s="138">
        <f t="shared" si="28"/>
        <v>119.85</v>
      </c>
    </row>
    <row r="1164" spans="1:11">
      <c r="A1164" s="136">
        <v>42625</v>
      </c>
      <c r="B1164" s="307" t="s">
        <v>2023</v>
      </c>
      <c r="C1164" s="137" t="s">
        <v>182</v>
      </c>
      <c r="D1164" s="138">
        <v>606.25</v>
      </c>
      <c r="E1164" s="138">
        <v>31.61</v>
      </c>
      <c r="G1164" s="308" t="s">
        <v>378</v>
      </c>
      <c r="I1164" s="138">
        <v>606.25</v>
      </c>
      <c r="J1164" s="137" t="s">
        <v>3412</v>
      </c>
      <c r="K1164" s="138">
        <f t="shared" si="28"/>
        <v>0</v>
      </c>
    </row>
    <row r="1165" spans="1:11">
      <c r="A1165" s="136">
        <v>42625</v>
      </c>
      <c r="B1165" s="307" t="s">
        <v>3170</v>
      </c>
      <c r="C1165" s="137" t="s">
        <v>372</v>
      </c>
      <c r="D1165" s="138">
        <v>181.2</v>
      </c>
      <c r="E1165" s="138">
        <v>9.4499999999999993</v>
      </c>
      <c r="G1165" s="308" t="s">
        <v>378</v>
      </c>
      <c r="K1165" s="138">
        <f t="shared" si="28"/>
        <v>181.2</v>
      </c>
    </row>
    <row r="1166" spans="1:11">
      <c r="A1166" s="136">
        <v>42625</v>
      </c>
      <c r="B1166" s="307" t="s">
        <v>3191</v>
      </c>
      <c r="C1166" s="137" t="s">
        <v>372</v>
      </c>
      <c r="D1166" s="138">
        <v>14.64</v>
      </c>
      <c r="E1166" s="138">
        <v>0.76</v>
      </c>
      <c r="G1166" s="308" t="s">
        <v>373</v>
      </c>
      <c r="K1166" s="138">
        <f t="shared" si="28"/>
        <v>14.64</v>
      </c>
    </row>
    <row r="1167" spans="1:11">
      <c r="A1167" s="136">
        <v>42625</v>
      </c>
      <c r="B1167" s="307" t="s">
        <v>3189</v>
      </c>
      <c r="C1167" s="137" t="s">
        <v>182</v>
      </c>
      <c r="D1167" s="138">
        <v>342.43</v>
      </c>
      <c r="E1167" s="138">
        <v>17.850000000000001</v>
      </c>
      <c r="G1167" s="308" t="s">
        <v>373</v>
      </c>
      <c r="I1167" s="138">
        <v>342.43</v>
      </c>
      <c r="J1167" s="137" t="s">
        <v>3430</v>
      </c>
      <c r="K1167" s="138">
        <f t="shared" si="28"/>
        <v>0</v>
      </c>
    </row>
    <row r="1168" spans="1:11">
      <c r="A1168" s="136">
        <v>42625</v>
      </c>
      <c r="B1168" s="307" t="s">
        <v>3210</v>
      </c>
      <c r="C1168" s="137" t="s">
        <v>3211</v>
      </c>
      <c r="D1168" s="138">
        <v>335.26</v>
      </c>
      <c r="E1168" s="138">
        <v>17.48</v>
      </c>
      <c r="G1168" s="308" t="s">
        <v>373</v>
      </c>
      <c r="I1168" s="138">
        <v>335.26</v>
      </c>
      <c r="J1168" s="137" t="s">
        <v>3349</v>
      </c>
      <c r="K1168" s="138">
        <f t="shared" si="28"/>
        <v>0</v>
      </c>
    </row>
    <row r="1169" spans="1:11">
      <c r="A1169" s="136">
        <v>42626</v>
      </c>
      <c r="B1169" s="307" t="s">
        <v>3157</v>
      </c>
      <c r="C1169" s="137" t="s">
        <v>187</v>
      </c>
      <c r="D1169" s="138">
        <v>889.18</v>
      </c>
      <c r="E1169" s="138">
        <v>49.98</v>
      </c>
      <c r="G1169" s="308" t="s">
        <v>378</v>
      </c>
      <c r="K1169" s="138">
        <f t="shared" si="28"/>
        <v>889.18</v>
      </c>
    </row>
    <row r="1170" spans="1:11">
      <c r="A1170" s="136">
        <v>42626</v>
      </c>
      <c r="B1170" s="307" t="s">
        <v>3158</v>
      </c>
      <c r="C1170" s="137" t="s">
        <v>186</v>
      </c>
      <c r="D1170" s="138">
        <v>2388.2800000000002</v>
      </c>
      <c r="E1170" s="138">
        <v>180</v>
      </c>
      <c r="G1170" s="308" t="s">
        <v>378</v>
      </c>
      <c r="K1170" s="138">
        <f t="shared" si="28"/>
        <v>2388.2800000000002</v>
      </c>
    </row>
    <row r="1171" spans="1:11">
      <c r="A1171" s="136">
        <v>42626</v>
      </c>
      <c r="B1171" s="307" t="s">
        <v>3160</v>
      </c>
      <c r="C1171" s="137" t="s">
        <v>186</v>
      </c>
      <c r="D1171" s="138">
        <v>1411.68</v>
      </c>
      <c r="E1171" s="138">
        <v>120</v>
      </c>
      <c r="G1171" s="308" t="s">
        <v>373</v>
      </c>
      <c r="K1171" s="138">
        <f t="shared" ref="K1171:K1234" si="29">IF(D1171&lt;&gt;"",D1171-I1171,"")</f>
        <v>1411.68</v>
      </c>
    </row>
    <row r="1172" spans="1:11">
      <c r="A1172" s="136">
        <v>42626</v>
      </c>
      <c r="B1172" s="307" t="s">
        <v>3166</v>
      </c>
      <c r="C1172" s="137" t="s">
        <v>184</v>
      </c>
      <c r="D1172" s="138">
        <v>370.07</v>
      </c>
      <c r="E1172" s="138">
        <v>19.29</v>
      </c>
      <c r="G1172" s="308" t="s">
        <v>378</v>
      </c>
      <c r="I1172" s="138">
        <v>370.07</v>
      </c>
      <c r="J1172" s="137" t="s">
        <v>3319</v>
      </c>
      <c r="K1172" s="138">
        <f t="shared" si="29"/>
        <v>0</v>
      </c>
    </row>
    <row r="1173" spans="1:11">
      <c r="A1173" s="136">
        <v>42626</v>
      </c>
      <c r="B1173" s="307" t="s">
        <v>3171</v>
      </c>
      <c r="C1173" s="137" t="s">
        <v>372</v>
      </c>
      <c r="D1173" s="138">
        <v>41.63</v>
      </c>
      <c r="E1173" s="138">
        <v>2.17</v>
      </c>
      <c r="G1173" s="308" t="s">
        <v>378</v>
      </c>
      <c r="K1173" s="138">
        <f t="shared" si="29"/>
        <v>41.63</v>
      </c>
    </row>
    <row r="1174" spans="1:11">
      <c r="A1174" s="136">
        <v>42627</v>
      </c>
      <c r="B1174" s="307" t="s">
        <v>3188</v>
      </c>
      <c r="C1174" s="137" t="s">
        <v>372</v>
      </c>
      <c r="D1174" s="138">
        <v>13.38</v>
      </c>
      <c r="E1174" s="138">
        <v>0.7</v>
      </c>
      <c r="G1174" s="308" t="s">
        <v>373</v>
      </c>
      <c r="K1174" s="138">
        <f t="shared" si="29"/>
        <v>13.38</v>
      </c>
    </row>
    <row r="1175" spans="1:11">
      <c r="A1175" s="136">
        <v>42628</v>
      </c>
      <c r="B1175" s="307" t="s">
        <v>3161</v>
      </c>
      <c r="C1175" s="137" t="s">
        <v>186</v>
      </c>
      <c r="D1175" s="138">
        <v>19.73</v>
      </c>
      <c r="E1175" s="138">
        <v>1.03</v>
      </c>
      <c r="G1175" s="308" t="s">
        <v>373</v>
      </c>
      <c r="K1175" s="138">
        <f t="shared" si="29"/>
        <v>19.73</v>
      </c>
    </row>
    <row r="1176" spans="1:11">
      <c r="A1176" s="136">
        <v>42628</v>
      </c>
      <c r="B1176" s="307" t="s">
        <v>3169</v>
      </c>
      <c r="C1176" s="137" t="s">
        <v>372</v>
      </c>
      <c r="D1176" s="138">
        <v>69.97</v>
      </c>
      <c r="E1176" s="138">
        <v>3.65</v>
      </c>
      <c r="G1176" s="308" t="s">
        <v>378</v>
      </c>
      <c r="K1176" s="138">
        <f t="shared" si="29"/>
        <v>69.97</v>
      </c>
    </row>
    <row r="1177" spans="1:11">
      <c r="A1177" s="136">
        <v>42628</v>
      </c>
      <c r="B1177" s="307" t="s">
        <v>3187</v>
      </c>
      <c r="C1177" s="137" t="s">
        <v>372</v>
      </c>
      <c r="D1177" s="138">
        <v>11.39</v>
      </c>
      <c r="E1177" s="138">
        <v>0.59</v>
      </c>
      <c r="G1177" s="308" t="s">
        <v>373</v>
      </c>
      <c r="K1177" s="138">
        <f t="shared" si="29"/>
        <v>11.39</v>
      </c>
    </row>
    <row r="1178" spans="1:11">
      <c r="A1178" s="136">
        <v>42629</v>
      </c>
      <c r="B1178" s="307" t="s">
        <v>3197</v>
      </c>
      <c r="C1178" s="137" t="s">
        <v>372</v>
      </c>
      <c r="D1178" s="138">
        <v>31.33</v>
      </c>
      <c r="E1178" s="138">
        <v>1.63</v>
      </c>
      <c r="G1178" s="308" t="s">
        <v>378</v>
      </c>
      <c r="K1178" s="138">
        <f t="shared" si="29"/>
        <v>31.33</v>
      </c>
    </row>
    <row r="1179" spans="1:11">
      <c r="A1179" s="136">
        <v>42629</v>
      </c>
      <c r="B1179" s="307" t="s">
        <v>3201</v>
      </c>
      <c r="C1179" s="137" t="s">
        <v>186</v>
      </c>
      <c r="D1179" s="138">
        <v>1813.05</v>
      </c>
      <c r="E1179" s="138">
        <v>94.52</v>
      </c>
      <c r="G1179" s="308" t="s">
        <v>378</v>
      </c>
      <c r="K1179" s="138">
        <f t="shared" si="29"/>
        <v>1813.05</v>
      </c>
    </row>
    <row r="1180" spans="1:11">
      <c r="A1180" s="136">
        <v>42629</v>
      </c>
      <c r="B1180" s="307" t="s">
        <v>3269</v>
      </c>
      <c r="C1180" s="137" t="s">
        <v>187</v>
      </c>
      <c r="D1180" s="138">
        <v>595.96</v>
      </c>
      <c r="E1180" s="138">
        <v>42.42</v>
      </c>
      <c r="G1180" s="308" t="s">
        <v>373</v>
      </c>
      <c r="K1180" s="138">
        <f t="shared" si="29"/>
        <v>595.96</v>
      </c>
    </row>
    <row r="1181" spans="1:11">
      <c r="A1181" s="136">
        <v>42629</v>
      </c>
      <c r="B1181" s="307" t="s">
        <v>3311</v>
      </c>
      <c r="C1181" s="137" t="s">
        <v>3146</v>
      </c>
      <c r="D1181" s="138">
        <v>524.58000000000004</v>
      </c>
      <c r="E1181" s="138">
        <v>87.43</v>
      </c>
      <c r="G1181" s="308" t="s">
        <v>378</v>
      </c>
      <c r="K1181" s="138">
        <f t="shared" si="29"/>
        <v>524.58000000000004</v>
      </c>
    </row>
    <row r="1182" spans="1:11">
      <c r="A1182" s="136">
        <v>42630</v>
      </c>
      <c r="B1182" s="307" t="s">
        <v>3196</v>
      </c>
      <c r="C1182" s="137" t="s">
        <v>372</v>
      </c>
      <c r="D1182" s="138">
        <v>239.17</v>
      </c>
      <c r="E1182" s="138">
        <v>12.47</v>
      </c>
      <c r="G1182" s="308" t="s">
        <v>378</v>
      </c>
      <c r="K1182" s="138">
        <f t="shared" si="29"/>
        <v>239.17</v>
      </c>
    </row>
    <row r="1183" spans="1:11">
      <c r="A1183" s="136">
        <v>42632</v>
      </c>
      <c r="B1183" s="307" t="s">
        <v>3149</v>
      </c>
      <c r="C1183" s="137" t="s">
        <v>187</v>
      </c>
      <c r="D1183" s="138">
        <v>954.88</v>
      </c>
      <c r="E1183" s="138">
        <v>53.63</v>
      </c>
      <c r="G1183" s="308" t="s">
        <v>378</v>
      </c>
      <c r="K1183" s="138">
        <f t="shared" si="29"/>
        <v>954.88</v>
      </c>
    </row>
    <row r="1184" spans="1:11">
      <c r="A1184" s="136">
        <v>42632</v>
      </c>
      <c r="B1184" s="307" t="s">
        <v>3190</v>
      </c>
      <c r="C1184" s="137" t="s">
        <v>372</v>
      </c>
      <c r="D1184" s="378">
        <v>28.49</v>
      </c>
      <c r="E1184" s="138">
        <v>1.49</v>
      </c>
      <c r="G1184" s="308" t="s">
        <v>373</v>
      </c>
      <c r="K1184" s="138">
        <f t="shared" si="29"/>
        <v>28.49</v>
      </c>
    </row>
    <row r="1185" spans="1:11">
      <c r="A1185" s="136">
        <v>42632</v>
      </c>
      <c r="B1185" s="307" t="s">
        <v>3205</v>
      </c>
      <c r="C1185" s="137" t="s">
        <v>3206</v>
      </c>
      <c r="D1185" s="138">
        <v>999.49</v>
      </c>
      <c r="E1185" s="138">
        <v>52.11</v>
      </c>
      <c r="G1185" s="308" t="s">
        <v>378</v>
      </c>
      <c r="K1185" s="138">
        <f t="shared" si="29"/>
        <v>999.49</v>
      </c>
    </row>
    <row r="1186" spans="1:11">
      <c r="A1186" s="136">
        <v>42633</v>
      </c>
      <c r="B1186" s="307" t="s">
        <v>3163</v>
      </c>
      <c r="C1186" s="137" t="s">
        <v>372</v>
      </c>
      <c r="D1186" s="138">
        <v>226.28</v>
      </c>
      <c r="E1186" s="138">
        <v>11.8</v>
      </c>
      <c r="G1186" s="308" t="s">
        <v>378</v>
      </c>
      <c r="K1186" s="138">
        <f t="shared" si="29"/>
        <v>226.28</v>
      </c>
    </row>
    <row r="1187" spans="1:11">
      <c r="A1187" s="136">
        <v>42633</v>
      </c>
      <c r="B1187" s="307" t="s">
        <v>3207</v>
      </c>
      <c r="C1187" s="137" t="s">
        <v>186</v>
      </c>
      <c r="D1187" s="138">
        <v>2389.08</v>
      </c>
      <c r="E1187" s="138">
        <v>175</v>
      </c>
      <c r="G1187" s="308" t="s">
        <v>378</v>
      </c>
      <c r="K1187" s="138">
        <f t="shared" si="29"/>
        <v>2389.08</v>
      </c>
    </row>
    <row r="1188" spans="1:11">
      <c r="A1188" s="136">
        <v>42633</v>
      </c>
      <c r="B1188" s="307" t="s">
        <v>3270</v>
      </c>
      <c r="C1188" s="137" t="s">
        <v>186</v>
      </c>
      <c r="D1188" s="138">
        <v>1250.94</v>
      </c>
      <c r="E1188" s="138">
        <v>83</v>
      </c>
      <c r="G1188" s="308" t="s">
        <v>373</v>
      </c>
      <c r="K1188" s="138">
        <f t="shared" si="29"/>
        <v>1250.94</v>
      </c>
    </row>
    <row r="1189" spans="1:11">
      <c r="A1189" s="136">
        <v>42634</v>
      </c>
      <c r="B1189" s="307" t="s">
        <v>3271</v>
      </c>
      <c r="C1189" s="137" t="s">
        <v>186</v>
      </c>
      <c r="D1189" s="138">
        <v>5.28</v>
      </c>
      <c r="E1189" s="138">
        <v>0.88</v>
      </c>
      <c r="G1189" s="308" t="s">
        <v>373</v>
      </c>
      <c r="K1189" s="138">
        <f t="shared" si="29"/>
        <v>5.28</v>
      </c>
    </row>
    <row r="1190" spans="1:11">
      <c r="A1190" s="136">
        <v>42635</v>
      </c>
      <c r="B1190" s="307" t="s">
        <v>3195</v>
      </c>
      <c r="C1190" s="137" t="s">
        <v>372</v>
      </c>
      <c r="D1190" s="138">
        <v>89.92</v>
      </c>
      <c r="E1190" s="138">
        <v>4.6900000000000004</v>
      </c>
      <c r="G1190" s="308" t="s">
        <v>378</v>
      </c>
      <c r="K1190" s="138">
        <f t="shared" si="29"/>
        <v>89.92</v>
      </c>
    </row>
    <row r="1191" spans="1:11">
      <c r="A1191" s="136">
        <v>42635</v>
      </c>
      <c r="B1191" s="307" t="s">
        <v>3199</v>
      </c>
      <c r="C1191" s="137" t="s">
        <v>182</v>
      </c>
      <c r="D1191" s="138">
        <v>326.85000000000002</v>
      </c>
      <c r="E1191" s="138">
        <v>17.04</v>
      </c>
      <c r="G1191" s="308" t="s">
        <v>378</v>
      </c>
      <c r="K1191" s="138">
        <f t="shared" si="29"/>
        <v>326.85000000000002</v>
      </c>
    </row>
    <row r="1192" spans="1:11">
      <c r="A1192" s="136">
        <v>42635</v>
      </c>
      <c r="B1192" s="307" t="s">
        <v>3272</v>
      </c>
      <c r="C1192" s="137" t="s">
        <v>186</v>
      </c>
      <c r="D1192" s="138">
        <v>396.52</v>
      </c>
      <c r="E1192" s="138">
        <v>36</v>
      </c>
      <c r="G1192" s="308" t="s">
        <v>373</v>
      </c>
      <c r="K1192" s="138">
        <f t="shared" si="29"/>
        <v>396.52</v>
      </c>
    </row>
    <row r="1193" spans="1:11">
      <c r="A1193" s="136">
        <v>42636</v>
      </c>
      <c r="B1193" s="307" t="s">
        <v>3139</v>
      </c>
      <c r="C1193" s="137" t="s">
        <v>187</v>
      </c>
      <c r="D1193" s="138">
        <v>487.32</v>
      </c>
      <c r="E1193" s="138">
        <v>29.32</v>
      </c>
      <c r="G1193" s="308" t="s">
        <v>373</v>
      </c>
      <c r="K1193" s="138">
        <f t="shared" si="29"/>
        <v>487.32</v>
      </c>
    </row>
    <row r="1194" spans="1:11">
      <c r="A1194" s="136">
        <v>42636</v>
      </c>
      <c r="B1194" s="307" t="s">
        <v>3144</v>
      </c>
      <c r="C1194" s="137" t="s">
        <v>187</v>
      </c>
      <c r="D1194" s="138">
        <v>831.6</v>
      </c>
      <c r="E1194" s="138">
        <v>43.35</v>
      </c>
      <c r="G1194" s="308" t="s">
        <v>378</v>
      </c>
      <c r="K1194" s="138">
        <f t="shared" si="29"/>
        <v>831.6</v>
      </c>
    </row>
    <row r="1195" spans="1:11">
      <c r="A1195" s="136">
        <v>42636</v>
      </c>
      <c r="B1195" s="307" t="s">
        <v>3151</v>
      </c>
      <c r="C1195" s="137" t="s">
        <v>186</v>
      </c>
      <c r="D1195" s="138">
        <v>1239.1099999999999</v>
      </c>
      <c r="E1195" s="378">
        <v>75</v>
      </c>
      <c r="G1195" s="308" t="s">
        <v>378</v>
      </c>
      <c r="K1195" s="138">
        <f t="shared" si="29"/>
        <v>1239.1099999999999</v>
      </c>
    </row>
    <row r="1196" spans="1:11">
      <c r="A1196" s="136">
        <v>42636</v>
      </c>
      <c r="B1196" s="307" t="s">
        <v>3200</v>
      </c>
      <c r="C1196" s="137" t="s">
        <v>372</v>
      </c>
      <c r="D1196" s="138">
        <v>29.75</v>
      </c>
      <c r="E1196" s="138">
        <v>1.55</v>
      </c>
      <c r="G1196" s="308" t="s">
        <v>373</v>
      </c>
      <c r="K1196" s="138">
        <f t="shared" si="29"/>
        <v>29.75</v>
      </c>
    </row>
    <row r="1197" spans="1:11">
      <c r="A1197" s="136">
        <v>42636</v>
      </c>
      <c r="B1197" s="307" t="s">
        <v>3198</v>
      </c>
      <c r="C1197" s="137" t="s">
        <v>372</v>
      </c>
      <c r="D1197" s="138">
        <v>58.87</v>
      </c>
      <c r="E1197" s="138">
        <v>3.07</v>
      </c>
      <c r="G1197" s="308" t="s">
        <v>378</v>
      </c>
      <c r="K1197" s="138">
        <f t="shared" si="29"/>
        <v>58.87</v>
      </c>
    </row>
    <row r="1198" spans="1:11">
      <c r="A1198" s="136">
        <v>42636</v>
      </c>
      <c r="B1198" s="307" t="s">
        <v>3273</v>
      </c>
      <c r="C1198" s="137" t="s">
        <v>182</v>
      </c>
      <c r="D1198" s="138">
        <v>714.42</v>
      </c>
      <c r="E1198" s="138">
        <v>37.24</v>
      </c>
      <c r="G1198" s="308" t="s">
        <v>373</v>
      </c>
      <c r="K1198" s="138">
        <f t="shared" si="29"/>
        <v>714.42</v>
      </c>
    </row>
    <row r="1199" spans="1:11">
      <c r="A1199" s="136">
        <v>42637</v>
      </c>
      <c r="B1199" s="307" t="s">
        <v>3150</v>
      </c>
      <c r="C1199" s="137" t="s">
        <v>2719</v>
      </c>
      <c r="D1199" s="138">
        <v>499.41</v>
      </c>
      <c r="E1199" s="138">
        <v>27.41</v>
      </c>
      <c r="G1199" s="308" t="s">
        <v>378</v>
      </c>
      <c r="K1199" s="138">
        <f t="shared" si="29"/>
        <v>499.41</v>
      </c>
    </row>
    <row r="1200" spans="1:11">
      <c r="A1200" s="136">
        <v>42637</v>
      </c>
      <c r="B1200" s="307" t="s">
        <v>3152</v>
      </c>
      <c r="C1200" s="137" t="s">
        <v>186</v>
      </c>
      <c r="D1200" s="138">
        <v>122.8</v>
      </c>
      <c r="E1200" s="138">
        <v>6.4</v>
      </c>
      <c r="G1200" s="308" t="s">
        <v>378</v>
      </c>
      <c r="K1200" s="138">
        <f t="shared" si="29"/>
        <v>122.8</v>
      </c>
    </row>
    <row r="1201" spans="1:11">
      <c r="A1201" s="136">
        <v>42637</v>
      </c>
      <c r="B1201" s="307" t="s">
        <v>3202</v>
      </c>
      <c r="C1201" s="137" t="s">
        <v>372</v>
      </c>
      <c r="D1201" s="138">
        <v>146.86000000000001</v>
      </c>
      <c r="E1201" s="138">
        <v>7.66</v>
      </c>
      <c r="G1201" s="308" t="s">
        <v>378</v>
      </c>
      <c r="K1201" s="138">
        <f t="shared" si="29"/>
        <v>146.86000000000001</v>
      </c>
    </row>
    <row r="1202" spans="1:11">
      <c r="A1202" s="136">
        <v>42639</v>
      </c>
      <c r="B1202" s="307" t="s">
        <v>3143</v>
      </c>
      <c r="C1202" s="137" t="s">
        <v>372</v>
      </c>
      <c r="D1202" s="138">
        <v>12.34</v>
      </c>
      <c r="E1202" s="138">
        <v>0.64</v>
      </c>
      <c r="G1202" s="308" t="s">
        <v>373</v>
      </c>
      <c r="K1202" s="138">
        <f t="shared" si="29"/>
        <v>12.34</v>
      </c>
    </row>
    <row r="1203" spans="1:11">
      <c r="A1203" s="136">
        <v>42639</v>
      </c>
      <c r="B1203" s="307" t="s">
        <v>3203</v>
      </c>
      <c r="C1203" s="137" t="s">
        <v>372</v>
      </c>
      <c r="D1203" s="138">
        <v>191.9</v>
      </c>
      <c r="E1203" s="138">
        <v>10</v>
      </c>
      <c r="G1203" s="308" t="s">
        <v>378</v>
      </c>
      <c r="K1203" s="138">
        <f t="shared" si="29"/>
        <v>191.9</v>
      </c>
    </row>
    <row r="1204" spans="1:11">
      <c r="A1204" s="136">
        <v>42639</v>
      </c>
      <c r="B1204" s="307" t="s">
        <v>3204</v>
      </c>
      <c r="C1204" s="137" t="s">
        <v>372</v>
      </c>
      <c r="D1204" s="138">
        <v>67.540000000000006</v>
      </c>
      <c r="E1204" s="138">
        <v>3.52</v>
      </c>
      <c r="G1204" s="308" t="s">
        <v>378</v>
      </c>
      <c r="K1204" s="138">
        <f t="shared" si="29"/>
        <v>67.540000000000006</v>
      </c>
    </row>
    <row r="1205" spans="1:11">
      <c r="A1205" s="136">
        <v>42640</v>
      </c>
      <c r="B1205" s="307" t="s">
        <v>3141</v>
      </c>
      <c r="C1205" s="137" t="s">
        <v>186</v>
      </c>
      <c r="D1205" s="138">
        <v>955.19</v>
      </c>
      <c r="E1205" s="138">
        <v>80.56</v>
      </c>
      <c r="G1205" s="308" t="s">
        <v>373</v>
      </c>
      <c r="K1205" s="138">
        <f t="shared" si="29"/>
        <v>955.19</v>
      </c>
    </row>
    <row r="1206" spans="1:11">
      <c r="A1206" s="136">
        <v>42640</v>
      </c>
      <c r="B1206" s="307" t="s">
        <v>3212</v>
      </c>
      <c r="C1206" s="137" t="s">
        <v>186</v>
      </c>
      <c r="D1206" s="138">
        <v>1756.38</v>
      </c>
      <c r="E1206" s="138">
        <v>111</v>
      </c>
      <c r="G1206" s="308" t="s">
        <v>378</v>
      </c>
      <c r="K1206" s="138">
        <f t="shared" si="29"/>
        <v>1756.38</v>
      </c>
    </row>
    <row r="1207" spans="1:11">
      <c r="A1207" s="136">
        <v>42641</v>
      </c>
      <c r="B1207" s="307" t="s">
        <v>3303</v>
      </c>
      <c r="C1207" s="137" t="s">
        <v>186</v>
      </c>
      <c r="D1207" s="138">
        <v>53.48</v>
      </c>
      <c r="E1207" s="138">
        <v>5.61</v>
      </c>
      <c r="G1207" s="308" t="s">
        <v>373</v>
      </c>
      <c r="K1207" s="138">
        <f t="shared" si="29"/>
        <v>53.48</v>
      </c>
    </row>
    <row r="1208" spans="1:11">
      <c r="A1208" s="136">
        <v>42642</v>
      </c>
      <c r="B1208" s="307" t="s">
        <v>3153</v>
      </c>
      <c r="C1208" s="137" t="s">
        <v>372</v>
      </c>
      <c r="D1208" s="138">
        <v>198.88</v>
      </c>
      <c r="E1208" s="138">
        <v>10.37</v>
      </c>
      <c r="G1208" s="308" t="s">
        <v>378</v>
      </c>
      <c r="K1208" s="138">
        <f t="shared" si="29"/>
        <v>198.88</v>
      </c>
    </row>
    <row r="1209" spans="1:11">
      <c r="A1209" s="136">
        <v>42642</v>
      </c>
      <c r="B1209" s="307" t="s">
        <v>3274</v>
      </c>
      <c r="C1209" s="137" t="s">
        <v>372</v>
      </c>
      <c r="D1209" s="138">
        <v>20.87</v>
      </c>
      <c r="E1209" s="138">
        <v>1.0900000000000001</v>
      </c>
      <c r="G1209" s="308" t="s">
        <v>373</v>
      </c>
      <c r="K1209" s="138">
        <f t="shared" si="29"/>
        <v>20.87</v>
      </c>
    </row>
    <row r="1210" spans="1:11">
      <c r="A1210" s="136">
        <v>42642</v>
      </c>
      <c r="B1210" s="307" t="s">
        <v>3275</v>
      </c>
      <c r="C1210" s="137" t="s">
        <v>187</v>
      </c>
      <c r="D1210" s="138">
        <v>891.94</v>
      </c>
      <c r="E1210" s="138">
        <v>59.69</v>
      </c>
      <c r="G1210" s="308" t="s">
        <v>378</v>
      </c>
      <c r="K1210" s="138">
        <f t="shared" si="29"/>
        <v>891.94</v>
      </c>
    </row>
    <row r="1211" spans="1:11">
      <c r="A1211" s="136">
        <v>42643</v>
      </c>
      <c r="B1211" s="307" t="s">
        <v>3147</v>
      </c>
      <c r="C1211" s="137" t="s">
        <v>372</v>
      </c>
      <c r="D1211" s="138">
        <v>180.3</v>
      </c>
      <c r="E1211" s="138">
        <v>9.4</v>
      </c>
      <c r="G1211" s="308" t="s">
        <v>378</v>
      </c>
      <c r="K1211" s="138">
        <f t="shared" si="29"/>
        <v>180.3</v>
      </c>
    </row>
    <row r="1212" spans="1:11">
      <c r="A1212" s="136">
        <v>42643</v>
      </c>
      <c r="B1212" s="307" t="s">
        <v>3148</v>
      </c>
      <c r="C1212" s="137" t="s">
        <v>372</v>
      </c>
      <c r="D1212" s="138">
        <v>76.209999999999994</v>
      </c>
      <c r="E1212" s="138">
        <v>3.97</v>
      </c>
      <c r="G1212" s="308" t="s">
        <v>378</v>
      </c>
      <c r="K1212" s="138">
        <f t="shared" si="29"/>
        <v>76.209999999999994</v>
      </c>
    </row>
    <row r="1213" spans="1:11">
      <c r="A1213" s="136">
        <v>42643</v>
      </c>
      <c r="B1213" s="307" t="s">
        <v>3142</v>
      </c>
      <c r="C1213" s="137" t="s">
        <v>372</v>
      </c>
      <c r="D1213" s="138">
        <v>11.39</v>
      </c>
      <c r="E1213" s="138">
        <v>0.59</v>
      </c>
      <c r="G1213" s="308" t="s">
        <v>373</v>
      </c>
      <c r="K1213" s="138">
        <f t="shared" si="29"/>
        <v>11.39</v>
      </c>
    </row>
    <row r="1214" spans="1:11">
      <c r="A1214" s="136">
        <v>42643</v>
      </c>
      <c r="B1214" s="307" t="s">
        <v>3276</v>
      </c>
      <c r="C1214" s="137" t="s">
        <v>187</v>
      </c>
      <c r="D1214" s="138">
        <v>656.25</v>
      </c>
      <c r="E1214" s="138">
        <v>47.6</v>
      </c>
      <c r="G1214" s="308" t="s">
        <v>373</v>
      </c>
      <c r="K1214" s="138">
        <f t="shared" si="29"/>
        <v>656.25</v>
      </c>
    </row>
    <row r="1215" spans="1:11">
      <c r="A1215" s="136">
        <v>42643</v>
      </c>
      <c r="B1215" s="307" t="s">
        <v>3277</v>
      </c>
      <c r="C1215" s="137" t="s">
        <v>186</v>
      </c>
      <c r="D1215" s="138">
        <v>2068.5</v>
      </c>
      <c r="E1215" s="138">
        <v>146</v>
      </c>
      <c r="G1215" s="308" t="s">
        <v>378</v>
      </c>
      <c r="K1215" s="138">
        <f t="shared" si="29"/>
        <v>2068.5</v>
      </c>
    </row>
    <row r="1216" spans="1:11">
      <c r="A1216" s="136">
        <v>42643</v>
      </c>
      <c r="B1216" s="307" t="s">
        <v>3278</v>
      </c>
      <c r="C1216" s="137" t="s">
        <v>2719</v>
      </c>
      <c r="D1216" s="138">
        <v>451.54</v>
      </c>
      <c r="E1216" s="138">
        <v>23.54</v>
      </c>
      <c r="G1216" s="308" t="s">
        <v>373</v>
      </c>
      <c r="K1216" s="138">
        <f t="shared" si="29"/>
        <v>451.54</v>
      </c>
    </row>
    <row r="1217" spans="1:11">
      <c r="A1217" s="136">
        <v>42643</v>
      </c>
      <c r="B1217" s="307" t="s">
        <v>3308</v>
      </c>
      <c r="C1217" s="137" t="s">
        <v>3206</v>
      </c>
      <c r="D1217" s="378">
        <v>152.49</v>
      </c>
      <c r="E1217" s="138">
        <v>7.95</v>
      </c>
      <c r="G1217" s="308" t="s">
        <v>378</v>
      </c>
      <c r="K1217" s="138">
        <f t="shared" si="29"/>
        <v>152.49</v>
      </c>
    </row>
    <row r="1218" spans="1:11">
      <c r="A1218" s="136">
        <v>42644</v>
      </c>
      <c r="B1218" s="307" t="s">
        <v>3279</v>
      </c>
      <c r="C1218" s="137" t="s">
        <v>186</v>
      </c>
      <c r="D1218" s="138">
        <v>41.88</v>
      </c>
      <c r="E1218" s="138">
        <v>6.98</v>
      </c>
      <c r="G1218" s="308" t="s">
        <v>378</v>
      </c>
      <c r="K1218" s="138">
        <f t="shared" si="29"/>
        <v>41.88</v>
      </c>
    </row>
    <row r="1219" spans="1:11">
      <c r="A1219" s="136">
        <v>42646</v>
      </c>
      <c r="B1219" s="307" t="s">
        <v>3280</v>
      </c>
      <c r="C1219" s="137" t="s">
        <v>182</v>
      </c>
      <c r="D1219" s="138">
        <v>592.70000000000005</v>
      </c>
      <c r="E1219" s="138">
        <v>30.9</v>
      </c>
      <c r="G1219" s="308" t="s">
        <v>378</v>
      </c>
      <c r="K1219" s="138">
        <f t="shared" si="29"/>
        <v>592.70000000000005</v>
      </c>
    </row>
    <row r="1220" spans="1:11">
      <c r="A1220" s="136">
        <v>42646</v>
      </c>
      <c r="B1220" s="307" t="s">
        <v>3302</v>
      </c>
      <c r="C1220" s="137" t="s">
        <v>187</v>
      </c>
      <c r="D1220" s="138">
        <v>894.9</v>
      </c>
      <c r="E1220" s="138">
        <v>46.65</v>
      </c>
      <c r="G1220" s="308" t="s">
        <v>378</v>
      </c>
      <c r="K1220" s="138">
        <f t="shared" si="29"/>
        <v>894.9</v>
      </c>
    </row>
    <row r="1221" spans="1:11">
      <c r="A1221" s="136">
        <v>42646</v>
      </c>
      <c r="B1221" s="307" t="s">
        <v>3342</v>
      </c>
      <c r="C1221" s="137" t="s">
        <v>372</v>
      </c>
      <c r="D1221" s="138">
        <v>14.64</v>
      </c>
      <c r="E1221" s="138">
        <v>0.76</v>
      </c>
      <c r="G1221" s="308" t="s">
        <v>373</v>
      </c>
      <c r="K1221" s="138">
        <f t="shared" si="29"/>
        <v>14.64</v>
      </c>
    </row>
    <row r="1222" spans="1:11">
      <c r="A1222" s="136">
        <v>42647</v>
      </c>
      <c r="B1222" s="307" t="s">
        <v>3281</v>
      </c>
      <c r="C1222" s="137" t="s">
        <v>186</v>
      </c>
      <c r="D1222" s="138">
        <v>1511.12</v>
      </c>
      <c r="E1222" s="138">
        <v>170</v>
      </c>
      <c r="G1222" s="308" t="s">
        <v>373</v>
      </c>
      <c r="K1222" s="138">
        <f t="shared" si="29"/>
        <v>1511.12</v>
      </c>
    </row>
    <row r="1223" spans="1:11">
      <c r="A1223" s="136">
        <v>42647</v>
      </c>
      <c r="B1223" s="307" t="s">
        <v>3282</v>
      </c>
      <c r="C1223" s="137" t="s">
        <v>186</v>
      </c>
      <c r="D1223" s="138">
        <v>20.82</v>
      </c>
      <c r="E1223" s="138">
        <v>1.5</v>
      </c>
      <c r="G1223" s="308" t="s">
        <v>373</v>
      </c>
      <c r="K1223" s="138">
        <f t="shared" si="29"/>
        <v>20.82</v>
      </c>
    </row>
    <row r="1224" spans="1:11">
      <c r="A1224" s="136">
        <v>42647</v>
      </c>
      <c r="B1224" s="307" t="s">
        <v>3283</v>
      </c>
      <c r="C1224" s="137" t="s">
        <v>372</v>
      </c>
      <c r="D1224" s="138">
        <v>40.51</v>
      </c>
      <c r="E1224" s="138">
        <v>2.11</v>
      </c>
      <c r="G1224" s="308" t="s">
        <v>378</v>
      </c>
      <c r="K1224" s="138">
        <f t="shared" si="29"/>
        <v>40.51</v>
      </c>
    </row>
    <row r="1225" spans="1:11">
      <c r="A1225" s="136">
        <v>42647</v>
      </c>
      <c r="B1225" s="307" t="s">
        <v>3284</v>
      </c>
      <c r="C1225" s="137" t="s">
        <v>852</v>
      </c>
      <c r="D1225" s="138">
        <v>210.16</v>
      </c>
      <c r="E1225" s="138">
        <v>10.96</v>
      </c>
      <c r="G1225" s="308" t="s">
        <v>373</v>
      </c>
      <c r="K1225" s="138">
        <f t="shared" si="29"/>
        <v>210.16</v>
      </c>
    </row>
    <row r="1226" spans="1:11">
      <c r="A1226" s="136">
        <v>42647</v>
      </c>
      <c r="B1226" s="307" t="s">
        <v>3304</v>
      </c>
      <c r="C1226" s="137" t="s">
        <v>186</v>
      </c>
      <c r="D1226" s="138">
        <v>1136.96</v>
      </c>
      <c r="E1226" s="138">
        <v>111</v>
      </c>
      <c r="G1226" s="308" t="s">
        <v>378</v>
      </c>
      <c r="K1226" s="138">
        <f t="shared" si="29"/>
        <v>1136.96</v>
      </c>
    </row>
    <row r="1227" spans="1:11">
      <c r="A1227" s="136">
        <v>42647</v>
      </c>
      <c r="B1227" s="307" t="s">
        <v>3318</v>
      </c>
      <c r="C1227" s="137" t="s">
        <v>3146</v>
      </c>
      <c r="D1227" s="138">
        <v>543.9</v>
      </c>
      <c r="E1227" s="138">
        <v>90.65</v>
      </c>
      <c r="G1227" s="308" t="s">
        <v>378</v>
      </c>
      <c r="K1227" s="138">
        <f t="shared" si="29"/>
        <v>543.9</v>
      </c>
    </row>
    <row r="1228" spans="1:11">
      <c r="A1228" s="136">
        <v>42648</v>
      </c>
      <c r="B1228" s="307" t="s">
        <v>3285</v>
      </c>
      <c r="C1228" s="137" t="s">
        <v>186</v>
      </c>
      <c r="D1228" s="138">
        <v>34.409999999999997</v>
      </c>
      <c r="E1228" s="138">
        <v>1.79</v>
      </c>
      <c r="G1228" s="308" t="s">
        <v>373</v>
      </c>
      <c r="K1228" s="138">
        <f t="shared" si="29"/>
        <v>34.409999999999997</v>
      </c>
    </row>
    <row r="1229" spans="1:11">
      <c r="A1229" s="136">
        <v>42648</v>
      </c>
      <c r="B1229" s="307" t="s">
        <v>3286</v>
      </c>
      <c r="C1229" s="137" t="s">
        <v>186</v>
      </c>
      <c r="D1229" s="138">
        <v>27.78</v>
      </c>
      <c r="E1229" s="138">
        <v>1.45</v>
      </c>
      <c r="G1229" s="308" t="s">
        <v>373</v>
      </c>
      <c r="K1229" s="138">
        <f t="shared" si="29"/>
        <v>27.78</v>
      </c>
    </row>
    <row r="1230" spans="1:11">
      <c r="A1230" s="136">
        <v>42648</v>
      </c>
      <c r="B1230" s="307" t="s">
        <v>3341</v>
      </c>
      <c r="C1230" s="137" t="s">
        <v>372</v>
      </c>
      <c r="D1230" s="378">
        <v>28.23</v>
      </c>
      <c r="E1230" s="138">
        <v>1.47</v>
      </c>
      <c r="G1230" s="308" t="s">
        <v>373</v>
      </c>
      <c r="K1230" s="138">
        <f t="shared" si="29"/>
        <v>28.23</v>
      </c>
    </row>
    <row r="1231" spans="1:11">
      <c r="A1231" s="136">
        <v>42649</v>
      </c>
      <c r="B1231" s="307" t="s">
        <v>3287</v>
      </c>
      <c r="C1231" s="137" t="s">
        <v>186</v>
      </c>
      <c r="D1231" s="138">
        <v>108.2</v>
      </c>
      <c r="E1231" s="138">
        <v>5.64</v>
      </c>
      <c r="G1231" s="308" t="s">
        <v>373</v>
      </c>
      <c r="K1231" s="138">
        <f t="shared" si="29"/>
        <v>108.2</v>
      </c>
    </row>
    <row r="1232" spans="1:11">
      <c r="A1232" s="136">
        <v>42649</v>
      </c>
      <c r="B1232" s="307" t="s">
        <v>3288</v>
      </c>
      <c r="C1232" s="137" t="s">
        <v>372</v>
      </c>
      <c r="D1232" s="138">
        <v>73.430000000000007</v>
      </c>
      <c r="E1232" s="138">
        <v>3.83</v>
      </c>
      <c r="G1232" s="308" t="s">
        <v>378</v>
      </c>
      <c r="K1232" s="138">
        <f t="shared" si="29"/>
        <v>73.430000000000007</v>
      </c>
    </row>
    <row r="1233" spans="1:11">
      <c r="A1233" s="136">
        <v>42650</v>
      </c>
      <c r="B1233" s="307" t="s">
        <v>3336</v>
      </c>
      <c r="C1233" s="137" t="s">
        <v>187</v>
      </c>
      <c r="D1233" s="138">
        <v>647.37</v>
      </c>
      <c r="E1233" s="138">
        <v>46.17</v>
      </c>
      <c r="G1233" s="308" t="s">
        <v>373</v>
      </c>
      <c r="K1233" s="138">
        <f t="shared" si="29"/>
        <v>647.37</v>
      </c>
    </row>
    <row r="1234" spans="1:11">
      <c r="A1234" s="136">
        <v>42651</v>
      </c>
      <c r="B1234" s="307" t="s">
        <v>3289</v>
      </c>
      <c r="C1234" s="137" t="s">
        <v>372</v>
      </c>
      <c r="D1234" s="138">
        <v>170.44</v>
      </c>
      <c r="E1234" s="138">
        <v>8.89</v>
      </c>
      <c r="G1234" s="308" t="s">
        <v>378</v>
      </c>
      <c r="K1234" s="138">
        <f t="shared" si="29"/>
        <v>170.44</v>
      </c>
    </row>
    <row r="1235" spans="1:11">
      <c r="A1235" s="136">
        <v>42653</v>
      </c>
      <c r="B1235" s="307" t="s">
        <v>3290</v>
      </c>
      <c r="C1235" s="137" t="s">
        <v>372</v>
      </c>
      <c r="D1235" s="138">
        <v>67.650000000000006</v>
      </c>
      <c r="E1235" s="138">
        <v>3.53</v>
      </c>
      <c r="G1235" s="308" t="s">
        <v>378</v>
      </c>
      <c r="K1235" s="138">
        <f t="shared" ref="K1235:K1298" si="30">IF(D1235&lt;&gt;"",D1235-I1235,"")</f>
        <v>67.650000000000006</v>
      </c>
    </row>
    <row r="1236" spans="1:11">
      <c r="A1236" s="136">
        <v>42653</v>
      </c>
      <c r="B1236" s="307" t="s">
        <v>3300</v>
      </c>
      <c r="C1236" s="137" t="s">
        <v>186</v>
      </c>
      <c r="D1236" s="138">
        <v>2079.91</v>
      </c>
      <c r="E1236" s="138">
        <v>130</v>
      </c>
      <c r="G1236" s="308" t="s">
        <v>373</v>
      </c>
      <c r="K1236" s="138">
        <f t="shared" si="30"/>
        <v>2079.91</v>
      </c>
    </row>
    <row r="1237" spans="1:11">
      <c r="A1237" s="136">
        <v>42653</v>
      </c>
      <c r="B1237" s="307" t="s">
        <v>3301</v>
      </c>
      <c r="C1237" s="137" t="s">
        <v>186</v>
      </c>
      <c r="D1237" s="138">
        <v>1653.75</v>
      </c>
      <c r="E1237" s="138">
        <v>160</v>
      </c>
      <c r="G1237" s="308" t="s">
        <v>373</v>
      </c>
      <c r="K1237" s="138">
        <f t="shared" si="30"/>
        <v>1653.75</v>
      </c>
    </row>
    <row r="1238" spans="1:11">
      <c r="A1238" s="136">
        <v>42653</v>
      </c>
      <c r="B1238" s="307" t="s">
        <v>3332</v>
      </c>
      <c r="C1238" s="137" t="s">
        <v>3206</v>
      </c>
      <c r="D1238" s="138">
        <v>3362.65</v>
      </c>
      <c r="E1238" s="138">
        <v>175.3</v>
      </c>
      <c r="G1238" s="308" t="s">
        <v>378</v>
      </c>
      <c r="K1238" s="138">
        <f t="shared" si="30"/>
        <v>3362.65</v>
      </c>
    </row>
    <row r="1239" spans="1:11">
      <c r="A1239" s="136">
        <v>42653</v>
      </c>
      <c r="B1239" s="307" t="s">
        <v>3346</v>
      </c>
      <c r="C1239" s="137" t="s">
        <v>187</v>
      </c>
      <c r="D1239" s="138">
        <v>760.34</v>
      </c>
      <c r="E1239" s="138">
        <v>39.64</v>
      </c>
      <c r="G1239" s="308" t="s">
        <v>378</v>
      </c>
      <c r="K1239" s="138">
        <f t="shared" si="30"/>
        <v>760.34</v>
      </c>
    </row>
    <row r="1240" spans="1:11">
      <c r="A1240" s="136">
        <v>42654</v>
      </c>
      <c r="B1240" s="307" t="s">
        <v>3299</v>
      </c>
      <c r="C1240" s="137" t="s">
        <v>186</v>
      </c>
      <c r="D1240" s="138">
        <v>378.24</v>
      </c>
      <c r="E1240" s="138">
        <v>32</v>
      </c>
      <c r="G1240" s="308" t="s">
        <v>373</v>
      </c>
      <c r="K1240" s="138">
        <f t="shared" si="30"/>
        <v>378.24</v>
      </c>
    </row>
    <row r="1241" spans="1:11">
      <c r="A1241" s="136">
        <v>42654</v>
      </c>
      <c r="B1241" s="307" t="s">
        <v>3305</v>
      </c>
      <c r="C1241" s="137" t="s">
        <v>182</v>
      </c>
      <c r="D1241" s="138">
        <v>387.15</v>
      </c>
      <c r="E1241" s="138">
        <v>20.18</v>
      </c>
      <c r="G1241" s="308" t="s">
        <v>378</v>
      </c>
      <c r="K1241" s="138">
        <f t="shared" si="30"/>
        <v>387.15</v>
      </c>
    </row>
    <row r="1242" spans="1:11">
      <c r="A1242" s="136">
        <v>42654</v>
      </c>
      <c r="B1242" s="307" t="s">
        <v>3307</v>
      </c>
      <c r="C1242" s="137" t="s">
        <v>372</v>
      </c>
      <c r="D1242" s="138">
        <v>145.33000000000001</v>
      </c>
      <c r="E1242" s="138">
        <v>7.58</v>
      </c>
      <c r="G1242" s="308" t="s">
        <v>378</v>
      </c>
      <c r="K1242" s="138">
        <f t="shared" si="30"/>
        <v>145.33000000000001</v>
      </c>
    </row>
    <row r="1243" spans="1:11">
      <c r="A1243" s="136">
        <v>42654</v>
      </c>
      <c r="B1243" s="307" t="s">
        <v>3340</v>
      </c>
      <c r="C1243" s="137" t="s">
        <v>372</v>
      </c>
      <c r="D1243" s="138">
        <v>29.59</v>
      </c>
      <c r="E1243" s="138">
        <v>1.54</v>
      </c>
      <c r="G1243" s="308" t="s">
        <v>373</v>
      </c>
      <c r="K1243" s="138">
        <f t="shared" si="30"/>
        <v>29.59</v>
      </c>
    </row>
    <row r="1244" spans="1:11">
      <c r="A1244" s="136">
        <v>42656</v>
      </c>
      <c r="B1244" s="307" t="s">
        <v>3306</v>
      </c>
      <c r="C1244" s="137" t="s">
        <v>372</v>
      </c>
      <c r="D1244" s="138">
        <v>144.82</v>
      </c>
      <c r="E1244" s="138">
        <v>7.55</v>
      </c>
      <c r="G1244" s="308" t="s">
        <v>378</v>
      </c>
      <c r="K1244" s="138">
        <f t="shared" si="30"/>
        <v>144.82</v>
      </c>
    </row>
    <row r="1245" spans="1:11">
      <c r="A1245" s="136">
        <v>42656</v>
      </c>
      <c r="B1245" s="307" t="s">
        <v>3309</v>
      </c>
      <c r="C1245" s="137" t="s">
        <v>182</v>
      </c>
      <c r="D1245" s="138">
        <v>993.98</v>
      </c>
      <c r="E1245" s="138">
        <v>51.82</v>
      </c>
      <c r="G1245" s="308" t="s">
        <v>373</v>
      </c>
      <c r="K1245" s="138">
        <f t="shared" si="30"/>
        <v>993.98</v>
      </c>
    </row>
    <row r="1246" spans="1:11">
      <c r="A1246" s="136">
        <v>42656</v>
      </c>
      <c r="B1246" s="307" t="s">
        <v>3310</v>
      </c>
      <c r="C1246" s="137" t="s">
        <v>2719</v>
      </c>
      <c r="D1246" s="138">
        <v>797.58</v>
      </c>
      <c r="E1246" s="138">
        <v>41.58</v>
      </c>
      <c r="G1246" s="308" t="s">
        <v>378</v>
      </c>
      <c r="K1246" s="138">
        <f t="shared" si="30"/>
        <v>797.58</v>
      </c>
    </row>
    <row r="1247" spans="1:11">
      <c r="A1247" s="136">
        <v>42656</v>
      </c>
      <c r="B1247" s="307" t="s">
        <v>3331</v>
      </c>
      <c r="C1247" s="137" t="s">
        <v>187</v>
      </c>
      <c r="D1247" s="138">
        <v>920.12</v>
      </c>
      <c r="E1247" s="138">
        <v>59.07</v>
      </c>
      <c r="G1247" s="308" t="s">
        <v>378</v>
      </c>
      <c r="K1247" s="138">
        <f t="shared" si="30"/>
        <v>920.12</v>
      </c>
    </row>
    <row r="1248" spans="1:11">
      <c r="A1248" s="136">
        <v>42656</v>
      </c>
      <c r="B1248" s="307" t="s">
        <v>3339</v>
      </c>
      <c r="C1248" s="137" t="s">
        <v>372</v>
      </c>
      <c r="D1248" s="138">
        <v>22.94</v>
      </c>
      <c r="E1248" s="138">
        <v>1.2</v>
      </c>
      <c r="G1248" s="308" t="s">
        <v>373</v>
      </c>
      <c r="K1248" s="138">
        <f t="shared" si="30"/>
        <v>22.94</v>
      </c>
    </row>
    <row r="1249" spans="1:11">
      <c r="A1249" s="136">
        <v>42656</v>
      </c>
      <c r="B1249" s="307" t="s">
        <v>3343</v>
      </c>
      <c r="C1249" s="137" t="s">
        <v>186</v>
      </c>
      <c r="D1249" s="138">
        <v>854.63</v>
      </c>
      <c r="E1249" s="378">
        <v>60.18</v>
      </c>
      <c r="G1249" s="308" t="s">
        <v>373</v>
      </c>
      <c r="K1249" s="138">
        <f t="shared" si="30"/>
        <v>854.63</v>
      </c>
    </row>
    <row r="1250" spans="1:11">
      <c r="A1250" s="136">
        <v>42657</v>
      </c>
      <c r="B1250" s="307" t="s">
        <v>3325</v>
      </c>
      <c r="C1250" s="137" t="s">
        <v>187</v>
      </c>
      <c r="D1250" s="138">
        <v>463.83</v>
      </c>
      <c r="E1250" s="138">
        <v>28.58</v>
      </c>
      <c r="G1250" s="308" t="s">
        <v>373</v>
      </c>
      <c r="K1250" s="138">
        <f t="shared" si="30"/>
        <v>463.83</v>
      </c>
    </row>
    <row r="1251" spans="1:11">
      <c r="A1251" s="136">
        <v>42657</v>
      </c>
      <c r="B1251" s="307" t="s">
        <v>3344</v>
      </c>
      <c r="C1251" s="137" t="s">
        <v>186</v>
      </c>
      <c r="D1251" s="138">
        <v>1125.29</v>
      </c>
      <c r="E1251" s="138">
        <v>61.98</v>
      </c>
      <c r="G1251" s="308" t="s">
        <v>373</v>
      </c>
      <c r="K1251" s="138">
        <f t="shared" si="30"/>
        <v>1125.29</v>
      </c>
    </row>
    <row r="1252" spans="1:11">
      <c r="A1252" s="136">
        <v>42657</v>
      </c>
      <c r="B1252" s="307" t="s">
        <v>3345</v>
      </c>
      <c r="C1252" s="137" t="s">
        <v>186</v>
      </c>
      <c r="D1252" s="138">
        <v>25.82</v>
      </c>
      <c r="E1252" s="138">
        <v>1.76</v>
      </c>
      <c r="G1252" s="308" t="s">
        <v>373</v>
      </c>
      <c r="K1252" s="138">
        <f t="shared" si="30"/>
        <v>25.82</v>
      </c>
    </row>
    <row r="1253" spans="1:11">
      <c r="A1253" s="136">
        <v>42658</v>
      </c>
      <c r="B1253" s="307" t="s">
        <v>3297</v>
      </c>
      <c r="C1253" s="137" t="s">
        <v>372</v>
      </c>
      <c r="D1253" s="138">
        <v>351.03</v>
      </c>
      <c r="E1253" s="138">
        <v>18.3</v>
      </c>
      <c r="G1253" s="308" t="s">
        <v>378</v>
      </c>
      <c r="K1253" s="138">
        <f t="shared" si="30"/>
        <v>351.03</v>
      </c>
    </row>
    <row r="1254" spans="1:11">
      <c r="A1254" s="136">
        <v>42658</v>
      </c>
      <c r="B1254" s="307" t="s">
        <v>3298</v>
      </c>
      <c r="C1254" s="137" t="s">
        <v>372</v>
      </c>
      <c r="D1254" s="138">
        <v>30.2</v>
      </c>
      <c r="E1254" s="138">
        <v>1.57</v>
      </c>
      <c r="G1254" s="308" t="s">
        <v>378</v>
      </c>
      <c r="K1254" s="138">
        <f t="shared" si="30"/>
        <v>30.2</v>
      </c>
    </row>
    <row r="1255" spans="1:11">
      <c r="A1255" s="136">
        <v>42660</v>
      </c>
      <c r="B1255" s="307" t="s">
        <v>3296</v>
      </c>
      <c r="C1255" s="137" t="s">
        <v>372</v>
      </c>
      <c r="D1255" s="138">
        <v>32.49</v>
      </c>
      <c r="E1255" s="138">
        <v>1.69</v>
      </c>
      <c r="G1255" s="308" t="s">
        <v>378</v>
      </c>
      <c r="K1255" s="138">
        <f t="shared" si="30"/>
        <v>32.49</v>
      </c>
    </row>
    <row r="1256" spans="1:11">
      <c r="A1256" s="136">
        <v>42660</v>
      </c>
      <c r="B1256" s="307" t="s">
        <v>3327</v>
      </c>
      <c r="C1256" s="137" t="s">
        <v>186</v>
      </c>
      <c r="D1256" s="138">
        <v>1251</v>
      </c>
      <c r="E1256" s="138">
        <v>103.83</v>
      </c>
      <c r="G1256" s="308" t="s">
        <v>373</v>
      </c>
      <c r="K1256" s="138">
        <f t="shared" si="30"/>
        <v>1251</v>
      </c>
    </row>
    <row r="1257" spans="1:11">
      <c r="A1257" s="136">
        <v>42660</v>
      </c>
      <c r="B1257" s="307" t="s">
        <v>3328</v>
      </c>
      <c r="C1257" s="137" t="s">
        <v>186</v>
      </c>
      <c r="D1257" s="138">
        <v>437.2</v>
      </c>
      <c r="E1257" s="138">
        <v>45.35</v>
      </c>
      <c r="G1257" s="308" t="s">
        <v>373</v>
      </c>
      <c r="K1257" s="138">
        <f t="shared" si="30"/>
        <v>437.2</v>
      </c>
    </row>
    <row r="1258" spans="1:11">
      <c r="A1258" s="136">
        <v>42660</v>
      </c>
      <c r="B1258" s="307" t="s">
        <v>3338</v>
      </c>
      <c r="C1258" s="137" t="s">
        <v>372</v>
      </c>
      <c r="D1258" s="138">
        <v>20.53</v>
      </c>
      <c r="E1258" s="138">
        <v>1.07</v>
      </c>
      <c r="G1258" s="308" t="s">
        <v>373</v>
      </c>
      <c r="K1258" s="138">
        <f t="shared" si="30"/>
        <v>20.53</v>
      </c>
    </row>
    <row r="1259" spans="1:11">
      <c r="A1259" s="136">
        <v>42661</v>
      </c>
      <c r="B1259" s="307" t="s">
        <v>3326</v>
      </c>
      <c r="C1259" s="137" t="s">
        <v>186</v>
      </c>
      <c r="D1259" s="138">
        <v>864.57</v>
      </c>
      <c r="E1259" s="138">
        <v>69.34</v>
      </c>
      <c r="G1259" s="308" t="s">
        <v>373</v>
      </c>
      <c r="K1259" s="138">
        <f t="shared" si="30"/>
        <v>864.57</v>
      </c>
    </row>
    <row r="1260" spans="1:11">
      <c r="A1260" s="136">
        <v>42662</v>
      </c>
      <c r="B1260" s="307" t="s">
        <v>3337</v>
      </c>
      <c r="C1260" s="137" t="s">
        <v>372</v>
      </c>
      <c r="D1260" s="138">
        <v>15.42</v>
      </c>
      <c r="E1260" s="138">
        <v>0.8</v>
      </c>
      <c r="G1260" s="308" t="s">
        <v>373</v>
      </c>
      <c r="K1260" s="138">
        <f t="shared" si="30"/>
        <v>15.42</v>
      </c>
    </row>
    <row r="1261" spans="1:11">
      <c r="A1261" s="136">
        <v>42662</v>
      </c>
      <c r="B1261" s="307" t="s">
        <v>3353</v>
      </c>
      <c r="C1261" s="137" t="s">
        <v>187</v>
      </c>
      <c r="D1261" s="138">
        <v>1067.3</v>
      </c>
      <c r="E1261" s="138">
        <v>66.75</v>
      </c>
      <c r="G1261" s="308" t="s">
        <v>378</v>
      </c>
      <c r="K1261" s="138">
        <f t="shared" si="30"/>
        <v>1067.3</v>
      </c>
    </row>
    <row r="1262" spans="1:11">
      <c r="A1262" s="136">
        <v>42663</v>
      </c>
      <c r="B1262" s="307" t="s">
        <v>3334</v>
      </c>
      <c r="C1262" s="137" t="s">
        <v>372</v>
      </c>
      <c r="D1262" s="138">
        <v>206.95</v>
      </c>
      <c r="E1262" s="138">
        <v>10.79</v>
      </c>
      <c r="G1262" s="308" t="s">
        <v>378</v>
      </c>
      <c r="K1262" s="138">
        <f t="shared" si="30"/>
        <v>206.95</v>
      </c>
    </row>
    <row r="1263" spans="1:11">
      <c r="A1263" s="136">
        <v>42663</v>
      </c>
      <c r="B1263" s="307" t="s">
        <v>3335</v>
      </c>
      <c r="C1263" s="137" t="s">
        <v>372</v>
      </c>
      <c r="D1263" s="138">
        <v>48.91</v>
      </c>
      <c r="E1263" s="138">
        <v>2.5499999999999998</v>
      </c>
      <c r="G1263" s="308" t="s">
        <v>378</v>
      </c>
      <c r="K1263" s="138">
        <f t="shared" si="30"/>
        <v>48.91</v>
      </c>
    </row>
    <row r="1264" spans="1:11">
      <c r="A1264" s="136">
        <v>42663</v>
      </c>
      <c r="B1264" s="307" t="s">
        <v>3348</v>
      </c>
      <c r="C1264" s="137" t="s">
        <v>3206</v>
      </c>
      <c r="D1264" s="138">
        <v>3420.76</v>
      </c>
      <c r="E1264" s="138">
        <v>178.33</v>
      </c>
      <c r="G1264" s="308" t="s">
        <v>378</v>
      </c>
      <c r="K1264" s="138">
        <f t="shared" si="30"/>
        <v>3420.76</v>
      </c>
    </row>
    <row r="1265" spans="1:11">
      <c r="A1265" s="136">
        <v>42663</v>
      </c>
      <c r="B1265" s="307" t="s">
        <v>3350</v>
      </c>
      <c r="C1265" s="137" t="s">
        <v>186</v>
      </c>
      <c r="D1265" s="138">
        <v>837.84</v>
      </c>
      <c r="E1265" s="138">
        <v>66.98</v>
      </c>
      <c r="G1265" s="308" t="s">
        <v>373</v>
      </c>
      <c r="K1265" s="138">
        <f t="shared" si="30"/>
        <v>837.84</v>
      </c>
    </row>
    <row r="1266" spans="1:11">
      <c r="A1266" s="136">
        <v>42664</v>
      </c>
      <c r="B1266" s="307" t="s">
        <v>3329</v>
      </c>
      <c r="C1266" s="137" t="s">
        <v>372</v>
      </c>
      <c r="D1266" s="138">
        <v>143.66999999999999</v>
      </c>
      <c r="E1266" s="138">
        <v>7.49</v>
      </c>
      <c r="G1266" s="308" t="s">
        <v>378</v>
      </c>
      <c r="K1266" s="138">
        <f t="shared" si="30"/>
        <v>143.66999999999999</v>
      </c>
    </row>
    <row r="1267" spans="1:11">
      <c r="A1267" s="136">
        <v>42664</v>
      </c>
      <c r="B1267" s="307" t="s">
        <v>3330</v>
      </c>
      <c r="C1267" s="137" t="s">
        <v>372</v>
      </c>
      <c r="D1267" s="138">
        <v>51.44</v>
      </c>
      <c r="E1267" s="138">
        <v>2.68</v>
      </c>
      <c r="G1267" s="308" t="s">
        <v>378</v>
      </c>
      <c r="K1267" s="138">
        <f t="shared" si="30"/>
        <v>51.44</v>
      </c>
    </row>
    <row r="1268" spans="1:11">
      <c r="A1268" s="136">
        <v>42664</v>
      </c>
      <c r="B1268" s="307" t="s">
        <v>3347</v>
      </c>
      <c r="C1268" s="137" t="s">
        <v>182</v>
      </c>
      <c r="D1268" s="138">
        <v>772.12</v>
      </c>
      <c r="E1268" s="138">
        <v>40.25</v>
      </c>
      <c r="G1268" s="308" t="s">
        <v>378</v>
      </c>
      <c r="K1268" s="138">
        <f t="shared" si="30"/>
        <v>772.12</v>
      </c>
    </row>
    <row r="1269" spans="1:11">
      <c r="A1269" s="136">
        <v>42665</v>
      </c>
      <c r="B1269" s="307" t="s">
        <v>3333</v>
      </c>
      <c r="C1269" s="137" t="s">
        <v>372</v>
      </c>
      <c r="D1269" s="138">
        <v>219.49</v>
      </c>
      <c r="E1269" s="138">
        <v>11.44</v>
      </c>
      <c r="G1269" s="308" t="s">
        <v>378</v>
      </c>
      <c r="K1269" s="138">
        <f t="shared" si="30"/>
        <v>219.49</v>
      </c>
    </row>
    <row r="1270" spans="1:11">
      <c r="A1270" s="136">
        <v>42665</v>
      </c>
      <c r="B1270" s="307" t="s">
        <v>3351</v>
      </c>
      <c r="C1270" s="137" t="s">
        <v>2719</v>
      </c>
      <c r="D1270" s="138">
        <v>557.04</v>
      </c>
      <c r="E1270" s="138">
        <v>29.04</v>
      </c>
      <c r="G1270" s="308" t="s">
        <v>373</v>
      </c>
      <c r="K1270" s="138">
        <f t="shared" si="30"/>
        <v>557.04</v>
      </c>
    </row>
    <row r="1271" spans="1:11">
      <c r="A1271" s="136">
        <v>42668</v>
      </c>
      <c r="B1271" s="307" t="s">
        <v>3352</v>
      </c>
      <c r="C1271" s="137" t="s">
        <v>372</v>
      </c>
      <c r="D1271" s="138">
        <v>79.5</v>
      </c>
      <c r="E1271" s="138">
        <v>4.1399999999999997</v>
      </c>
      <c r="G1271" s="308" t="s">
        <v>378</v>
      </c>
      <c r="K1271" s="138">
        <f t="shared" si="30"/>
        <v>79.5</v>
      </c>
    </row>
    <row r="1272" spans="1:11">
      <c r="A1272" s="136">
        <v>42669</v>
      </c>
      <c r="B1272" s="307" t="s">
        <v>3354</v>
      </c>
      <c r="C1272" s="137" t="s">
        <v>372</v>
      </c>
      <c r="D1272" s="138">
        <v>119</v>
      </c>
      <c r="E1272" s="138">
        <v>6.2</v>
      </c>
      <c r="G1272" s="308" t="s">
        <v>378</v>
      </c>
      <c r="K1272" s="138">
        <f t="shared" si="30"/>
        <v>119</v>
      </c>
    </row>
    <row r="1273" spans="1:11">
      <c r="A1273" s="136">
        <v>42671</v>
      </c>
      <c r="B1273" s="307" t="s">
        <v>3401</v>
      </c>
      <c r="C1273" s="137" t="s">
        <v>372</v>
      </c>
      <c r="D1273" s="138">
        <v>51.42</v>
      </c>
      <c r="E1273" s="138">
        <v>2.68</v>
      </c>
      <c r="G1273" s="308" t="s">
        <v>378</v>
      </c>
      <c r="K1273" s="138">
        <f t="shared" si="30"/>
        <v>51.42</v>
      </c>
    </row>
    <row r="1274" spans="1:11">
      <c r="A1274" s="136">
        <v>42672</v>
      </c>
      <c r="B1274" s="307" t="s">
        <v>3402</v>
      </c>
      <c r="C1274" s="137" t="s">
        <v>372</v>
      </c>
      <c r="D1274" s="138">
        <v>231.45</v>
      </c>
      <c r="E1274" s="138">
        <v>12.07</v>
      </c>
      <c r="G1274" s="308" t="s">
        <v>378</v>
      </c>
      <c r="K1274" s="138">
        <f t="shared" si="30"/>
        <v>231.45</v>
      </c>
    </row>
    <row r="1275" spans="1:11">
      <c r="A1275" s="136">
        <v>42674</v>
      </c>
      <c r="B1275" s="307" t="s">
        <v>3403</v>
      </c>
      <c r="C1275" s="137" t="s">
        <v>372</v>
      </c>
      <c r="D1275" s="138">
        <v>201.51</v>
      </c>
      <c r="E1275" s="138">
        <v>10.51</v>
      </c>
      <c r="G1275" s="308" t="s">
        <v>378</v>
      </c>
      <c r="K1275" s="138">
        <f t="shared" si="30"/>
        <v>201.51</v>
      </c>
    </row>
    <row r="1276" spans="1:11">
      <c r="A1276" s="136">
        <v>42674</v>
      </c>
      <c r="B1276" s="307" t="s">
        <v>3404</v>
      </c>
      <c r="C1276" s="137" t="s">
        <v>372</v>
      </c>
      <c r="D1276" s="138">
        <v>27.51</v>
      </c>
      <c r="E1276" s="138">
        <v>1.43</v>
      </c>
      <c r="G1276" s="308" t="s">
        <v>378</v>
      </c>
      <c r="K1276" s="138">
        <f t="shared" si="30"/>
        <v>27.51</v>
      </c>
    </row>
    <row r="1277" spans="1:11">
      <c r="A1277" s="136">
        <v>42677</v>
      </c>
      <c r="B1277" s="307" t="s">
        <v>3405</v>
      </c>
      <c r="C1277" s="137" t="s">
        <v>372</v>
      </c>
      <c r="D1277" s="138">
        <v>92.73</v>
      </c>
      <c r="E1277" s="378">
        <v>4.83</v>
      </c>
      <c r="G1277" s="308" t="s">
        <v>378</v>
      </c>
      <c r="K1277" s="138">
        <f t="shared" si="30"/>
        <v>92.73</v>
      </c>
    </row>
    <row r="1278" spans="1:11">
      <c r="A1278" s="136">
        <v>42674</v>
      </c>
      <c r="B1278" s="307" t="s">
        <v>3406</v>
      </c>
      <c r="C1278" s="137" t="s">
        <v>186</v>
      </c>
      <c r="D1278" s="138">
        <v>1213.51</v>
      </c>
      <c r="E1278" s="138">
        <v>92.86</v>
      </c>
      <c r="G1278" s="308" t="s">
        <v>373</v>
      </c>
      <c r="K1278" s="138">
        <f t="shared" si="30"/>
        <v>1213.51</v>
      </c>
    </row>
    <row r="1279" spans="1:11">
      <c r="A1279" s="136">
        <v>42664</v>
      </c>
      <c r="B1279" s="307" t="s">
        <v>3407</v>
      </c>
      <c r="C1279" s="137" t="s">
        <v>186</v>
      </c>
      <c r="D1279" s="138">
        <v>1194.57</v>
      </c>
      <c r="E1279" s="138">
        <v>99.9</v>
      </c>
      <c r="G1279" s="308" t="s">
        <v>373</v>
      </c>
      <c r="K1279" s="138">
        <f t="shared" si="30"/>
        <v>1194.57</v>
      </c>
    </row>
    <row r="1280" spans="1:11">
      <c r="A1280" s="136">
        <v>42667</v>
      </c>
      <c r="B1280" s="307" t="s">
        <v>3408</v>
      </c>
      <c r="C1280" s="137" t="s">
        <v>186</v>
      </c>
      <c r="D1280" s="138">
        <v>1640.02</v>
      </c>
      <c r="E1280" s="138">
        <v>170</v>
      </c>
      <c r="G1280" s="308" t="s">
        <v>373</v>
      </c>
      <c r="K1280" s="138">
        <f t="shared" si="30"/>
        <v>1640.02</v>
      </c>
    </row>
    <row r="1281" spans="1:11">
      <c r="A1281" s="136">
        <v>42668</v>
      </c>
      <c r="B1281" s="307" t="s">
        <v>3409</v>
      </c>
      <c r="C1281" s="137" t="s">
        <v>186</v>
      </c>
      <c r="D1281" s="138">
        <v>22.32</v>
      </c>
      <c r="E1281" s="138">
        <v>3.72</v>
      </c>
      <c r="G1281" s="308" t="s">
        <v>373</v>
      </c>
      <c r="K1281" s="138">
        <f t="shared" si="30"/>
        <v>22.32</v>
      </c>
    </row>
    <row r="1282" spans="1:11">
      <c r="A1282" s="136">
        <v>42664</v>
      </c>
      <c r="B1282" s="307" t="s">
        <v>3410</v>
      </c>
      <c r="C1282" s="137" t="s">
        <v>187</v>
      </c>
      <c r="D1282" s="138">
        <v>582.78</v>
      </c>
      <c r="E1282" s="138">
        <v>34.78</v>
      </c>
      <c r="G1282" s="308" t="s">
        <v>373</v>
      </c>
      <c r="K1282" s="138">
        <f t="shared" si="30"/>
        <v>582.78</v>
      </c>
    </row>
    <row r="1283" spans="1:11">
      <c r="A1283" s="136">
        <v>42667</v>
      </c>
      <c r="B1283" s="307" t="s">
        <v>3411</v>
      </c>
      <c r="C1283" s="137" t="s">
        <v>187</v>
      </c>
      <c r="D1283" s="138">
        <v>68.87</v>
      </c>
      <c r="E1283" s="138">
        <v>7.22</v>
      </c>
      <c r="G1283" s="308" t="s">
        <v>373</v>
      </c>
      <c r="K1283" s="138">
        <f t="shared" si="30"/>
        <v>68.87</v>
      </c>
    </row>
    <row r="1284" spans="1:11">
      <c r="A1284" s="136">
        <v>42678</v>
      </c>
      <c r="B1284" s="307" t="s">
        <v>3413</v>
      </c>
      <c r="C1284" s="137" t="s">
        <v>372</v>
      </c>
      <c r="D1284" s="138">
        <v>124.81</v>
      </c>
      <c r="E1284" s="138">
        <v>6.51</v>
      </c>
      <c r="G1284" s="308" t="s">
        <v>378</v>
      </c>
      <c r="K1284" s="138">
        <f t="shared" si="30"/>
        <v>124.81</v>
      </c>
    </row>
    <row r="1285" spans="1:11">
      <c r="A1285" s="136">
        <v>42681</v>
      </c>
      <c r="B1285" s="307" t="s">
        <v>3414</v>
      </c>
      <c r="C1285" s="137" t="s">
        <v>372</v>
      </c>
      <c r="D1285" s="138">
        <v>58.21</v>
      </c>
      <c r="E1285" s="138">
        <v>3.03</v>
      </c>
      <c r="G1285" s="308" t="s">
        <v>378</v>
      </c>
      <c r="K1285" s="138">
        <f t="shared" si="30"/>
        <v>58.21</v>
      </c>
    </row>
    <row r="1286" spans="1:11">
      <c r="A1286" s="136">
        <v>42669</v>
      </c>
      <c r="B1286" s="307" t="s">
        <v>3415</v>
      </c>
      <c r="C1286" s="137" t="s">
        <v>187</v>
      </c>
      <c r="D1286" s="138">
        <v>935.52</v>
      </c>
      <c r="E1286" s="138">
        <v>48.77</v>
      </c>
      <c r="G1286" s="308" t="s">
        <v>378</v>
      </c>
      <c r="K1286" s="138">
        <f t="shared" si="30"/>
        <v>935.52</v>
      </c>
    </row>
    <row r="1287" spans="1:11">
      <c r="A1287" s="136">
        <v>42676</v>
      </c>
      <c r="B1287" s="307" t="s">
        <v>3416</v>
      </c>
      <c r="C1287" s="137" t="s">
        <v>187</v>
      </c>
      <c r="D1287" s="138">
        <v>1130.83</v>
      </c>
      <c r="E1287" s="138">
        <v>66.430000000000007</v>
      </c>
      <c r="G1287" s="308" t="s">
        <v>378</v>
      </c>
      <c r="K1287" s="138">
        <f t="shared" si="30"/>
        <v>1130.83</v>
      </c>
    </row>
    <row r="1288" spans="1:11">
      <c r="A1288" s="136">
        <v>42682</v>
      </c>
      <c r="B1288" s="307" t="s">
        <v>3417</v>
      </c>
      <c r="C1288" s="137" t="s">
        <v>372</v>
      </c>
      <c r="D1288" s="138">
        <v>201.77</v>
      </c>
      <c r="E1288" s="138">
        <v>10.52</v>
      </c>
      <c r="G1288" s="308" t="s">
        <v>378</v>
      </c>
      <c r="K1288" s="138">
        <f t="shared" si="30"/>
        <v>201.77</v>
      </c>
    </row>
    <row r="1289" spans="1:11">
      <c r="A1289" s="136">
        <v>42684</v>
      </c>
      <c r="B1289" s="307" t="s">
        <v>3418</v>
      </c>
      <c r="C1289" s="137" t="s">
        <v>372</v>
      </c>
      <c r="D1289" s="138">
        <v>78.489999999999995</v>
      </c>
      <c r="E1289" s="138">
        <v>4.09</v>
      </c>
      <c r="G1289" s="308" t="s">
        <v>378</v>
      </c>
      <c r="K1289" s="138">
        <f t="shared" si="30"/>
        <v>78.489999999999995</v>
      </c>
    </row>
    <row r="1290" spans="1:11">
      <c r="A1290" s="136">
        <v>42684</v>
      </c>
      <c r="B1290" s="307" t="s">
        <v>3419</v>
      </c>
      <c r="C1290" s="137" t="s">
        <v>372</v>
      </c>
      <c r="D1290" s="138">
        <v>34.46</v>
      </c>
      <c r="E1290" s="138">
        <v>1.8</v>
      </c>
      <c r="G1290" s="308" t="s">
        <v>378</v>
      </c>
      <c r="K1290" s="138">
        <f t="shared" si="30"/>
        <v>34.46</v>
      </c>
    </row>
    <row r="1291" spans="1:11">
      <c r="A1291" s="136">
        <v>42678</v>
      </c>
      <c r="B1291" s="307" t="s">
        <v>3420</v>
      </c>
      <c r="C1291" s="137" t="s">
        <v>187</v>
      </c>
      <c r="D1291" s="138">
        <v>595.58000000000004</v>
      </c>
      <c r="E1291" s="138">
        <v>34.68</v>
      </c>
      <c r="G1291" s="308" t="s">
        <v>373</v>
      </c>
      <c r="K1291" s="138">
        <f t="shared" si="30"/>
        <v>595.58000000000004</v>
      </c>
    </row>
    <row r="1292" spans="1:11">
      <c r="A1292" s="136">
        <v>42671</v>
      </c>
      <c r="B1292" s="307" t="s">
        <v>3421</v>
      </c>
      <c r="C1292" s="137" t="s">
        <v>187</v>
      </c>
      <c r="D1292" s="138">
        <v>687.52</v>
      </c>
      <c r="E1292" s="138">
        <v>43.87</v>
      </c>
      <c r="G1292" s="308" t="s">
        <v>373</v>
      </c>
      <c r="K1292" s="138">
        <f t="shared" si="30"/>
        <v>687.52</v>
      </c>
    </row>
    <row r="1293" spans="1:11">
      <c r="A1293" s="136">
        <v>42682</v>
      </c>
      <c r="B1293" s="307" t="s">
        <v>3423</v>
      </c>
      <c r="C1293" s="137" t="s">
        <v>186</v>
      </c>
      <c r="D1293" s="138">
        <v>1394.21</v>
      </c>
      <c r="E1293" s="138">
        <v>130</v>
      </c>
      <c r="G1293" s="308" t="s">
        <v>373</v>
      </c>
      <c r="K1293" s="138">
        <f t="shared" si="30"/>
        <v>1394.21</v>
      </c>
    </row>
    <row r="1294" spans="1:11">
      <c r="A1294" s="136">
        <v>42681</v>
      </c>
      <c r="B1294" s="307" t="s">
        <v>3422</v>
      </c>
      <c r="C1294" s="137" t="s">
        <v>186</v>
      </c>
      <c r="D1294" s="138">
        <v>2434.94</v>
      </c>
      <c r="E1294" s="138">
        <v>165</v>
      </c>
      <c r="G1294" s="308" t="s">
        <v>373</v>
      </c>
      <c r="K1294" s="138">
        <f t="shared" si="30"/>
        <v>2434.94</v>
      </c>
    </row>
    <row r="1295" spans="1:11">
      <c r="A1295" s="136">
        <v>42682</v>
      </c>
      <c r="B1295" s="307" t="s">
        <v>3424</v>
      </c>
      <c r="C1295" s="137" t="s">
        <v>186</v>
      </c>
      <c r="D1295" s="138">
        <v>313.07</v>
      </c>
      <c r="E1295" s="138">
        <v>16.32</v>
      </c>
      <c r="G1295" s="308" t="s">
        <v>373</v>
      </c>
      <c r="K1295" s="138">
        <f t="shared" si="30"/>
        <v>313.07</v>
      </c>
    </row>
    <row r="1296" spans="1:11">
      <c r="A1296" s="136">
        <v>42678</v>
      </c>
      <c r="B1296" s="307" t="s">
        <v>3425</v>
      </c>
      <c r="C1296" s="137" t="s">
        <v>186</v>
      </c>
      <c r="D1296" s="138">
        <v>309.45999999999998</v>
      </c>
      <c r="E1296" s="138">
        <v>49</v>
      </c>
      <c r="G1296" s="308" t="s">
        <v>373</v>
      </c>
      <c r="K1296" s="138">
        <f t="shared" si="30"/>
        <v>309.45999999999998</v>
      </c>
    </row>
    <row r="1297" spans="1:11">
      <c r="A1297" s="136">
        <v>42676</v>
      </c>
      <c r="B1297" s="307" t="s">
        <v>3426</v>
      </c>
      <c r="C1297" s="137" t="s">
        <v>186</v>
      </c>
      <c r="D1297" s="138">
        <v>1433.59</v>
      </c>
      <c r="E1297" s="138">
        <v>130</v>
      </c>
      <c r="G1297" s="308" t="s">
        <v>373</v>
      </c>
      <c r="K1297" s="138">
        <f t="shared" si="30"/>
        <v>1433.59</v>
      </c>
    </row>
    <row r="1298" spans="1:11">
      <c r="A1298" s="136">
        <v>42674</v>
      </c>
      <c r="B1298" s="307" t="s">
        <v>3427</v>
      </c>
      <c r="C1298" s="137" t="s">
        <v>3206</v>
      </c>
      <c r="D1298" s="138">
        <v>4019.47</v>
      </c>
      <c r="E1298" s="138">
        <v>209.55</v>
      </c>
      <c r="G1298" s="308" t="s">
        <v>378</v>
      </c>
      <c r="K1298" s="138">
        <f t="shared" si="30"/>
        <v>4019.47</v>
      </c>
    </row>
    <row r="1299" spans="1:11">
      <c r="A1299" s="136">
        <v>42678</v>
      </c>
      <c r="B1299" s="307" t="s">
        <v>3428</v>
      </c>
      <c r="C1299" s="137" t="s">
        <v>3211</v>
      </c>
      <c r="D1299" s="138">
        <v>357.7</v>
      </c>
      <c r="E1299" s="138">
        <v>18.649999999999999</v>
      </c>
      <c r="G1299" s="308" t="s">
        <v>373</v>
      </c>
      <c r="K1299" s="138">
        <f t="shared" ref="K1299:K1362" si="31">IF(D1299&lt;&gt;"",D1299-I1299,"")</f>
        <v>357.7</v>
      </c>
    </row>
    <row r="1300" spans="1:11">
      <c r="K1300" s="138" t="str">
        <f t="shared" si="31"/>
        <v/>
      </c>
    </row>
    <row r="1301" spans="1:11">
      <c r="K1301" s="138" t="str">
        <f t="shared" si="31"/>
        <v/>
      </c>
    </row>
    <row r="1302" spans="1:11">
      <c r="K1302" s="138" t="str">
        <f t="shared" si="31"/>
        <v/>
      </c>
    </row>
    <row r="1303" spans="1:11">
      <c r="K1303" s="138" t="str">
        <f t="shared" si="31"/>
        <v/>
      </c>
    </row>
    <row r="1304" spans="1:11">
      <c r="K1304" s="138" t="str">
        <f t="shared" si="31"/>
        <v/>
      </c>
    </row>
    <row r="1305" spans="1:11">
      <c r="K1305" s="138" t="str">
        <f t="shared" si="31"/>
        <v/>
      </c>
    </row>
    <row r="1306" spans="1:11">
      <c r="K1306" s="138" t="str">
        <f t="shared" si="31"/>
        <v/>
      </c>
    </row>
    <row r="1307" spans="1:11">
      <c r="K1307" s="138" t="str">
        <f t="shared" si="31"/>
        <v/>
      </c>
    </row>
    <row r="1308" spans="1:11">
      <c r="K1308" s="138" t="str">
        <f t="shared" si="31"/>
        <v/>
      </c>
    </row>
    <row r="1309" spans="1:11">
      <c r="K1309" s="138" t="str">
        <f t="shared" si="31"/>
        <v/>
      </c>
    </row>
    <row r="1310" spans="1:11">
      <c r="K1310" s="138" t="str">
        <f t="shared" si="31"/>
        <v/>
      </c>
    </row>
    <row r="1311" spans="1:11">
      <c r="K1311" s="138" t="str">
        <f t="shared" si="31"/>
        <v/>
      </c>
    </row>
    <row r="1312" spans="1:11">
      <c r="K1312" s="138" t="str">
        <f t="shared" si="31"/>
        <v/>
      </c>
    </row>
    <row r="1313" spans="11:11">
      <c r="K1313" s="138" t="str">
        <f t="shared" si="31"/>
        <v/>
      </c>
    </row>
    <row r="1314" spans="11:11">
      <c r="K1314" s="138" t="str">
        <f t="shared" si="31"/>
        <v/>
      </c>
    </row>
    <row r="1315" spans="11:11">
      <c r="K1315" s="138" t="str">
        <f t="shared" si="31"/>
        <v/>
      </c>
    </row>
    <row r="1316" spans="11:11">
      <c r="K1316" s="138" t="str">
        <f t="shared" si="31"/>
        <v/>
      </c>
    </row>
    <row r="1317" spans="11:11">
      <c r="K1317" s="138" t="str">
        <f t="shared" si="31"/>
        <v/>
      </c>
    </row>
    <row r="1318" spans="11:11">
      <c r="K1318" s="138" t="str">
        <f t="shared" si="31"/>
        <v/>
      </c>
    </row>
    <row r="1319" spans="11:11">
      <c r="K1319" s="138" t="str">
        <f t="shared" si="31"/>
        <v/>
      </c>
    </row>
    <row r="1320" spans="11:11">
      <c r="K1320" s="138" t="str">
        <f t="shared" si="31"/>
        <v/>
      </c>
    </row>
    <row r="1321" spans="11:11">
      <c r="K1321" s="138" t="str">
        <f t="shared" si="31"/>
        <v/>
      </c>
    </row>
    <row r="1322" spans="11:11">
      <c r="K1322" s="138" t="str">
        <f t="shared" si="31"/>
        <v/>
      </c>
    </row>
    <row r="1323" spans="11:11">
      <c r="K1323" s="138" t="str">
        <f t="shared" si="31"/>
        <v/>
      </c>
    </row>
    <row r="1324" spans="11:11">
      <c r="K1324" s="138" t="str">
        <f t="shared" si="31"/>
        <v/>
      </c>
    </row>
    <row r="1325" spans="11:11">
      <c r="K1325" s="138" t="str">
        <f t="shared" si="31"/>
        <v/>
      </c>
    </row>
    <row r="1326" spans="11:11">
      <c r="K1326" s="138" t="str">
        <f t="shared" si="31"/>
        <v/>
      </c>
    </row>
    <row r="1327" spans="11:11">
      <c r="K1327" s="138" t="str">
        <f t="shared" si="31"/>
        <v/>
      </c>
    </row>
    <row r="1328" spans="11:11">
      <c r="K1328" s="138" t="str">
        <f t="shared" si="31"/>
        <v/>
      </c>
    </row>
    <row r="1329" spans="11:11">
      <c r="K1329" s="138" t="str">
        <f t="shared" si="31"/>
        <v/>
      </c>
    </row>
    <row r="1330" spans="11:11">
      <c r="K1330" s="138" t="str">
        <f t="shared" si="31"/>
        <v/>
      </c>
    </row>
    <row r="1331" spans="11:11">
      <c r="K1331" s="138" t="str">
        <f t="shared" si="31"/>
        <v/>
      </c>
    </row>
    <row r="1332" spans="11:11">
      <c r="K1332" s="138" t="str">
        <f t="shared" si="31"/>
        <v/>
      </c>
    </row>
    <row r="1333" spans="11:11">
      <c r="K1333" s="138" t="str">
        <f t="shared" si="31"/>
        <v/>
      </c>
    </row>
    <row r="1334" spans="11:11">
      <c r="K1334" s="138" t="str">
        <f t="shared" si="31"/>
        <v/>
      </c>
    </row>
    <row r="1335" spans="11:11">
      <c r="K1335" s="138" t="str">
        <f t="shared" si="31"/>
        <v/>
      </c>
    </row>
    <row r="1336" spans="11:11">
      <c r="K1336" s="138" t="str">
        <f t="shared" si="31"/>
        <v/>
      </c>
    </row>
    <row r="1337" spans="11:11">
      <c r="K1337" s="138" t="str">
        <f t="shared" si="31"/>
        <v/>
      </c>
    </row>
    <row r="1338" spans="11:11">
      <c r="K1338" s="138" t="str">
        <f t="shared" si="31"/>
        <v/>
      </c>
    </row>
    <row r="1339" spans="11:11">
      <c r="K1339" s="138" t="str">
        <f t="shared" si="31"/>
        <v/>
      </c>
    </row>
    <row r="1340" spans="11:11">
      <c r="K1340" s="138" t="str">
        <f t="shared" si="31"/>
        <v/>
      </c>
    </row>
    <row r="1341" spans="11:11">
      <c r="K1341" s="138" t="str">
        <f t="shared" si="31"/>
        <v/>
      </c>
    </row>
    <row r="1342" spans="11:11">
      <c r="K1342" s="138" t="str">
        <f t="shared" si="31"/>
        <v/>
      </c>
    </row>
    <row r="1343" spans="11:11">
      <c r="K1343" s="138" t="str">
        <f t="shared" si="31"/>
        <v/>
      </c>
    </row>
    <row r="1344" spans="11:11">
      <c r="K1344" s="138" t="str">
        <f t="shared" si="31"/>
        <v/>
      </c>
    </row>
    <row r="1345" spans="11:11">
      <c r="K1345" s="138" t="str">
        <f t="shared" si="31"/>
        <v/>
      </c>
    </row>
    <row r="1346" spans="11:11">
      <c r="K1346" s="138" t="str">
        <f t="shared" si="31"/>
        <v/>
      </c>
    </row>
    <row r="1347" spans="11:11">
      <c r="K1347" s="138" t="str">
        <f t="shared" si="31"/>
        <v/>
      </c>
    </row>
    <row r="1348" spans="11:11">
      <c r="K1348" s="138" t="str">
        <f t="shared" si="31"/>
        <v/>
      </c>
    </row>
    <row r="1349" spans="11:11">
      <c r="K1349" s="138" t="str">
        <f t="shared" si="31"/>
        <v/>
      </c>
    </row>
    <row r="1350" spans="11:11">
      <c r="K1350" s="138" t="str">
        <f t="shared" si="31"/>
        <v/>
      </c>
    </row>
    <row r="1351" spans="11:11">
      <c r="K1351" s="138" t="str">
        <f t="shared" si="31"/>
        <v/>
      </c>
    </row>
    <row r="1352" spans="11:11">
      <c r="K1352" s="138" t="str">
        <f t="shared" si="31"/>
        <v/>
      </c>
    </row>
    <row r="1353" spans="11:11">
      <c r="K1353" s="138" t="str">
        <f t="shared" si="31"/>
        <v/>
      </c>
    </row>
    <row r="1354" spans="11:11">
      <c r="K1354" s="138" t="str">
        <f t="shared" si="31"/>
        <v/>
      </c>
    </row>
    <row r="1355" spans="11:11">
      <c r="K1355" s="138" t="str">
        <f t="shared" si="31"/>
        <v/>
      </c>
    </row>
    <row r="1356" spans="11:11">
      <c r="K1356" s="138" t="str">
        <f t="shared" si="31"/>
        <v/>
      </c>
    </row>
    <row r="1357" spans="11:11">
      <c r="K1357" s="138" t="str">
        <f t="shared" si="31"/>
        <v/>
      </c>
    </row>
    <row r="1358" spans="11:11">
      <c r="K1358" s="138" t="str">
        <f t="shared" si="31"/>
        <v/>
      </c>
    </row>
    <row r="1359" spans="11:11">
      <c r="K1359" s="138" t="str">
        <f t="shared" si="31"/>
        <v/>
      </c>
    </row>
    <row r="1360" spans="11:11">
      <c r="K1360" s="138" t="str">
        <f t="shared" si="31"/>
        <v/>
      </c>
    </row>
    <row r="1361" spans="11:11">
      <c r="K1361" s="138" t="str">
        <f t="shared" si="31"/>
        <v/>
      </c>
    </row>
    <row r="1362" spans="11:11">
      <c r="K1362" s="138" t="str">
        <f t="shared" si="31"/>
        <v/>
      </c>
    </row>
    <row r="1363" spans="11:11">
      <c r="K1363" s="138" t="str">
        <f t="shared" ref="K1363:K1426" si="32">IF(D1363&lt;&gt;"",D1363-I1363,"")</f>
        <v/>
      </c>
    </row>
    <row r="1364" spans="11:11">
      <c r="K1364" s="138" t="str">
        <f t="shared" si="32"/>
        <v/>
      </c>
    </row>
    <row r="1365" spans="11:11">
      <c r="K1365" s="138" t="str">
        <f t="shared" si="32"/>
        <v/>
      </c>
    </row>
    <row r="1366" spans="11:11">
      <c r="K1366" s="138" t="str">
        <f t="shared" si="32"/>
        <v/>
      </c>
    </row>
    <row r="1367" spans="11:11">
      <c r="K1367" s="138" t="str">
        <f t="shared" si="32"/>
        <v/>
      </c>
    </row>
    <row r="1368" spans="11:11">
      <c r="K1368" s="138" t="str">
        <f t="shared" si="32"/>
        <v/>
      </c>
    </row>
    <row r="1369" spans="11:11">
      <c r="K1369" s="138" t="str">
        <f t="shared" si="32"/>
        <v/>
      </c>
    </row>
    <row r="1370" spans="11:11">
      <c r="K1370" s="138" t="str">
        <f t="shared" si="32"/>
        <v/>
      </c>
    </row>
    <row r="1371" spans="11:11">
      <c r="K1371" s="138" t="str">
        <f t="shared" si="32"/>
        <v/>
      </c>
    </row>
    <row r="1372" spans="11:11">
      <c r="K1372" s="138" t="str">
        <f t="shared" si="32"/>
        <v/>
      </c>
    </row>
    <row r="1373" spans="11:11">
      <c r="K1373" s="138" t="str">
        <f t="shared" si="32"/>
        <v/>
      </c>
    </row>
    <row r="1374" spans="11:11">
      <c r="K1374" s="138" t="str">
        <f t="shared" si="32"/>
        <v/>
      </c>
    </row>
    <row r="1375" spans="11:11">
      <c r="K1375" s="138" t="str">
        <f t="shared" si="32"/>
        <v/>
      </c>
    </row>
    <row r="1376" spans="11:11">
      <c r="K1376" s="138" t="str">
        <f t="shared" si="32"/>
        <v/>
      </c>
    </row>
    <row r="1377" spans="11:11">
      <c r="K1377" s="138" t="str">
        <f t="shared" si="32"/>
        <v/>
      </c>
    </row>
    <row r="1378" spans="11:11">
      <c r="K1378" s="138" t="str">
        <f t="shared" si="32"/>
        <v/>
      </c>
    </row>
    <row r="1379" spans="11:11">
      <c r="K1379" s="138" t="str">
        <f t="shared" si="32"/>
        <v/>
      </c>
    </row>
    <row r="1380" spans="11:11">
      <c r="K1380" s="138" t="str">
        <f t="shared" si="32"/>
        <v/>
      </c>
    </row>
    <row r="1381" spans="11:11">
      <c r="K1381" s="138" t="str">
        <f t="shared" si="32"/>
        <v/>
      </c>
    </row>
    <row r="1382" spans="11:11">
      <c r="K1382" s="138" t="str">
        <f t="shared" si="32"/>
        <v/>
      </c>
    </row>
    <row r="1383" spans="11:11">
      <c r="K1383" s="138" t="str">
        <f t="shared" si="32"/>
        <v/>
      </c>
    </row>
    <row r="1384" spans="11:11">
      <c r="K1384" s="138" t="str">
        <f t="shared" si="32"/>
        <v/>
      </c>
    </row>
    <row r="1385" spans="11:11">
      <c r="K1385" s="138" t="str">
        <f t="shared" si="32"/>
        <v/>
      </c>
    </row>
    <row r="1386" spans="11:11">
      <c r="K1386" s="138" t="str">
        <f t="shared" si="32"/>
        <v/>
      </c>
    </row>
    <row r="1387" spans="11:11">
      <c r="K1387" s="138" t="str">
        <f t="shared" si="32"/>
        <v/>
      </c>
    </row>
    <row r="1388" spans="11:11">
      <c r="K1388" s="138" t="str">
        <f t="shared" si="32"/>
        <v/>
      </c>
    </row>
    <row r="1389" spans="11:11">
      <c r="K1389" s="138" t="str">
        <f t="shared" si="32"/>
        <v/>
      </c>
    </row>
    <row r="1390" spans="11:11">
      <c r="K1390" s="138" t="str">
        <f t="shared" si="32"/>
        <v/>
      </c>
    </row>
    <row r="1391" spans="11:11">
      <c r="K1391" s="138" t="str">
        <f t="shared" si="32"/>
        <v/>
      </c>
    </row>
    <row r="1392" spans="11:11">
      <c r="K1392" s="138" t="str">
        <f t="shared" si="32"/>
        <v/>
      </c>
    </row>
    <row r="1393" spans="11:11">
      <c r="K1393" s="138" t="str">
        <f t="shared" si="32"/>
        <v/>
      </c>
    </row>
    <row r="1394" spans="11:11">
      <c r="K1394" s="138" t="str">
        <f t="shared" si="32"/>
        <v/>
      </c>
    </row>
    <row r="1395" spans="11:11">
      <c r="K1395" s="138" t="str">
        <f t="shared" si="32"/>
        <v/>
      </c>
    </row>
    <row r="1396" spans="11:11">
      <c r="K1396" s="138" t="str">
        <f t="shared" si="32"/>
        <v/>
      </c>
    </row>
    <row r="1397" spans="11:11">
      <c r="K1397" s="138" t="str">
        <f t="shared" si="32"/>
        <v/>
      </c>
    </row>
    <row r="1398" spans="11:11">
      <c r="K1398" s="138" t="str">
        <f t="shared" si="32"/>
        <v/>
      </c>
    </row>
    <row r="1399" spans="11:11">
      <c r="K1399" s="138" t="str">
        <f t="shared" si="32"/>
        <v/>
      </c>
    </row>
    <row r="1400" spans="11:11">
      <c r="K1400" s="138" t="str">
        <f t="shared" si="32"/>
        <v/>
      </c>
    </row>
    <row r="1401" spans="11:11">
      <c r="K1401" s="138" t="str">
        <f t="shared" si="32"/>
        <v/>
      </c>
    </row>
    <row r="1402" spans="11:11">
      <c r="K1402" s="138" t="str">
        <f t="shared" si="32"/>
        <v/>
      </c>
    </row>
    <row r="1403" spans="11:11">
      <c r="K1403" s="138" t="str">
        <f t="shared" si="32"/>
        <v/>
      </c>
    </row>
    <row r="1404" spans="11:11">
      <c r="K1404" s="138" t="str">
        <f t="shared" si="32"/>
        <v/>
      </c>
    </row>
    <row r="1405" spans="11:11">
      <c r="K1405" s="138" t="str">
        <f t="shared" si="32"/>
        <v/>
      </c>
    </row>
    <row r="1406" spans="11:11">
      <c r="K1406" s="138" t="str">
        <f t="shared" si="32"/>
        <v/>
      </c>
    </row>
    <row r="1407" spans="11:11">
      <c r="K1407" s="138" t="str">
        <f t="shared" si="32"/>
        <v/>
      </c>
    </row>
    <row r="1408" spans="11:11">
      <c r="K1408" s="138" t="str">
        <f t="shared" si="32"/>
        <v/>
      </c>
    </row>
    <row r="1409" spans="11:11">
      <c r="K1409" s="138" t="str">
        <f t="shared" si="32"/>
        <v/>
      </c>
    </row>
    <row r="1410" spans="11:11">
      <c r="K1410" s="138" t="str">
        <f t="shared" si="32"/>
        <v/>
      </c>
    </row>
    <row r="1411" spans="11:11">
      <c r="K1411" s="138" t="str">
        <f t="shared" si="32"/>
        <v/>
      </c>
    </row>
    <row r="1412" spans="11:11">
      <c r="K1412" s="138" t="str">
        <f t="shared" si="32"/>
        <v/>
      </c>
    </row>
    <row r="1413" spans="11:11">
      <c r="K1413" s="138" t="str">
        <f t="shared" si="32"/>
        <v/>
      </c>
    </row>
    <row r="1414" spans="11:11">
      <c r="K1414" s="138" t="str">
        <f t="shared" si="32"/>
        <v/>
      </c>
    </row>
    <row r="1415" spans="11:11">
      <c r="K1415" s="138" t="str">
        <f t="shared" si="32"/>
        <v/>
      </c>
    </row>
    <row r="1416" spans="11:11">
      <c r="K1416" s="138" t="str">
        <f t="shared" si="32"/>
        <v/>
      </c>
    </row>
    <row r="1417" spans="11:11">
      <c r="K1417" s="138" t="str">
        <f t="shared" si="32"/>
        <v/>
      </c>
    </row>
    <row r="1418" spans="11:11">
      <c r="K1418" s="138" t="str">
        <f t="shared" si="32"/>
        <v/>
      </c>
    </row>
    <row r="1419" spans="11:11">
      <c r="K1419" s="138" t="str">
        <f t="shared" si="32"/>
        <v/>
      </c>
    </row>
    <row r="1420" spans="11:11">
      <c r="K1420" s="138" t="str">
        <f t="shared" si="32"/>
        <v/>
      </c>
    </row>
    <row r="1421" spans="11:11">
      <c r="K1421" s="138" t="str">
        <f t="shared" si="32"/>
        <v/>
      </c>
    </row>
    <row r="1422" spans="11:11">
      <c r="K1422" s="138" t="str">
        <f t="shared" si="32"/>
        <v/>
      </c>
    </row>
    <row r="1423" spans="11:11">
      <c r="K1423" s="138" t="str">
        <f t="shared" si="32"/>
        <v/>
      </c>
    </row>
    <row r="1424" spans="11:11">
      <c r="K1424" s="138" t="str">
        <f t="shared" si="32"/>
        <v/>
      </c>
    </row>
    <row r="1425" spans="11:11">
      <c r="K1425" s="138" t="str">
        <f t="shared" si="32"/>
        <v/>
      </c>
    </row>
    <row r="1426" spans="11:11">
      <c r="K1426" s="138" t="str">
        <f t="shared" si="32"/>
        <v/>
      </c>
    </row>
    <row r="1427" spans="11:11">
      <c r="K1427" s="138" t="str">
        <f>IF(D1427&lt;&gt;"",D1427-I1427,"")</f>
        <v/>
      </c>
    </row>
    <row r="1428" spans="11:11">
      <c r="K1428" s="138" t="str">
        <f>IF(D1428&lt;&gt;"",D1428-I1428,"")</f>
        <v/>
      </c>
    </row>
    <row r="1429" spans="11:11">
      <c r="K1429" s="138" t="str">
        <f>IF(D1429&lt;&gt;"",D1429-I1429,"")</f>
        <v/>
      </c>
    </row>
    <row r="1430" spans="11:11">
      <c r="K1430" s="138" t="str">
        <f>IF(D1430&lt;&gt;"",D1430-I1430,"")</f>
        <v/>
      </c>
    </row>
    <row r="1431" spans="11:11">
      <c r="K1431" s="138" t="str">
        <f>IF(D1431&lt;&gt;"",D1431-I1431,"")</f>
        <v/>
      </c>
    </row>
    <row r="64873" spans="4:11">
      <c r="D64873" s="378"/>
      <c r="E64873" s="378"/>
      <c r="F64873" s="309"/>
      <c r="I64873" s="378"/>
      <c r="K64873" s="378"/>
    </row>
    <row r="64874" spans="4:11">
      <c r="D64874" s="378"/>
      <c r="E64874" s="378"/>
      <c r="F64874" s="309"/>
      <c r="I64874" s="378"/>
      <c r="K64874" s="378"/>
    </row>
    <row r="64875" spans="4:11">
      <c r="D64875" s="378"/>
      <c r="E64875" s="378"/>
      <c r="F64875" s="309"/>
      <c r="I64875" s="378"/>
      <c r="K64875" s="378"/>
    </row>
    <row r="64876" spans="4:11">
      <c r="D64876" s="378"/>
      <c r="E64876" s="378"/>
      <c r="F64876" s="309"/>
      <c r="I64876" s="378"/>
      <c r="K64876" s="378"/>
    </row>
    <row r="64877" spans="4:11">
      <c r="D64877" s="378"/>
      <c r="E64877" s="378"/>
      <c r="F64877" s="309"/>
      <c r="I64877" s="378"/>
      <c r="K64877" s="378"/>
    </row>
  </sheetData>
  <phoneticPr fontId="22" type="noConversion"/>
  <conditionalFormatting sqref="B1 B261:B1048576">
    <cfRule type="duplicateValues" dxfId="25" priority="3"/>
  </conditionalFormatting>
  <conditionalFormatting sqref="B2:B260">
    <cfRule type="duplicateValues" dxfId="24" priority="5"/>
  </conditionalFormatting>
  <pageMargins left="0.70866141732283472" right="0.70866141732283472" top="0.74803149606299213" bottom="0.74803149606299213" header="0.31496062992125984" footer="0.31496062992125984"/>
  <pageSetup paperSize="9" scale="72" fitToHeight="0" orientation="landscape" r:id="rId1"/>
  <headerFooter>
    <oddHeader>&amp;CListe des Factures Fournisseurs</oddHeader>
    <oddFooter>&amp;L&amp;D&amp;C&amp;F&amp;RPage &amp;P de &amp;N</oddFooter>
  </headerFooter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pageSetUpPr fitToPage="1"/>
  </sheetPr>
  <dimension ref="B1:N1104"/>
  <sheetViews>
    <sheetView topLeftCell="A139" zoomScale="85" zoomScaleNormal="85" workbookViewId="0">
      <selection activeCell="I145" sqref="I145"/>
    </sheetView>
  </sheetViews>
  <sheetFormatPr baseColWidth="10" defaultColWidth="28.7265625" defaultRowHeight="14.5"/>
  <cols>
    <col min="1" max="1" width="4" customWidth="1"/>
    <col min="2" max="2" width="21.26953125" customWidth="1"/>
    <col min="3" max="3" width="16.7265625" customWidth="1"/>
    <col min="4" max="4" width="16.7265625" style="63" customWidth="1"/>
    <col min="5" max="6" width="13.90625" style="63" customWidth="1"/>
    <col min="7" max="7" width="13.90625" customWidth="1"/>
    <col min="8" max="8" width="12.08984375" customWidth="1"/>
    <col min="9" max="99" width="15.1796875" customWidth="1"/>
    <col min="100" max="100" width="9.453125" customWidth="1"/>
    <col min="101" max="186" width="8.1796875" customWidth="1"/>
    <col min="187" max="187" width="10.453125" customWidth="1"/>
    <col min="188" max="188" width="8.1796875" customWidth="1"/>
    <col min="189" max="189" width="11.54296875" customWidth="1"/>
    <col min="190" max="191" width="13.453125" customWidth="1"/>
    <col min="193" max="193" width="30.1796875" bestFit="1" customWidth="1"/>
    <col min="195" max="195" width="30.1796875" bestFit="1" customWidth="1"/>
    <col min="197" max="197" width="30.1796875" bestFit="1" customWidth="1"/>
    <col min="199" max="199" width="30.1796875" bestFit="1" customWidth="1"/>
    <col min="201" max="201" width="30.1796875" bestFit="1" customWidth="1"/>
    <col min="203" max="203" width="30.1796875" bestFit="1" customWidth="1"/>
    <col min="205" max="205" width="30.1796875" bestFit="1" customWidth="1"/>
    <col min="207" max="207" width="30.1796875" bestFit="1" customWidth="1"/>
    <col min="209" max="209" width="30.1796875" bestFit="1" customWidth="1"/>
    <col min="211" max="211" width="30.1796875" bestFit="1" customWidth="1"/>
    <col min="213" max="213" width="30.1796875" bestFit="1" customWidth="1"/>
    <col min="215" max="215" width="30.1796875" bestFit="1" customWidth="1"/>
    <col min="217" max="217" width="30.1796875" bestFit="1" customWidth="1"/>
    <col min="219" max="219" width="30.1796875" bestFit="1" customWidth="1"/>
    <col min="221" max="221" width="30.1796875" bestFit="1" customWidth="1"/>
    <col min="223" max="223" width="30.1796875" bestFit="1" customWidth="1"/>
    <col min="225" max="225" width="30.1796875" bestFit="1" customWidth="1"/>
    <col min="227" max="227" width="30.1796875" bestFit="1" customWidth="1"/>
    <col min="229" max="229" width="30.1796875" bestFit="1" customWidth="1"/>
    <col min="231" max="231" width="30.1796875" bestFit="1" customWidth="1"/>
    <col min="233" max="233" width="30.1796875" bestFit="1" customWidth="1"/>
    <col min="235" max="235" width="30.1796875" customWidth="1"/>
    <col min="237" max="237" width="30.1796875" bestFit="1" customWidth="1"/>
    <col min="239" max="239" width="30.1796875" bestFit="1" customWidth="1"/>
    <col min="241" max="241" width="30.1796875" bestFit="1" customWidth="1"/>
    <col min="243" max="243" width="30.1796875" bestFit="1" customWidth="1"/>
    <col min="245" max="245" width="30.1796875" bestFit="1" customWidth="1"/>
    <col min="247" max="247" width="30.1796875" bestFit="1" customWidth="1"/>
  </cols>
  <sheetData>
    <row r="1" spans="2:14" s="32" customFormat="1">
      <c r="B1" s="18"/>
      <c r="C1" s="18"/>
      <c r="D1" s="64"/>
      <c r="E1" s="64"/>
      <c r="F1" s="64"/>
    </row>
    <row r="2" spans="2:14" ht="18.5">
      <c r="B2" s="458" t="s">
        <v>429</v>
      </c>
      <c r="C2" s="459"/>
      <c r="D2" s="459"/>
      <c r="E2" s="459"/>
      <c r="F2" s="460"/>
    </row>
    <row r="3" spans="2:14">
      <c r="J3" s="12" t="s">
        <v>369</v>
      </c>
      <c r="K3" s="11">
        <f>SUM('Factures fournisseur'!D2:D9160)</f>
        <v>534434.11000000068</v>
      </c>
      <c r="M3" t="s">
        <v>556</v>
      </c>
      <c r="N3" t="s">
        <v>492</v>
      </c>
    </row>
    <row r="4" spans="2:14">
      <c r="J4" s="12" t="s">
        <v>377</v>
      </c>
      <c r="K4" s="11">
        <f>SUM('Factures fournisseur'!I2:I9160)</f>
        <v>266636.02000000019</v>
      </c>
    </row>
    <row r="5" spans="2:14">
      <c r="J5" s="12" t="s">
        <v>374</v>
      </c>
      <c r="K5" s="11">
        <f>SUM('Factures fournisseur'!K2:K9160)</f>
        <v>267584.32</v>
      </c>
    </row>
    <row r="6" spans="2:14">
      <c r="B6" s="13" t="s">
        <v>189</v>
      </c>
      <c r="D6"/>
      <c r="E6" s="65" t="s">
        <v>331</v>
      </c>
      <c r="G6" s="63"/>
      <c r="H6" s="63"/>
    </row>
    <row r="7" spans="2:14">
      <c r="B7" s="13" t="s">
        <v>3291</v>
      </c>
      <c r="C7" s="13" t="s">
        <v>332</v>
      </c>
      <c r="D7" s="13" t="s">
        <v>333</v>
      </c>
      <c r="E7" t="s">
        <v>378</v>
      </c>
      <c r="F7" t="s">
        <v>373</v>
      </c>
      <c r="G7" t="s">
        <v>3193</v>
      </c>
      <c r="H7" s="63" t="s">
        <v>181</v>
      </c>
    </row>
    <row r="8" spans="2:14">
      <c r="B8" t="s">
        <v>3292</v>
      </c>
      <c r="C8" t="s">
        <v>1563</v>
      </c>
      <c r="D8" t="s">
        <v>182</v>
      </c>
      <c r="F8" s="63">
        <v>1245.3600000000001</v>
      </c>
      <c r="G8" s="63"/>
      <c r="H8" s="63">
        <v>1245.3600000000001</v>
      </c>
    </row>
    <row r="9" spans="2:14">
      <c r="D9" t="s">
        <v>425</v>
      </c>
      <c r="E9" s="63">
        <v>43.21</v>
      </c>
      <c r="G9" s="63"/>
      <c r="H9" s="63">
        <v>43.21</v>
      </c>
    </row>
    <row r="10" spans="2:14">
      <c r="D10" t="s">
        <v>372</v>
      </c>
      <c r="E10" s="63">
        <v>1353.2299999999998</v>
      </c>
      <c r="F10" s="63">
        <v>625.09</v>
      </c>
      <c r="G10" s="63"/>
      <c r="H10" s="63">
        <v>1978.3199999999997</v>
      </c>
    </row>
    <row r="11" spans="2:14">
      <c r="D11" t="s">
        <v>185</v>
      </c>
      <c r="F11" s="63">
        <v>350.41</v>
      </c>
      <c r="G11" s="63"/>
      <c r="H11" s="63">
        <v>350.41</v>
      </c>
    </row>
    <row r="12" spans="2:14">
      <c r="D12" t="s">
        <v>183</v>
      </c>
      <c r="E12" s="63">
        <v>8998.08</v>
      </c>
      <c r="F12" s="63">
        <v>4533.83</v>
      </c>
      <c r="G12" s="63"/>
      <c r="H12" s="63">
        <v>13531.91</v>
      </c>
    </row>
    <row r="13" spans="2:14">
      <c r="D13" t="s">
        <v>187</v>
      </c>
      <c r="E13" s="63">
        <v>1268.93</v>
      </c>
      <c r="F13" s="63">
        <v>641.1</v>
      </c>
      <c r="G13" s="63"/>
      <c r="H13" s="63">
        <v>1910.0300000000002</v>
      </c>
    </row>
    <row r="14" spans="2:14">
      <c r="D14" t="s">
        <v>424</v>
      </c>
      <c r="F14" s="63">
        <v>873.02</v>
      </c>
      <c r="G14" s="63"/>
      <c r="H14" s="63">
        <v>873.02</v>
      </c>
    </row>
    <row r="15" spans="2:14">
      <c r="D15" t="s">
        <v>186</v>
      </c>
      <c r="E15" s="63">
        <v>7201.25</v>
      </c>
      <c r="F15" s="63">
        <v>1139.1500000000001</v>
      </c>
      <c r="G15" s="63"/>
      <c r="H15" s="63">
        <v>8340.4</v>
      </c>
    </row>
    <row r="16" spans="2:14">
      <c r="D16" t="s">
        <v>184</v>
      </c>
      <c r="E16" s="63">
        <v>1118.3599999999999</v>
      </c>
      <c r="F16" s="63">
        <v>1561.32</v>
      </c>
      <c r="G16" s="63"/>
      <c r="H16" s="63">
        <v>2679.68</v>
      </c>
    </row>
    <row r="17" spans="3:8">
      <c r="C17" t="s">
        <v>1564</v>
      </c>
      <c r="D17"/>
      <c r="E17" s="63">
        <v>19983.060000000001</v>
      </c>
      <c r="F17" s="63">
        <v>10969.28</v>
      </c>
      <c r="G17" s="63"/>
      <c r="H17" s="63">
        <v>30952.339999999997</v>
      </c>
    </row>
    <row r="18" spans="3:8">
      <c r="C18" t="s">
        <v>1565</v>
      </c>
      <c r="D18" t="s">
        <v>182</v>
      </c>
      <c r="F18" s="63">
        <v>980.19</v>
      </c>
      <c r="G18" s="63"/>
      <c r="H18" s="63">
        <v>980.19</v>
      </c>
    </row>
    <row r="19" spans="3:8">
      <c r="D19" t="s">
        <v>372</v>
      </c>
      <c r="E19" s="63">
        <v>1576.0899999999997</v>
      </c>
      <c r="F19" s="63">
        <v>515.30999999999995</v>
      </c>
      <c r="G19" s="63"/>
      <c r="H19" s="63">
        <v>2091.3999999999996</v>
      </c>
    </row>
    <row r="20" spans="3:8">
      <c r="D20" t="s">
        <v>188</v>
      </c>
      <c r="E20" s="63">
        <v>2759.66</v>
      </c>
      <c r="G20" s="63"/>
      <c r="H20" s="63">
        <v>2759.66</v>
      </c>
    </row>
    <row r="21" spans="3:8">
      <c r="D21" t="s">
        <v>185</v>
      </c>
      <c r="F21" s="63">
        <v>305.95</v>
      </c>
      <c r="G21" s="63"/>
      <c r="H21" s="63">
        <v>305.95</v>
      </c>
    </row>
    <row r="22" spans="3:8">
      <c r="D22" t="s">
        <v>183</v>
      </c>
      <c r="E22" s="63">
        <v>7487.75</v>
      </c>
      <c r="F22" s="63">
        <v>2648.09</v>
      </c>
      <c r="G22" s="63"/>
      <c r="H22" s="63">
        <v>10135.84</v>
      </c>
    </row>
    <row r="23" spans="3:8">
      <c r="D23" t="s">
        <v>187</v>
      </c>
      <c r="E23" s="63">
        <v>5836.31</v>
      </c>
      <c r="F23" s="63">
        <v>3611.5</v>
      </c>
      <c r="G23" s="63"/>
      <c r="H23" s="63">
        <v>9447.8100000000013</v>
      </c>
    </row>
    <row r="24" spans="3:8">
      <c r="D24" t="s">
        <v>186</v>
      </c>
      <c r="E24" s="63">
        <v>6238.46</v>
      </c>
      <c r="F24" s="63">
        <v>3595.09</v>
      </c>
      <c r="G24" s="63"/>
      <c r="H24" s="63">
        <v>9833.5499999999993</v>
      </c>
    </row>
    <row r="25" spans="3:8">
      <c r="D25" t="s">
        <v>184</v>
      </c>
      <c r="E25" s="63">
        <v>4097.66</v>
      </c>
      <c r="F25" s="63">
        <v>686.91</v>
      </c>
      <c r="G25" s="63"/>
      <c r="H25" s="63">
        <v>4784.57</v>
      </c>
    </row>
    <row r="26" spans="3:8">
      <c r="C26" t="s">
        <v>1566</v>
      </c>
      <c r="D26"/>
      <c r="E26" s="63">
        <v>27995.93</v>
      </c>
      <c r="F26" s="63">
        <v>12343.04</v>
      </c>
      <c r="G26" s="63"/>
      <c r="H26" s="63">
        <v>40338.97</v>
      </c>
    </row>
    <row r="27" spans="3:8">
      <c r="C27" t="s">
        <v>1567</v>
      </c>
      <c r="D27" t="s">
        <v>425</v>
      </c>
      <c r="E27" s="63">
        <v>66.53</v>
      </c>
      <c r="G27" s="63"/>
      <c r="H27" s="63">
        <v>66.53</v>
      </c>
    </row>
    <row r="28" spans="3:8">
      <c r="D28" t="s">
        <v>372</v>
      </c>
      <c r="E28" s="63">
        <v>1516.5500000000004</v>
      </c>
      <c r="F28" s="63">
        <v>311.31999999999994</v>
      </c>
      <c r="G28" s="63"/>
      <c r="H28" s="63">
        <v>1827.8700000000003</v>
      </c>
    </row>
    <row r="29" spans="3:8">
      <c r="D29" t="s">
        <v>188</v>
      </c>
      <c r="E29" s="63">
        <v>1967.4299999999998</v>
      </c>
      <c r="F29" s="63">
        <v>977.36</v>
      </c>
      <c r="G29" s="63"/>
      <c r="H29" s="63">
        <v>2944.79</v>
      </c>
    </row>
    <row r="30" spans="3:8">
      <c r="D30" t="s">
        <v>185</v>
      </c>
      <c r="F30" s="63">
        <v>133.75</v>
      </c>
      <c r="G30" s="63"/>
      <c r="H30" s="63">
        <v>133.75</v>
      </c>
    </row>
    <row r="31" spans="3:8">
      <c r="D31" t="s">
        <v>183</v>
      </c>
      <c r="E31" s="63">
        <v>9335.33</v>
      </c>
      <c r="F31" s="63">
        <v>2479.1600000000003</v>
      </c>
      <c r="G31" s="63"/>
      <c r="H31" s="63">
        <v>11814.49</v>
      </c>
    </row>
    <row r="32" spans="3:8">
      <c r="D32" t="s">
        <v>187</v>
      </c>
      <c r="E32" s="63">
        <v>4871.8600000000006</v>
      </c>
      <c r="F32" s="63">
        <v>675.39</v>
      </c>
      <c r="G32" s="63"/>
      <c r="H32" s="63">
        <v>5547.2500000000009</v>
      </c>
    </row>
    <row r="33" spans="2:8">
      <c r="D33" t="s">
        <v>424</v>
      </c>
      <c r="F33" s="63">
        <v>347.04</v>
      </c>
      <c r="G33" s="63"/>
      <c r="H33" s="63">
        <v>347.04</v>
      </c>
    </row>
    <row r="34" spans="2:8">
      <c r="D34" t="s">
        <v>852</v>
      </c>
      <c r="E34" s="63">
        <v>311.44</v>
      </c>
      <c r="F34" s="63">
        <v>103.81</v>
      </c>
      <c r="G34" s="63"/>
      <c r="H34" s="63">
        <v>415.25</v>
      </c>
    </row>
    <row r="35" spans="2:8">
      <c r="D35" t="s">
        <v>186</v>
      </c>
      <c r="E35" s="63">
        <v>7264.4</v>
      </c>
      <c r="F35" s="63">
        <v>2868.42</v>
      </c>
      <c r="G35" s="63"/>
      <c r="H35" s="63">
        <v>10132.82</v>
      </c>
    </row>
    <row r="36" spans="2:8">
      <c r="D36" t="s">
        <v>184</v>
      </c>
      <c r="E36" s="63">
        <v>3363.5</v>
      </c>
      <c r="F36" s="63">
        <v>679.96</v>
      </c>
      <c r="G36" s="63"/>
      <c r="H36" s="63">
        <v>4043.46</v>
      </c>
    </row>
    <row r="37" spans="2:8">
      <c r="C37" t="s">
        <v>1568</v>
      </c>
      <c r="D37"/>
      <c r="E37" s="63">
        <v>28697.040000000001</v>
      </c>
      <c r="F37" s="63">
        <v>8576.2100000000009</v>
      </c>
      <c r="G37" s="63"/>
      <c r="H37" s="63">
        <v>37273.25</v>
      </c>
    </row>
    <row r="38" spans="2:8">
      <c r="C38" t="s">
        <v>1569</v>
      </c>
      <c r="D38" t="s">
        <v>372</v>
      </c>
      <c r="E38" s="63">
        <v>1586.73</v>
      </c>
      <c r="F38" s="63">
        <v>268.55000000000007</v>
      </c>
      <c r="G38" s="63"/>
      <c r="H38" s="63">
        <v>1855.2800000000002</v>
      </c>
    </row>
    <row r="39" spans="2:8">
      <c r="D39" t="s">
        <v>188</v>
      </c>
      <c r="E39" s="63">
        <v>2161.52</v>
      </c>
      <c r="F39" s="63">
        <v>1464.15</v>
      </c>
      <c r="G39" s="63"/>
      <c r="H39" s="63">
        <v>3625.67</v>
      </c>
    </row>
    <row r="40" spans="2:8">
      <c r="D40" t="s">
        <v>185</v>
      </c>
      <c r="F40" s="63">
        <v>122.96000000000001</v>
      </c>
      <c r="G40" s="63"/>
      <c r="H40" s="63">
        <v>122.96000000000001</v>
      </c>
    </row>
    <row r="41" spans="2:8">
      <c r="D41" t="s">
        <v>183</v>
      </c>
      <c r="E41" s="63">
        <v>6517.36</v>
      </c>
      <c r="F41" s="63">
        <v>2548.1</v>
      </c>
      <c r="G41" s="63"/>
      <c r="H41" s="63">
        <v>9065.4599999999991</v>
      </c>
    </row>
    <row r="42" spans="2:8">
      <c r="D42" t="s">
        <v>187</v>
      </c>
      <c r="E42" s="63">
        <v>7343.33</v>
      </c>
      <c r="F42" s="63">
        <v>3142.06</v>
      </c>
      <c r="G42" s="63"/>
      <c r="H42" s="63">
        <v>10485.39</v>
      </c>
    </row>
    <row r="43" spans="2:8">
      <c r="D43" t="s">
        <v>424</v>
      </c>
      <c r="F43" s="63">
        <v>527.1</v>
      </c>
      <c r="G43" s="63"/>
      <c r="H43" s="63">
        <v>527.1</v>
      </c>
    </row>
    <row r="44" spans="2:8">
      <c r="D44" t="s">
        <v>186</v>
      </c>
      <c r="E44" s="63">
        <v>4736.83</v>
      </c>
      <c r="F44" s="63">
        <v>2562.21</v>
      </c>
      <c r="G44" s="63"/>
      <c r="H44" s="63">
        <v>7299.04</v>
      </c>
    </row>
    <row r="45" spans="2:8">
      <c r="D45" t="s">
        <v>184</v>
      </c>
      <c r="E45" s="63">
        <v>4745.62</v>
      </c>
      <c r="F45" s="63">
        <v>1120.5</v>
      </c>
      <c r="G45" s="63"/>
      <c r="H45" s="63">
        <v>5866.12</v>
      </c>
    </row>
    <row r="46" spans="2:8">
      <c r="C46" t="s">
        <v>1570</v>
      </c>
      <c r="D46"/>
      <c r="E46" s="63">
        <v>27091.390000000003</v>
      </c>
      <c r="F46" s="63">
        <v>11755.630000000001</v>
      </c>
      <c r="G46" s="63"/>
      <c r="H46" s="63">
        <v>38847.019999999997</v>
      </c>
    </row>
    <row r="47" spans="2:8">
      <c r="B47" t="s">
        <v>3294</v>
      </c>
      <c r="D47"/>
      <c r="E47" s="63">
        <v>103767.42</v>
      </c>
      <c r="F47" s="63">
        <v>43644.159999999989</v>
      </c>
      <c r="G47" s="63"/>
      <c r="H47" s="63">
        <v>147411.58000000002</v>
      </c>
    </row>
    <row r="48" spans="2:8">
      <c r="B48" t="s">
        <v>3293</v>
      </c>
      <c r="C48" t="s">
        <v>1561</v>
      </c>
      <c r="D48" t="s">
        <v>182</v>
      </c>
      <c r="F48" s="63">
        <v>533.29999999999995</v>
      </c>
      <c r="G48" s="63"/>
      <c r="H48" s="63">
        <v>533.29999999999995</v>
      </c>
    </row>
    <row r="49" spans="3:8">
      <c r="D49" t="s">
        <v>372</v>
      </c>
      <c r="E49" s="63">
        <v>1029.51</v>
      </c>
      <c r="F49" s="63">
        <v>390.99</v>
      </c>
      <c r="G49" s="63"/>
      <c r="H49" s="63">
        <v>1420.5</v>
      </c>
    </row>
    <row r="50" spans="3:8">
      <c r="D50" t="s">
        <v>188</v>
      </c>
      <c r="F50" s="63">
        <v>863.24</v>
      </c>
      <c r="G50" s="63"/>
      <c r="H50" s="63">
        <v>863.24</v>
      </c>
    </row>
    <row r="51" spans="3:8">
      <c r="D51" t="s">
        <v>183</v>
      </c>
      <c r="E51" s="63">
        <v>6189.64</v>
      </c>
      <c r="F51" s="63">
        <v>1811.4299999999998</v>
      </c>
      <c r="G51" s="63"/>
      <c r="H51" s="63">
        <v>8001.07</v>
      </c>
    </row>
    <row r="52" spans="3:8">
      <c r="D52" t="s">
        <v>187</v>
      </c>
      <c r="E52" s="63">
        <v>5450.6900000000005</v>
      </c>
      <c r="F52" s="63">
        <v>2542.88</v>
      </c>
      <c r="G52" s="63"/>
      <c r="H52" s="63">
        <v>7993.5700000000006</v>
      </c>
    </row>
    <row r="53" spans="3:8">
      <c r="D53" t="s">
        <v>424</v>
      </c>
      <c r="F53" s="63">
        <v>601.85</v>
      </c>
      <c r="G53" s="63"/>
      <c r="H53" s="63">
        <v>601.85</v>
      </c>
    </row>
    <row r="54" spans="3:8">
      <c r="D54" t="s">
        <v>852</v>
      </c>
      <c r="E54" s="63">
        <v>346.88</v>
      </c>
      <c r="G54" s="63"/>
      <c r="H54" s="63">
        <v>346.88</v>
      </c>
    </row>
    <row r="55" spans="3:8">
      <c r="D55" t="s">
        <v>186</v>
      </c>
      <c r="E55" s="63">
        <v>4652.18</v>
      </c>
      <c r="F55" s="63">
        <v>2051.5099999999998</v>
      </c>
      <c r="G55" s="63"/>
      <c r="H55" s="63">
        <v>6703.6900000000005</v>
      </c>
    </row>
    <row r="56" spans="3:8">
      <c r="D56" t="s">
        <v>184</v>
      </c>
      <c r="E56" s="63">
        <v>3990.56</v>
      </c>
      <c r="F56" s="63">
        <v>332.85</v>
      </c>
      <c r="G56" s="63"/>
      <c r="H56" s="63">
        <v>4323.41</v>
      </c>
    </row>
    <row r="57" spans="3:8">
      <c r="D57" t="s">
        <v>1973</v>
      </c>
      <c r="E57" s="63">
        <v>240.54000000000002</v>
      </c>
      <c r="G57" s="63"/>
      <c r="H57" s="63">
        <v>240.54000000000002</v>
      </c>
    </row>
    <row r="58" spans="3:8">
      <c r="C58" t="s">
        <v>1562</v>
      </c>
      <c r="D58"/>
      <c r="E58" s="63">
        <v>21900.000000000004</v>
      </c>
      <c r="F58" s="63">
        <v>9128.0500000000011</v>
      </c>
      <c r="G58" s="63"/>
      <c r="H58" s="63">
        <v>31028.05</v>
      </c>
    </row>
    <row r="59" spans="3:8">
      <c r="C59" t="s">
        <v>1993</v>
      </c>
      <c r="D59" t="s">
        <v>182</v>
      </c>
      <c r="E59" s="63">
        <v>832.49</v>
      </c>
      <c r="F59" s="63">
        <v>508.86</v>
      </c>
      <c r="G59" s="63"/>
      <c r="H59" s="63">
        <v>1341.35</v>
      </c>
    </row>
    <row r="60" spans="3:8">
      <c r="D60" t="s">
        <v>372</v>
      </c>
      <c r="E60" s="63">
        <v>1442.56</v>
      </c>
      <c r="F60" s="63">
        <v>315.65999999999997</v>
      </c>
      <c r="G60" s="63"/>
      <c r="H60" s="63">
        <v>1758.2199999999998</v>
      </c>
    </row>
    <row r="61" spans="3:8">
      <c r="D61" t="s">
        <v>188</v>
      </c>
      <c r="F61" s="63">
        <v>920.31999999999994</v>
      </c>
      <c r="G61" s="63"/>
      <c r="H61" s="63">
        <v>920.31999999999994</v>
      </c>
    </row>
    <row r="62" spans="3:8">
      <c r="D62" t="s">
        <v>183</v>
      </c>
      <c r="E62" s="63">
        <v>9494.2900000000009</v>
      </c>
      <c r="F62" s="63">
        <v>1524.09</v>
      </c>
      <c r="G62" s="63"/>
      <c r="H62" s="63">
        <v>11018.380000000001</v>
      </c>
    </row>
    <row r="63" spans="3:8">
      <c r="D63" t="s">
        <v>187</v>
      </c>
      <c r="E63" s="63">
        <v>5301.7199999999993</v>
      </c>
      <c r="F63" s="63">
        <v>2554.5299999999997</v>
      </c>
      <c r="G63" s="63"/>
      <c r="H63" s="63">
        <v>7856.2499999999991</v>
      </c>
    </row>
    <row r="64" spans="3:8">
      <c r="D64" t="s">
        <v>424</v>
      </c>
      <c r="F64" s="63">
        <v>480.82</v>
      </c>
      <c r="G64" s="63"/>
      <c r="H64" s="63">
        <v>480.82</v>
      </c>
    </row>
    <row r="65" spans="3:8">
      <c r="D65" t="s">
        <v>852</v>
      </c>
      <c r="E65" s="63">
        <v>346.88</v>
      </c>
      <c r="G65" s="63"/>
      <c r="H65" s="63">
        <v>346.88</v>
      </c>
    </row>
    <row r="66" spans="3:8">
      <c r="D66" t="s">
        <v>186</v>
      </c>
      <c r="E66" s="63">
        <v>2832.14</v>
      </c>
      <c r="F66" s="63">
        <v>2479.54</v>
      </c>
      <c r="G66" s="63"/>
      <c r="H66" s="63">
        <v>5311.68</v>
      </c>
    </row>
    <row r="67" spans="3:8">
      <c r="D67" t="s">
        <v>184</v>
      </c>
      <c r="E67" s="63">
        <v>3168.82</v>
      </c>
      <c r="F67" s="63">
        <v>260.5</v>
      </c>
      <c r="G67" s="63"/>
      <c r="H67" s="63">
        <v>3429.32</v>
      </c>
    </row>
    <row r="68" spans="3:8">
      <c r="D68" t="s">
        <v>1973</v>
      </c>
      <c r="E68" s="63">
        <v>360.81</v>
      </c>
      <c r="G68" s="63"/>
      <c r="H68" s="63">
        <v>360.81</v>
      </c>
    </row>
    <row r="69" spans="3:8">
      <c r="C69" t="s">
        <v>1994</v>
      </c>
      <c r="D69"/>
      <c r="E69" s="63">
        <v>23779.71</v>
      </c>
      <c r="F69" s="63">
        <v>9044.32</v>
      </c>
      <c r="G69" s="63"/>
      <c r="H69" s="63">
        <v>32824.03</v>
      </c>
    </row>
    <row r="70" spans="3:8">
      <c r="C70" t="s">
        <v>2214</v>
      </c>
      <c r="D70" t="s">
        <v>182</v>
      </c>
      <c r="E70" s="63">
        <v>645.92000000000007</v>
      </c>
      <c r="F70" s="63">
        <v>620.78</v>
      </c>
      <c r="G70" s="63"/>
      <c r="H70" s="63">
        <v>1266.7</v>
      </c>
    </row>
    <row r="71" spans="3:8">
      <c r="D71" t="s">
        <v>372</v>
      </c>
      <c r="E71" s="63">
        <v>1799.82</v>
      </c>
      <c r="F71" s="63">
        <v>363.64000000000004</v>
      </c>
      <c r="G71" s="63"/>
      <c r="H71" s="63">
        <v>2163.46</v>
      </c>
    </row>
    <row r="72" spans="3:8">
      <c r="D72" t="s">
        <v>188</v>
      </c>
      <c r="F72" s="63">
        <v>523.24</v>
      </c>
      <c r="G72" s="63"/>
      <c r="H72" s="63">
        <v>523.24</v>
      </c>
    </row>
    <row r="73" spans="3:8">
      <c r="D73" t="s">
        <v>183</v>
      </c>
      <c r="E73" s="63">
        <v>1581.29</v>
      </c>
      <c r="F73" s="63">
        <v>954.78</v>
      </c>
      <c r="G73" s="63"/>
      <c r="H73" s="63">
        <v>2536.0699999999997</v>
      </c>
    </row>
    <row r="74" spans="3:8">
      <c r="D74" t="s">
        <v>187</v>
      </c>
      <c r="E74" s="63">
        <v>4607.6000000000004</v>
      </c>
      <c r="F74" s="63">
        <v>2607.3000000000002</v>
      </c>
      <c r="G74" s="63"/>
      <c r="H74" s="63">
        <v>7214.9000000000005</v>
      </c>
    </row>
    <row r="75" spans="3:8">
      <c r="D75" t="s">
        <v>852</v>
      </c>
      <c r="F75" s="63">
        <v>350.68</v>
      </c>
      <c r="G75" s="63"/>
      <c r="H75" s="63">
        <v>350.68</v>
      </c>
    </row>
    <row r="76" spans="3:8">
      <c r="D76" t="s">
        <v>186</v>
      </c>
      <c r="E76" s="63">
        <v>219.16</v>
      </c>
      <c r="F76" s="63">
        <v>1531.54</v>
      </c>
      <c r="G76" s="63"/>
      <c r="H76" s="63">
        <v>1750.7</v>
      </c>
    </row>
    <row r="77" spans="3:8">
      <c r="D77" t="s">
        <v>184</v>
      </c>
      <c r="E77" s="63">
        <v>6023.34</v>
      </c>
      <c r="F77" s="63">
        <v>224.12</v>
      </c>
      <c r="G77" s="63"/>
      <c r="H77" s="63">
        <v>6247.46</v>
      </c>
    </row>
    <row r="78" spans="3:8">
      <c r="D78" t="s">
        <v>1973</v>
      </c>
      <c r="E78" s="63">
        <v>681.54</v>
      </c>
      <c r="G78" s="63"/>
      <c r="H78" s="63">
        <v>681.54</v>
      </c>
    </row>
    <row r="79" spans="3:8">
      <c r="D79" t="s">
        <v>2200</v>
      </c>
      <c r="E79" s="63">
        <v>12153.460000000003</v>
      </c>
      <c r="F79" s="63">
        <v>4139.0899999999992</v>
      </c>
      <c r="G79" s="63"/>
      <c r="H79" s="63">
        <v>16292.550000000003</v>
      </c>
    </row>
    <row r="80" spans="3:8">
      <c r="D80" t="s">
        <v>2252</v>
      </c>
      <c r="E80" s="63">
        <v>355.95</v>
      </c>
      <c r="G80" s="63"/>
      <c r="H80" s="63">
        <v>355.95</v>
      </c>
    </row>
    <row r="81" spans="3:8">
      <c r="C81" t="s">
        <v>2215</v>
      </c>
      <c r="D81"/>
      <c r="E81" s="63">
        <v>28068.080000000005</v>
      </c>
      <c r="F81" s="63">
        <v>11315.169999999998</v>
      </c>
      <c r="G81" s="63"/>
      <c r="H81" s="63">
        <v>39383.25</v>
      </c>
    </row>
    <row r="82" spans="3:8">
      <c r="C82" t="s">
        <v>2369</v>
      </c>
      <c r="D82" t="s">
        <v>182</v>
      </c>
      <c r="E82" s="63">
        <v>950.44</v>
      </c>
      <c r="G82" s="63"/>
      <c r="H82" s="63">
        <v>950.44</v>
      </c>
    </row>
    <row r="83" spans="3:8">
      <c r="D83" t="s">
        <v>372</v>
      </c>
      <c r="E83" s="63">
        <v>1432.12</v>
      </c>
      <c r="F83" s="63">
        <v>303.02999999999997</v>
      </c>
      <c r="G83" s="63"/>
      <c r="H83" s="63">
        <v>1735.1499999999999</v>
      </c>
    </row>
    <row r="84" spans="3:8">
      <c r="D84" t="s">
        <v>187</v>
      </c>
      <c r="E84" s="63">
        <v>5041.12</v>
      </c>
      <c r="F84" s="63">
        <v>3112.05</v>
      </c>
      <c r="G84" s="63"/>
      <c r="H84" s="63">
        <v>8153.17</v>
      </c>
    </row>
    <row r="85" spans="3:8">
      <c r="D85" t="s">
        <v>424</v>
      </c>
      <c r="F85" s="63">
        <v>338.52</v>
      </c>
      <c r="G85" s="63"/>
      <c r="H85" s="63">
        <v>338.52</v>
      </c>
    </row>
    <row r="86" spans="3:8">
      <c r="D86" t="s">
        <v>184</v>
      </c>
      <c r="E86" s="63">
        <v>776.27</v>
      </c>
      <c r="G86" s="63"/>
      <c r="H86" s="63">
        <v>776.27</v>
      </c>
    </row>
    <row r="87" spans="3:8">
      <c r="D87" t="s">
        <v>1973</v>
      </c>
      <c r="E87" s="63">
        <v>440.99</v>
      </c>
      <c r="G87" s="63"/>
      <c r="H87" s="63">
        <v>440.99</v>
      </c>
    </row>
    <row r="88" spans="3:8">
      <c r="D88" t="s">
        <v>2200</v>
      </c>
      <c r="E88" s="63">
        <v>18026.940000000006</v>
      </c>
      <c r="F88" s="63">
        <v>5806.1100000000006</v>
      </c>
      <c r="G88" s="63"/>
      <c r="H88" s="63">
        <v>23833.050000000007</v>
      </c>
    </row>
    <row r="89" spans="3:8">
      <c r="D89" t="s">
        <v>2252</v>
      </c>
      <c r="E89" s="63">
        <v>2054.4299999999998</v>
      </c>
      <c r="G89" s="63"/>
      <c r="H89" s="63">
        <v>2054.4299999999998</v>
      </c>
    </row>
    <row r="90" spans="3:8">
      <c r="D90" t="s">
        <v>2521</v>
      </c>
      <c r="E90" s="63">
        <v>122.1</v>
      </c>
      <c r="G90" s="63"/>
      <c r="H90" s="63">
        <v>122.1</v>
      </c>
    </row>
    <row r="91" spans="3:8">
      <c r="C91" t="s">
        <v>2370</v>
      </c>
      <c r="D91"/>
      <c r="E91" s="63">
        <v>28844.410000000003</v>
      </c>
      <c r="F91" s="63">
        <v>9559.7100000000009</v>
      </c>
      <c r="G91" s="63"/>
      <c r="H91" s="63">
        <v>38404.12000000001</v>
      </c>
    </row>
    <row r="92" spans="3:8">
      <c r="C92" t="s">
        <v>2498</v>
      </c>
      <c r="D92" t="s">
        <v>182</v>
      </c>
      <c r="E92" s="63">
        <v>1092.53</v>
      </c>
      <c r="F92" s="63">
        <v>604.87</v>
      </c>
      <c r="G92" s="63"/>
      <c r="H92" s="63">
        <v>1697.4</v>
      </c>
    </row>
    <row r="93" spans="3:8">
      <c r="D93" t="s">
        <v>372</v>
      </c>
      <c r="E93" s="63">
        <v>2331.0599999999995</v>
      </c>
      <c r="F93" s="63">
        <v>131.58000000000001</v>
      </c>
      <c r="G93" s="63"/>
      <c r="H93" s="63">
        <v>2462.6399999999994</v>
      </c>
    </row>
    <row r="94" spans="3:8">
      <c r="D94" t="s">
        <v>187</v>
      </c>
      <c r="E94" s="63">
        <v>4084.88</v>
      </c>
      <c r="F94" s="63">
        <v>2279.7999999999997</v>
      </c>
      <c r="G94" s="63"/>
      <c r="H94" s="63">
        <v>6364.68</v>
      </c>
    </row>
    <row r="95" spans="3:8">
      <c r="D95" t="s">
        <v>424</v>
      </c>
      <c r="F95" s="63">
        <v>304.77999999999997</v>
      </c>
      <c r="G95" s="63"/>
      <c r="H95" s="63">
        <v>304.77999999999997</v>
      </c>
    </row>
    <row r="96" spans="3:8">
      <c r="D96" t="s">
        <v>852</v>
      </c>
      <c r="E96" s="63">
        <v>346.88</v>
      </c>
      <c r="G96" s="63"/>
      <c r="H96" s="63">
        <v>346.88</v>
      </c>
    </row>
    <row r="97" spans="3:8">
      <c r="D97" t="s">
        <v>1973</v>
      </c>
      <c r="E97" s="63">
        <v>240.54</v>
      </c>
      <c r="G97" s="63"/>
      <c r="H97" s="63">
        <v>240.54</v>
      </c>
    </row>
    <row r="98" spans="3:8">
      <c r="D98" t="s">
        <v>2200</v>
      </c>
      <c r="E98" s="63">
        <v>18617.210000000003</v>
      </c>
      <c r="F98" s="63">
        <v>5400.7000000000007</v>
      </c>
      <c r="G98" s="63"/>
      <c r="H98" s="63">
        <v>24017.910000000003</v>
      </c>
    </row>
    <row r="99" spans="3:8">
      <c r="D99" t="s">
        <v>2252</v>
      </c>
      <c r="E99" s="63">
        <v>2479.0700000000002</v>
      </c>
      <c r="G99" s="63"/>
      <c r="H99" s="63">
        <v>2479.0700000000002</v>
      </c>
    </row>
    <row r="100" spans="3:8">
      <c r="D100" t="s">
        <v>2521</v>
      </c>
      <c r="E100" s="63">
        <v>78.34</v>
      </c>
      <c r="G100" s="63"/>
      <c r="H100" s="63">
        <v>78.34</v>
      </c>
    </row>
    <row r="101" spans="3:8">
      <c r="C101" t="s">
        <v>2499</v>
      </c>
      <c r="D101"/>
      <c r="E101" s="63">
        <v>29270.510000000002</v>
      </c>
      <c r="F101" s="63">
        <v>8721.73</v>
      </c>
      <c r="G101" s="63"/>
      <c r="H101" s="63">
        <v>37992.239999999998</v>
      </c>
    </row>
    <row r="102" spans="3:8">
      <c r="C102" t="s">
        <v>2611</v>
      </c>
      <c r="D102" t="s">
        <v>182</v>
      </c>
      <c r="E102" s="63">
        <v>1163.4000000000001</v>
      </c>
      <c r="F102" s="63">
        <v>612.29999999999995</v>
      </c>
      <c r="G102" s="63"/>
      <c r="H102" s="63">
        <v>1775.7</v>
      </c>
    </row>
    <row r="103" spans="3:8">
      <c r="D103" t="s">
        <v>372</v>
      </c>
      <c r="E103" s="63">
        <v>2308.87</v>
      </c>
      <c r="F103" s="63">
        <v>136.55000000000001</v>
      </c>
      <c r="G103" s="63"/>
      <c r="H103" s="63">
        <v>2445.42</v>
      </c>
    </row>
    <row r="104" spans="3:8">
      <c r="D104" t="s">
        <v>187</v>
      </c>
      <c r="E104" s="63">
        <v>5537.2300000000005</v>
      </c>
      <c r="F104" s="63">
        <v>2888.72</v>
      </c>
      <c r="G104" s="63"/>
      <c r="H104" s="63">
        <v>8425.9500000000007</v>
      </c>
    </row>
    <row r="105" spans="3:8">
      <c r="D105" t="s">
        <v>424</v>
      </c>
      <c r="F105" s="63">
        <v>377.16</v>
      </c>
      <c r="G105" s="63"/>
      <c r="H105" s="63">
        <v>377.16</v>
      </c>
    </row>
    <row r="106" spans="3:8">
      <c r="D106" t="s">
        <v>852</v>
      </c>
      <c r="E106" s="63">
        <v>519.05999999999995</v>
      </c>
      <c r="F106" s="63">
        <v>207.62</v>
      </c>
      <c r="G106" s="63"/>
      <c r="H106" s="63">
        <v>726.68</v>
      </c>
    </row>
    <row r="107" spans="3:8">
      <c r="D107" t="s">
        <v>2200</v>
      </c>
      <c r="E107" s="63">
        <v>16434.390000000003</v>
      </c>
      <c r="F107" s="63">
        <v>7976.9500000000007</v>
      </c>
      <c r="G107" s="63"/>
      <c r="H107" s="63">
        <v>24411.340000000004</v>
      </c>
    </row>
    <row r="108" spans="3:8">
      <c r="D108" t="s">
        <v>2252</v>
      </c>
      <c r="E108" s="63">
        <v>322.76</v>
      </c>
      <c r="G108" s="63"/>
      <c r="H108" s="63">
        <v>322.76</v>
      </c>
    </row>
    <row r="109" spans="3:8">
      <c r="D109" t="s">
        <v>2521</v>
      </c>
      <c r="E109" s="63">
        <v>326.39999999999998</v>
      </c>
      <c r="G109" s="63"/>
      <c r="H109" s="63">
        <v>326.39999999999998</v>
      </c>
    </row>
    <row r="110" spans="3:8">
      <c r="D110" t="s">
        <v>2719</v>
      </c>
      <c r="E110" s="63">
        <v>1302.71</v>
      </c>
      <c r="F110" s="63">
        <v>561.36</v>
      </c>
      <c r="G110" s="63"/>
      <c r="H110" s="63">
        <v>1864.0700000000002</v>
      </c>
    </row>
    <row r="111" spans="3:8">
      <c r="D111" t="s">
        <v>3146</v>
      </c>
      <c r="E111" s="63">
        <v>213.77</v>
      </c>
      <c r="G111" s="63"/>
      <c r="H111" s="63">
        <v>213.77</v>
      </c>
    </row>
    <row r="112" spans="3:8">
      <c r="C112" t="s">
        <v>2612</v>
      </c>
      <c r="D112"/>
      <c r="E112" s="63">
        <v>28128.590000000004</v>
      </c>
      <c r="F112" s="63">
        <v>12760.66</v>
      </c>
      <c r="G112" s="63"/>
      <c r="H112" s="63">
        <v>40889.25</v>
      </c>
    </row>
    <row r="113" spans="3:8">
      <c r="C113" t="s">
        <v>2865</v>
      </c>
      <c r="D113" t="s">
        <v>182</v>
      </c>
      <c r="E113" s="63">
        <v>1029.95</v>
      </c>
      <c r="F113" s="63">
        <v>510.42</v>
      </c>
      <c r="G113" s="63"/>
      <c r="H113" s="63">
        <v>1540.3700000000001</v>
      </c>
    </row>
    <row r="114" spans="3:8">
      <c r="D114" t="s">
        <v>372</v>
      </c>
      <c r="E114" s="63">
        <v>2272.6099999999997</v>
      </c>
      <c r="F114" s="63">
        <v>129.76</v>
      </c>
      <c r="G114" s="63"/>
      <c r="H114" s="63">
        <v>2402.37</v>
      </c>
    </row>
    <row r="115" spans="3:8">
      <c r="D115" t="s">
        <v>187</v>
      </c>
      <c r="E115" s="63">
        <v>3408.52</v>
      </c>
      <c r="F115" s="63">
        <v>1602.8400000000001</v>
      </c>
      <c r="G115" s="63"/>
      <c r="H115" s="63">
        <v>5011.3600000000006</v>
      </c>
    </row>
    <row r="116" spans="3:8">
      <c r="D116" t="s">
        <v>852</v>
      </c>
      <c r="F116" s="63">
        <v>207.62</v>
      </c>
      <c r="G116" s="63"/>
      <c r="H116" s="63">
        <v>207.62</v>
      </c>
    </row>
    <row r="117" spans="3:8">
      <c r="D117" t="s">
        <v>2200</v>
      </c>
      <c r="E117" s="63">
        <v>16460.599999999999</v>
      </c>
      <c r="F117" s="63">
        <v>5259.1500000000005</v>
      </c>
      <c r="G117" s="63"/>
      <c r="H117" s="63">
        <v>21719.75</v>
      </c>
    </row>
    <row r="118" spans="3:8">
      <c r="D118" t="s">
        <v>2521</v>
      </c>
      <c r="E118" s="63">
        <v>380.86</v>
      </c>
      <c r="G118" s="63"/>
      <c r="H118" s="63">
        <v>380.86</v>
      </c>
    </row>
    <row r="119" spans="3:8">
      <c r="D119" t="s">
        <v>2846</v>
      </c>
      <c r="E119" s="63">
        <v>1131.5999999999999</v>
      </c>
      <c r="G119" s="63"/>
      <c r="H119" s="63">
        <v>1131.5999999999999</v>
      </c>
    </row>
    <row r="120" spans="3:8">
      <c r="D120" t="s">
        <v>3146</v>
      </c>
      <c r="E120" s="63">
        <v>2975.16</v>
      </c>
      <c r="G120" s="63"/>
      <c r="H120" s="63">
        <v>2975.16</v>
      </c>
    </row>
    <row r="121" spans="3:8">
      <c r="C121" t="s">
        <v>2866</v>
      </c>
      <c r="D121"/>
      <c r="E121" s="63">
        <v>27659.3</v>
      </c>
      <c r="F121" s="63">
        <v>7709.7900000000009</v>
      </c>
      <c r="G121" s="63"/>
      <c r="H121" s="63">
        <v>35369.089999999997</v>
      </c>
    </row>
    <row r="122" spans="3:8">
      <c r="C122" t="s">
        <v>2947</v>
      </c>
      <c r="D122" t="s">
        <v>182</v>
      </c>
      <c r="E122" s="63">
        <v>1291.6699999999998</v>
      </c>
      <c r="F122" s="63">
        <v>517.45000000000005</v>
      </c>
      <c r="G122" s="63"/>
      <c r="H122" s="63">
        <v>1809.12</v>
      </c>
    </row>
    <row r="123" spans="3:8">
      <c r="D123" t="s">
        <v>372</v>
      </c>
      <c r="E123" s="63">
        <v>2091.0700000000002</v>
      </c>
      <c r="F123" s="63">
        <v>150.76000000000002</v>
      </c>
      <c r="G123" s="63"/>
      <c r="H123" s="63">
        <v>2241.8300000000004</v>
      </c>
    </row>
    <row r="124" spans="3:8">
      <c r="D124" t="s">
        <v>187</v>
      </c>
      <c r="E124" s="63">
        <v>4018.0299999999997</v>
      </c>
      <c r="F124" s="63">
        <v>1369.75</v>
      </c>
      <c r="G124" s="63"/>
      <c r="H124" s="63">
        <v>5387.78</v>
      </c>
    </row>
    <row r="125" spans="3:8">
      <c r="D125" t="s">
        <v>852</v>
      </c>
      <c r="E125" s="63">
        <v>415.25</v>
      </c>
      <c r="G125" s="63"/>
      <c r="H125" s="63">
        <v>415.25</v>
      </c>
    </row>
    <row r="126" spans="3:8">
      <c r="D126" t="s">
        <v>186</v>
      </c>
      <c r="F126" s="63">
        <v>30.84</v>
      </c>
      <c r="G126" s="63"/>
      <c r="H126" s="63">
        <v>30.84</v>
      </c>
    </row>
    <row r="127" spans="3:8">
      <c r="D127" t="s">
        <v>2200</v>
      </c>
      <c r="E127" s="63">
        <v>18094.850000000002</v>
      </c>
      <c r="F127" s="63">
        <v>6505.49</v>
      </c>
      <c r="G127" s="63"/>
      <c r="H127" s="63">
        <v>24600.340000000004</v>
      </c>
    </row>
    <row r="128" spans="3:8">
      <c r="D128" t="s">
        <v>2719</v>
      </c>
      <c r="F128" s="63">
        <v>1818.32</v>
      </c>
      <c r="G128" s="63"/>
      <c r="H128" s="63">
        <v>1818.32</v>
      </c>
    </row>
    <row r="129" spans="3:8">
      <c r="D129" t="s">
        <v>3146</v>
      </c>
      <c r="E129" s="63">
        <v>271.14999999999998</v>
      </c>
      <c r="G129" s="63"/>
      <c r="H129" s="63">
        <v>271.14999999999998</v>
      </c>
    </row>
    <row r="130" spans="3:8">
      <c r="C130" t="s">
        <v>2948</v>
      </c>
      <c r="D130"/>
      <c r="E130" s="63">
        <v>26182.020000000004</v>
      </c>
      <c r="F130" s="63">
        <v>10392.61</v>
      </c>
      <c r="G130" s="63"/>
      <c r="H130" s="63">
        <v>36574.630000000005</v>
      </c>
    </row>
    <row r="131" spans="3:8">
      <c r="C131" t="s">
        <v>1563</v>
      </c>
      <c r="D131" t="s">
        <v>182</v>
      </c>
      <c r="E131" s="63">
        <v>933.1</v>
      </c>
      <c r="F131" s="63">
        <v>1056.8499999999999</v>
      </c>
      <c r="G131" s="63"/>
      <c r="H131" s="63">
        <v>1989.9499999999998</v>
      </c>
    </row>
    <row r="132" spans="3:8">
      <c r="D132" t="s">
        <v>372</v>
      </c>
      <c r="E132" s="63">
        <v>2834.3500000000004</v>
      </c>
      <c r="F132" s="63">
        <v>198.41000000000003</v>
      </c>
      <c r="G132" s="63"/>
      <c r="H132" s="63">
        <v>3032.76</v>
      </c>
    </row>
    <row r="133" spans="3:8">
      <c r="D133" t="s">
        <v>187</v>
      </c>
      <c r="E133" s="63">
        <v>5582.35</v>
      </c>
      <c r="F133" s="63">
        <v>2677.45</v>
      </c>
      <c r="G133" s="63"/>
      <c r="H133" s="63">
        <v>8259.7999999999993</v>
      </c>
    </row>
    <row r="134" spans="3:8">
      <c r="D134" t="s">
        <v>186</v>
      </c>
      <c r="E134" s="63">
        <v>12483.27</v>
      </c>
      <c r="F134" s="63">
        <v>4861.8500000000004</v>
      </c>
      <c r="G134" s="63"/>
      <c r="H134" s="63">
        <v>17345.120000000003</v>
      </c>
    </row>
    <row r="135" spans="3:8">
      <c r="D135" t="s">
        <v>184</v>
      </c>
      <c r="E135" s="63">
        <v>370.07</v>
      </c>
      <c r="G135" s="63"/>
      <c r="H135" s="63">
        <v>370.07</v>
      </c>
    </row>
    <row r="136" spans="3:8">
      <c r="D136" t="s">
        <v>2200</v>
      </c>
      <c r="E136" s="63">
        <v>6158.579999999999</v>
      </c>
      <c r="F136" s="63">
        <v>1536.5099999999998</v>
      </c>
      <c r="G136" s="63"/>
      <c r="H136" s="63">
        <v>7695.0899999999983</v>
      </c>
    </row>
    <row r="137" spans="3:8">
      <c r="D137" t="s">
        <v>2719</v>
      </c>
      <c r="E137" s="63">
        <v>765.27</v>
      </c>
      <c r="F137" s="63">
        <v>654.1</v>
      </c>
      <c r="G137" s="63">
        <v>202.56</v>
      </c>
      <c r="H137" s="63">
        <v>1621.9299999999998</v>
      </c>
    </row>
    <row r="138" spans="3:8">
      <c r="D138" t="s">
        <v>3146</v>
      </c>
      <c r="E138" s="63">
        <v>2482.06</v>
      </c>
      <c r="G138" s="63"/>
      <c r="H138" s="63">
        <v>2482.06</v>
      </c>
    </row>
    <row r="139" spans="3:8">
      <c r="D139" t="s">
        <v>3206</v>
      </c>
      <c r="E139" s="63">
        <v>1151.98</v>
      </c>
      <c r="G139" s="63"/>
      <c r="H139" s="63">
        <v>1151.98</v>
      </c>
    </row>
    <row r="140" spans="3:8">
      <c r="D140" t="s">
        <v>3211</v>
      </c>
      <c r="F140" s="63">
        <v>335.26</v>
      </c>
      <c r="G140" s="63"/>
      <c r="H140" s="63">
        <v>335.26</v>
      </c>
    </row>
    <row r="141" spans="3:8">
      <c r="C141" t="s">
        <v>1564</v>
      </c>
      <c r="D141"/>
      <c r="E141" s="63">
        <v>32761.03</v>
      </c>
      <c r="F141" s="63">
        <v>11320.430000000002</v>
      </c>
      <c r="G141" s="63">
        <v>202.56</v>
      </c>
      <c r="H141" s="63">
        <v>44284.020000000004</v>
      </c>
    </row>
    <row r="142" spans="3:8">
      <c r="C142" t="s">
        <v>1565</v>
      </c>
      <c r="D142" t="s">
        <v>182</v>
      </c>
      <c r="E142" s="63">
        <v>1751.97</v>
      </c>
      <c r="F142" s="63">
        <v>993.98</v>
      </c>
      <c r="G142" s="63"/>
      <c r="H142" s="63">
        <v>2745.95</v>
      </c>
    </row>
    <row r="143" spans="3:8">
      <c r="D143" t="s">
        <v>372</v>
      </c>
      <c r="E143" s="63">
        <v>2436.7500000000009</v>
      </c>
      <c r="F143" s="63">
        <v>131.35</v>
      </c>
      <c r="G143" s="63"/>
      <c r="H143" s="63">
        <v>2568.1000000000008</v>
      </c>
    </row>
    <row r="144" spans="3:8">
      <c r="D144" t="s">
        <v>187</v>
      </c>
      <c r="E144" s="63">
        <v>4578.18</v>
      </c>
      <c r="F144" s="63">
        <v>2450.37</v>
      </c>
      <c r="G144" s="63"/>
      <c r="H144" s="63">
        <v>7028.55</v>
      </c>
    </row>
    <row r="145" spans="2:8">
      <c r="D145" t="s">
        <v>852</v>
      </c>
      <c r="F145" s="63">
        <v>210.16</v>
      </c>
      <c r="G145" s="63"/>
      <c r="H145" s="63">
        <v>210.16</v>
      </c>
    </row>
    <row r="146" spans="2:8">
      <c r="D146" t="s">
        <v>186</v>
      </c>
      <c r="E146" s="63">
        <v>1178.8400000000001</v>
      </c>
      <c r="F146" s="63">
        <v>15281</v>
      </c>
      <c r="G146" s="63"/>
      <c r="H146" s="63">
        <v>16459.84</v>
      </c>
    </row>
    <row r="147" spans="2:8">
      <c r="D147" t="s">
        <v>2719</v>
      </c>
      <c r="E147" s="63">
        <v>797.58</v>
      </c>
      <c r="F147" s="63">
        <v>557.04</v>
      </c>
      <c r="G147" s="63"/>
      <c r="H147" s="63">
        <v>1354.62</v>
      </c>
    </row>
    <row r="148" spans="2:8">
      <c r="D148" t="s">
        <v>3146</v>
      </c>
      <c r="E148" s="63">
        <v>543.9</v>
      </c>
      <c r="G148" s="63"/>
      <c r="H148" s="63">
        <v>543.9</v>
      </c>
    </row>
    <row r="149" spans="2:8">
      <c r="D149" t="s">
        <v>3206</v>
      </c>
      <c r="E149" s="63">
        <v>10802.88</v>
      </c>
      <c r="G149" s="63"/>
      <c r="H149" s="63">
        <v>10802.88</v>
      </c>
    </row>
    <row r="150" spans="2:8">
      <c r="C150" t="s">
        <v>1566</v>
      </c>
      <c r="D150"/>
      <c r="E150" s="63">
        <v>22090.1</v>
      </c>
      <c r="F150" s="63">
        <v>19623.900000000001</v>
      </c>
      <c r="G150" s="63"/>
      <c r="H150" s="63">
        <v>41714</v>
      </c>
    </row>
    <row r="151" spans="2:8">
      <c r="C151" t="s">
        <v>1567</v>
      </c>
      <c r="D151" t="s">
        <v>372</v>
      </c>
      <c r="E151" s="63">
        <v>590.47</v>
      </c>
      <c r="G151" s="63"/>
      <c r="H151" s="63">
        <v>590.47</v>
      </c>
    </row>
    <row r="152" spans="2:8">
      <c r="D152" t="s">
        <v>187</v>
      </c>
      <c r="E152" s="63">
        <v>1130.83</v>
      </c>
      <c r="F152" s="63">
        <v>595.58000000000004</v>
      </c>
      <c r="G152" s="63"/>
      <c r="H152" s="63">
        <v>1726.4099999999999</v>
      </c>
    </row>
    <row r="153" spans="2:8">
      <c r="D153" t="s">
        <v>186</v>
      </c>
      <c r="F153" s="63">
        <v>5885.27</v>
      </c>
      <c r="G153" s="63"/>
      <c r="H153" s="63">
        <v>5885.27</v>
      </c>
    </row>
    <row r="154" spans="2:8">
      <c r="D154" t="s">
        <v>3211</v>
      </c>
      <c r="F154" s="63">
        <v>357.7</v>
      </c>
      <c r="G154" s="63"/>
      <c r="H154" s="63">
        <v>357.7</v>
      </c>
    </row>
    <row r="155" spans="2:8">
      <c r="C155" t="s">
        <v>1568</v>
      </c>
      <c r="D155"/>
      <c r="E155" s="63">
        <v>1721.3</v>
      </c>
      <c r="F155" s="63">
        <v>6838.55</v>
      </c>
      <c r="G155" s="63"/>
      <c r="H155" s="63">
        <v>8559.8500000000022</v>
      </c>
    </row>
    <row r="156" spans="2:8">
      <c r="B156" t="s">
        <v>3295</v>
      </c>
      <c r="D156"/>
      <c r="E156" s="63">
        <v>270405.05</v>
      </c>
      <c r="F156" s="63">
        <v>116414.92000000004</v>
      </c>
      <c r="G156" s="63">
        <v>202.56</v>
      </c>
      <c r="H156" s="63">
        <v>387022.53000000009</v>
      </c>
    </row>
    <row r="157" spans="2:8">
      <c r="B157" t="s">
        <v>181</v>
      </c>
      <c r="D157"/>
      <c r="E157" s="63">
        <v>374172.47000000009</v>
      </c>
      <c r="F157" s="63">
        <v>160059.07999999999</v>
      </c>
      <c r="G157" s="63">
        <v>202.56</v>
      </c>
      <c r="H157" s="63">
        <v>534434.11000000022</v>
      </c>
    </row>
    <row r="158" spans="2:8">
      <c r="D158"/>
      <c r="E158"/>
      <c r="F158"/>
    </row>
    <row r="159" spans="2:8">
      <c r="D159"/>
      <c r="E159"/>
      <c r="F159"/>
    </row>
    <row r="160" spans="2:8">
      <c r="D160"/>
      <c r="E160"/>
      <c r="F160"/>
    </row>
    <row r="161" spans="4:6">
      <c r="D161"/>
      <c r="E161"/>
      <c r="F161"/>
    </row>
    <row r="162" spans="4:6">
      <c r="D162"/>
      <c r="E162"/>
      <c r="F162"/>
    </row>
    <row r="163" spans="4:6">
      <c r="D163"/>
      <c r="E163"/>
      <c r="F163"/>
    </row>
    <row r="164" spans="4:6">
      <c r="D164"/>
      <c r="E164"/>
      <c r="F164"/>
    </row>
    <row r="165" spans="4:6">
      <c r="D165"/>
      <c r="E165"/>
      <c r="F165"/>
    </row>
    <row r="166" spans="4:6">
      <c r="D166"/>
      <c r="E166"/>
      <c r="F166"/>
    </row>
    <row r="167" spans="4:6">
      <c r="D167"/>
      <c r="E167"/>
      <c r="F167"/>
    </row>
    <row r="168" spans="4:6">
      <c r="D168"/>
      <c r="E168"/>
      <c r="F168"/>
    </row>
    <row r="169" spans="4:6">
      <c r="D169"/>
      <c r="E169"/>
      <c r="F169"/>
    </row>
    <row r="170" spans="4:6">
      <c r="D170"/>
      <c r="E170"/>
      <c r="F170"/>
    </row>
    <row r="171" spans="4:6">
      <c r="D171"/>
      <c r="E171"/>
      <c r="F171"/>
    </row>
    <row r="172" spans="4:6">
      <c r="D172"/>
      <c r="E172"/>
      <c r="F172"/>
    </row>
    <row r="173" spans="4:6">
      <c r="D173"/>
      <c r="E173"/>
      <c r="F173"/>
    </row>
    <row r="174" spans="4:6">
      <c r="D174"/>
      <c r="E174"/>
      <c r="F174"/>
    </row>
    <row r="175" spans="4:6">
      <c r="D175"/>
      <c r="E175"/>
      <c r="F175"/>
    </row>
    <row r="176" spans="4:6">
      <c r="D176"/>
      <c r="E176"/>
      <c r="F176"/>
    </row>
    <row r="177" spans="4:6">
      <c r="D177"/>
      <c r="E177"/>
      <c r="F177"/>
    </row>
    <row r="178" spans="4:6">
      <c r="D178"/>
      <c r="E178"/>
      <c r="F178"/>
    </row>
    <row r="179" spans="4:6">
      <c r="D179"/>
      <c r="E179"/>
      <c r="F179"/>
    </row>
    <row r="180" spans="4:6">
      <c r="D180"/>
      <c r="E180"/>
      <c r="F180"/>
    </row>
    <row r="181" spans="4:6">
      <c r="D181"/>
      <c r="E181"/>
      <c r="F181"/>
    </row>
    <row r="182" spans="4:6">
      <c r="D182"/>
      <c r="E182"/>
      <c r="F182"/>
    </row>
    <row r="183" spans="4:6">
      <c r="D183"/>
      <c r="E183"/>
      <c r="F183"/>
    </row>
    <row r="184" spans="4:6">
      <c r="D184"/>
      <c r="E184"/>
      <c r="F184"/>
    </row>
    <row r="185" spans="4:6">
      <c r="D185"/>
      <c r="E185"/>
      <c r="F185"/>
    </row>
    <row r="186" spans="4:6">
      <c r="D186"/>
      <c r="E186"/>
      <c r="F186"/>
    </row>
    <row r="187" spans="4:6">
      <c r="D187"/>
      <c r="E187"/>
      <c r="F187"/>
    </row>
    <row r="188" spans="4:6">
      <c r="D188"/>
      <c r="E188"/>
      <c r="F188"/>
    </row>
    <row r="189" spans="4:6">
      <c r="D189"/>
      <c r="E189"/>
      <c r="F189"/>
    </row>
    <row r="190" spans="4:6">
      <c r="D190"/>
      <c r="E190"/>
      <c r="F190"/>
    </row>
    <row r="191" spans="4:6">
      <c r="D191"/>
      <c r="E191"/>
      <c r="F191"/>
    </row>
    <row r="192" spans="4:6">
      <c r="D192"/>
      <c r="E192"/>
      <c r="F192"/>
    </row>
    <row r="193" spans="4:6">
      <c r="D193"/>
      <c r="E193"/>
      <c r="F193"/>
    </row>
    <row r="194" spans="4:6">
      <c r="D194"/>
      <c r="E194"/>
      <c r="F194"/>
    </row>
    <row r="195" spans="4:6">
      <c r="D195"/>
      <c r="E195"/>
      <c r="F195"/>
    </row>
    <row r="196" spans="4:6">
      <c r="D196"/>
      <c r="E196"/>
      <c r="F196"/>
    </row>
    <row r="197" spans="4:6">
      <c r="D197"/>
      <c r="E197"/>
      <c r="F197"/>
    </row>
    <row r="198" spans="4:6">
      <c r="D198"/>
      <c r="E198"/>
      <c r="F198"/>
    </row>
    <row r="199" spans="4:6">
      <c r="D199"/>
      <c r="E199"/>
      <c r="F199"/>
    </row>
    <row r="200" spans="4:6">
      <c r="D200"/>
      <c r="E200"/>
      <c r="F200"/>
    </row>
    <row r="201" spans="4:6">
      <c r="D201"/>
      <c r="E201"/>
      <c r="F201"/>
    </row>
    <row r="202" spans="4:6">
      <c r="D202"/>
      <c r="E202"/>
      <c r="F202"/>
    </row>
    <row r="203" spans="4:6">
      <c r="D203"/>
      <c r="E203"/>
      <c r="F203"/>
    </row>
    <row r="204" spans="4:6">
      <c r="D204"/>
      <c r="E204"/>
      <c r="F204"/>
    </row>
    <row r="205" spans="4:6">
      <c r="D205"/>
      <c r="E205"/>
      <c r="F205"/>
    </row>
    <row r="206" spans="4:6">
      <c r="D206"/>
      <c r="E206"/>
      <c r="F206"/>
    </row>
    <row r="207" spans="4:6">
      <c r="D207"/>
      <c r="E207"/>
      <c r="F207"/>
    </row>
    <row r="208" spans="4:6">
      <c r="D208"/>
      <c r="E208"/>
      <c r="F208"/>
    </row>
    <row r="209" spans="4:6">
      <c r="D209"/>
      <c r="E209"/>
      <c r="F209"/>
    </row>
    <row r="210" spans="4:6">
      <c r="D210"/>
      <c r="E210"/>
      <c r="F210"/>
    </row>
    <row r="211" spans="4:6">
      <c r="D211"/>
      <c r="E211"/>
      <c r="F211"/>
    </row>
    <row r="212" spans="4:6">
      <c r="D212"/>
      <c r="E212"/>
      <c r="F212"/>
    </row>
    <row r="213" spans="4:6">
      <c r="D213"/>
      <c r="E213"/>
      <c r="F213"/>
    </row>
    <row r="214" spans="4:6">
      <c r="D214"/>
      <c r="E214"/>
      <c r="F214"/>
    </row>
    <row r="215" spans="4:6">
      <c r="D215"/>
      <c r="E215"/>
      <c r="F215"/>
    </row>
    <row r="216" spans="4:6">
      <c r="D216"/>
      <c r="E216"/>
      <c r="F216"/>
    </row>
    <row r="217" spans="4:6">
      <c r="D217"/>
      <c r="E217"/>
      <c r="F217"/>
    </row>
    <row r="218" spans="4:6">
      <c r="D218"/>
      <c r="E218"/>
      <c r="F218"/>
    </row>
    <row r="219" spans="4:6">
      <c r="D219"/>
      <c r="E219"/>
      <c r="F219"/>
    </row>
    <row r="220" spans="4:6">
      <c r="D220"/>
      <c r="E220"/>
      <c r="F220"/>
    </row>
    <row r="221" spans="4:6">
      <c r="D221"/>
      <c r="E221"/>
      <c r="F221"/>
    </row>
    <row r="222" spans="4:6">
      <c r="D222"/>
      <c r="E222"/>
      <c r="F222"/>
    </row>
    <row r="223" spans="4:6">
      <c r="D223"/>
      <c r="E223"/>
      <c r="F223"/>
    </row>
    <row r="224" spans="4:6">
      <c r="D224"/>
      <c r="E224"/>
      <c r="F224"/>
    </row>
    <row r="225" spans="4:6">
      <c r="D225"/>
      <c r="E225"/>
      <c r="F225"/>
    </row>
    <row r="226" spans="4:6">
      <c r="D226"/>
      <c r="E226"/>
      <c r="F226"/>
    </row>
    <row r="227" spans="4:6">
      <c r="D227"/>
      <c r="E227"/>
      <c r="F227"/>
    </row>
    <row r="228" spans="4:6">
      <c r="D228"/>
      <c r="E228"/>
      <c r="F228"/>
    </row>
    <row r="229" spans="4:6">
      <c r="D229"/>
      <c r="E229"/>
      <c r="F229"/>
    </row>
    <row r="230" spans="4:6">
      <c r="D230"/>
      <c r="E230"/>
      <c r="F230"/>
    </row>
    <row r="231" spans="4:6">
      <c r="D231"/>
      <c r="E231"/>
      <c r="F231"/>
    </row>
    <row r="232" spans="4:6">
      <c r="D232"/>
      <c r="E232"/>
      <c r="F232"/>
    </row>
    <row r="233" spans="4:6">
      <c r="D233"/>
      <c r="E233"/>
      <c r="F233"/>
    </row>
    <row r="234" spans="4:6">
      <c r="D234"/>
      <c r="E234"/>
      <c r="F234"/>
    </row>
    <row r="235" spans="4:6">
      <c r="D235"/>
      <c r="E235"/>
      <c r="F235"/>
    </row>
    <row r="236" spans="4:6">
      <c r="D236"/>
      <c r="E236"/>
      <c r="F236"/>
    </row>
    <row r="237" spans="4:6">
      <c r="D237"/>
      <c r="E237"/>
      <c r="F237"/>
    </row>
    <row r="238" spans="4:6">
      <c r="D238"/>
      <c r="E238"/>
      <c r="F238"/>
    </row>
    <row r="239" spans="4:6">
      <c r="D239"/>
      <c r="E239"/>
      <c r="F239"/>
    </row>
    <row r="240" spans="4:6">
      <c r="D240"/>
      <c r="E240"/>
      <c r="F240"/>
    </row>
    <row r="241" spans="4:6">
      <c r="D241"/>
      <c r="E241"/>
      <c r="F241"/>
    </row>
    <row r="242" spans="4:6">
      <c r="D242"/>
      <c r="E242"/>
      <c r="F242"/>
    </row>
    <row r="243" spans="4:6">
      <c r="D243"/>
      <c r="E243"/>
      <c r="F243"/>
    </row>
    <row r="244" spans="4:6">
      <c r="D244"/>
      <c r="E244"/>
      <c r="F244"/>
    </row>
    <row r="245" spans="4:6">
      <c r="D245"/>
      <c r="E245"/>
      <c r="F245"/>
    </row>
    <row r="246" spans="4:6">
      <c r="D246"/>
      <c r="E246"/>
      <c r="F246"/>
    </row>
    <row r="247" spans="4:6">
      <c r="D247"/>
      <c r="E247"/>
      <c r="F247"/>
    </row>
    <row r="248" spans="4:6">
      <c r="D248"/>
      <c r="E248"/>
      <c r="F248"/>
    </row>
    <row r="249" spans="4:6">
      <c r="D249"/>
      <c r="E249"/>
      <c r="F249"/>
    </row>
    <row r="250" spans="4:6">
      <c r="D250"/>
      <c r="E250"/>
      <c r="F250"/>
    </row>
    <row r="251" spans="4:6">
      <c r="D251"/>
      <c r="E251"/>
      <c r="F251"/>
    </row>
    <row r="252" spans="4:6">
      <c r="D252"/>
      <c r="E252"/>
      <c r="F252"/>
    </row>
    <row r="253" spans="4:6">
      <c r="D253"/>
      <c r="E253"/>
      <c r="F253"/>
    </row>
    <row r="254" spans="4:6">
      <c r="D254"/>
      <c r="E254"/>
      <c r="F254"/>
    </row>
    <row r="255" spans="4:6">
      <c r="D255"/>
      <c r="E255"/>
      <c r="F255"/>
    </row>
    <row r="256" spans="4:6">
      <c r="D256"/>
      <c r="E256"/>
      <c r="F256"/>
    </row>
    <row r="257" spans="4:6">
      <c r="D257"/>
      <c r="E257"/>
      <c r="F257"/>
    </row>
    <row r="258" spans="4:6">
      <c r="D258"/>
      <c r="E258"/>
      <c r="F258"/>
    </row>
    <row r="259" spans="4:6">
      <c r="D259"/>
      <c r="E259"/>
      <c r="F259"/>
    </row>
    <row r="260" spans="4:6">
      <c r="D260"/>
      <c r="E260"/>
      <c r="F260"/>
    </row>
    <row r="261" spans="4:6">
      <c r="D261"/>
      <c r="E261"/>
      <c r="F261"/>
    </row>
    <row r="262" spans="4:6">
      <c r="D262"/>
      <c r="E262"/>
      <c r="F262"/>
    </row>
    <row r="263" spans="4:6">
      <c r="D263"/>
      <c r="E263"/>
      <c r="F263"/>
    </row>
    <row r="264" spans="4:6">
      <c r="D264"/>
      <c r="E264"/>
      <c r="F264"/>
    </row>
    <row r="265" spans="4:6">
      <c r="D265"/>
      <c r="E265"/>
      <c r="F265"/>
    </row>
    <row r="266" spans="4:6">
      <c r="D266"/>
      <c r="E266"/>
      <c r="F266"/>
    </row>
    <row r="267" spans="4:6">
      <c r="D267"/>
      <c r="E267"/>
      <c r="F267"/>
    </row>
    <row r="268" spans="4:6">
      <c r="D268"/>
      <c r="E268"/>
      <c r="F268"/>
    </row>
    <row r="269" spans="4:6">
      <c r="D269"/>
      <c r="E269"/>
      <c r="F269"/>
    </row>
    <row r="270" spans="4:6">
      <c r="D270"/>
      <c r="E270"/>
      <c r="F270"/>
    </row>
    <row r="271" spans="4:6">
      <c r="D271"/>
      <c r="E271"/>
      <c r="F271"/>
    </row>
    <row r="272" spans="4:6">
      <c r="D272"/>
      <c r="E272"/>
      <c r="F272"/>
    </row>
    <row r="273" spans="4:6">
      <c r="D273"/>
      <c r="E273"/>
      <c r="F273"/>
    </row>
    <row r="274" spans="4:6">
      <c r="D274"/>
      <c r="E274"/>
      <c r="F274"/>
    </row>
    <row r="275" spans="4:6">
      <c r="D275"/>
      <c r="E275"/>
      <c r="F275"/>
    </row>
    <row r="276" spans="4:6">
      <c r="D276"/>
      <c r="E276"/>
      <c r="F276"/>
    </row>
    <row r="277" spans="4:6">
      <c r="D277"/>
      <c r="E277"/>
      <c r="F277"/>
    </row>
    <row r="278" spans="4:6">
      <c r="D278"/>
      <c r="E278"/>
      <c r="F278"/>
    </row>
    <row r="279" spans="4:6">
      <c r="D279"/>
      <c r="E279"/>
      <c r="F279"/>
    </row>
    <row r="280" spans="4:6">
      <c r="D280"/>
      <c r="E280"/>
      <c r="F280"/>
    </row>
    <row r="281" spans="4:6">
      <c r="D281"/>
      <c r="E281"/>
      <c r="F281"/>
    </row>
    <row r="282" spans="4:6">
      <c r="D282"/>
      <c r="E282"/>
      <c r="F282"/>
    </row>
    <row r="283" spans="4:6">
      <c r="D283"/>
      <c r="E283"/>
      <c r="F283"/>
    </row>
    <row r="284" spans="4:6">
      <c r="D284"/>
      <c r="E284"/>
      <c r="F284"/>
    </row>
    <row r="285" spans="4:6">
      <c r="D285"/>
      <c r="E285"/>
      <c r="F285"/>
    </row>
    <row r="286" spans="4:6">
      <c r="D286"/>
      <c r="E286"/>
      <c r="F286"/>
    </row>
    <row r="287" spans="4:6">
      <c r="D287"/>
      <c r="E287"/>
      <c r="F287"/>
    </row>
    <row r="288" spans="4:6">
      <c r="D288"/>
      <c r="E288"/>
      <c r="F288"/>
    </row>
    <row r="289" spans="4:6">
      <c r="D289"/>
      <c r="E289"/>
      <c r="F289"/>
    </row>
    <row r="290" spans="4:6">
      <c r="D290"/>
      <c r="E290"/>
      <c r="F290"/>
    </row>
    <row r="291" spans="4:6">
      <c r="D291"/>
      <c r="E291"/>
      <c r="F291"/>
    </row>
    <row r="292" spans="4:6">
      <c r="D292"/>
      <c r="E292"/>
      <c r="F292"/>
    </row>
    <row r="293" spans="4:6">
      <c r="D293"/>
      <c r="E293"/>
      <c r="F293"/>
    </row>
    <row r="294" spans="4:6">
      <c r="D294"/>
      <c r="E294"/>
      <c r="F294"/>
    </row>
    <row r="295" spans="4:6">
      <c r="D295"/>
      <c r="E295"/>
      <c r="F295"/>
    </row>
    <row r="296" spans="4:6">
      <c r="D296"/>
      <c r="E296"/>
      <c r="F296"/>
    </row>
    <row r="297" spans="4:6">
      <c r="D297"/>
      <c r="E297"/>
      <c r="F297"/>
    </row>
    <row r="298" spans="4:6">
      <c r="D298"/>
      <c r="E298"/>
      <c r="F298"/>
    </row>
    <row r="299" spans="4:6">
      <c r="D299"/>
      <c r="E299"/>
      <c r="F299"/>
    </row>
    <row r="300" spans="4:6">
      <c r="D300"/>
      <c r="E300"/>
      <c r="F300"/>
    </row>
    <row r="301" spans="4:6">
      <c r="D301"/>
      <c r="E301"/>
      <c r="F301"/>
    </row>
    <row r="302" spans="4:6">
      <c r="D302"/>
      <c r="E302"/>
      <c r="F302"/>
    </row>
    <row r="303" spans="4:6">
      <c r="D303"/>
      <c r="E303"/>
      <c r="F303"/>
    </row>
    <row r="304" spans="4:6">
      <c r="D304"/>
      <c r="E304"/>
      <c r="F304"/>
    </row>
    <row r="305" spans="4:6">
      <c r="D305"/>
      <c r="E305"/>
      <c r="F305"/>
    </row>
    <row r="306" spans="4:6">
      <c r="D306"/>
      <c r="E306"/>
      <c r="F306"/>
    </row>
    <row r="307" spans="4:6">
      <c r="D307"/>
      <c r="E307"/>
      <c r="F307"/>
    </row>
    <row r="308" spans="4:6">
      <c r="D308"/>
      <c r="E308"/>
      <c r="F308"/>
    </row>
    <row r="309" spans="4:6">
      <c r="D309"/>
      <c r="E309"/>
      <c r="F309"/>
    </row>
    <row r="310" spans="4:6">
      <c r="D310"/>
      <c r="E310"/>
      <c r="F310"/>
    </row>
    <row r="311" spans="4:6">
      <c r="D311"/>
      <c r="E311"/>
      <c r="F311"/>
    </row>
    <row r="312" spans="4:6">
      <c r="D312"/>
      <c r="E312"/>
      <c r="F312"/>
    </row>
    <row r="313" spans="4:6">
      <c r="D313"/>
      <c r="E313"/>
      <c r="F313"/>
    </row>
    <row r="314" spans="4:6">
      <c r="D314"/>
      <c r="E314"/>
      <c r="F314"/>
    </row>
    <row r="315" spans="4:6">
      <c r="D315"/>
      <c r="E315"/>
      <c r="F315"/>
    </row>
    <row r="316" spans="4:6">
      <c r="D316"/>
      <c r="E316"/>
      <c r="F316"/>
    </row>
    <row r="317" spans="4:6">
      <c r="D317"/>
      <c r="E317"/>
      <c r="F317"/>
    </row>
    <row r="318" spans="4:6">
      <c r="D318"/>
      <c r="E318"/>
      <c r="F318"/>
    </row>
    <row r="319" spans="4:6">
      <c r="D319"/>
      <c r="E319"/>
      <c r="F319"/>
    </row>
    <row r="320" spans="4:6">
      <c r="D320"/>
      <c r="E320"/>
      <c r="F320"/>
    </row>
    <row r="321" spans="4:6">
      <c r="D321"/>
      <c r="E321"/>
      <c r="F321"/>
    </row>
    <row r="322" spans="4:6">
      <c r="D322"/>
      <c r="E322"/>
      <c r="F322"/>
    </row>
    <row r="323" spans="4:6">
      <c r="D323"/>
      <c r="E323"/>
      <c r="F323"/>
    </row>
    <row r="324" spans="4:6">
      <c r="D324"/>
      <c r="E324"/>
      <c r="F324"/>
    </row>
    <row r="325" spans="4:6">
      <c r="D325"/>
      <c r="E325"/>
      <c r="F325"/>
    </row>
    <row r="326" spans="4:6">
      <c r="D326"/>
      <c r="E326"/>
      <c r="F326"/>
    </row>
    <row r="327" spans="4:6">
      <c r="D327"/>
      <c r="E327"/>
      <c r="F327"/>
    </row>
    <row r="328" spans="4:6">
      <c r="D328"/>
      <c r="E328"/>
      <c r="F328"/>
    </row>
    <row r="329" spans="4:6">
      <c r="D329"/>
      <c r="E329"/>
      <c r="F329"/>
    </row>
    <row r="330" spans="4:6">
      <c r="D330"/>
      <c r="E330"/>
      <c r="F330"/>
    </row>
    <row r="331" spans="4:6">
      <c r="D331"/>
      <c r="E331"/>
      <c r="F331"/>
    </row>
    <row r="332" spans="4:6">
      <c r="D332"/>
      <c r="E332"/>
      <c r="F332"/>
    </row>
    <row r="333" spans="4:6">
      <c r="D333"/>
      <c r="E333"/>
      <c r="F333"/>
    </row>
    <row r="334" spans="4:6">
      <c r="D334"/>
      <c r="E334"/>
      <c r="F334"/>
    </row>
    <row r="335" spans="4:6">
      <c r="D335"/>
      <c r="E335"/>
      <c r="F335"/>
    </row>
    <row r="336" spans="4:6">
      <c r="D336"/>
      <c r="E336"/>
      <c r="F336"/>
    </row>
    <row r="337" spans="4:6">
      <c r="D337"/>
      <c r="E337"/>
      <c r="F337"/>
    </row>
    <row r="338" spans="4:6">
      <c r="D338"/>
      <c r="E338"/>
      <c r="F338"/>
    </row>
    <row r="339" spans="4:6">
      <c r="D339"/>
      <c r="E339"/>
      <c r="F339"/>
    </row>
    <row r="340" spans="4:6">
      <c r="D340"/>
      <c r="E340"/>
      <c r="F340"/>
    </row>
    <row r="341" spans="4:6">
      <c r="D341"/>
      <c r="E341"/>
      <c r="F341"/>
    </row>
    <row r="342" spans="4:6">
      <c r="D342"/>
      <c r="E342"/>
      <c r="F342"/>
    </row>
    <row r="343" spans="4:6">
      <c r="D343"/>
      <c r="E343"/>
      <c r="F343"/>
    </row>
    <row r="344" spans="4:6">
      <c r="D344"/>
      <c r="E344"/>
      <c r="F344"/>
    </row>
    <row r="345" spans="4:6">
      <c r="D345"/>
      <c r="E345"/>
      <c r="F345"/>
    </row>
    <row r="346" spans="4:6">
      <c r="D346"/>
      <c r="E346"/>
      <c r="F346"/>
    </row>
    <row r="347" spans="4:6">
      <c r="D347"/>
      <c r="E347"/>
      <c r="F347"/>
    </row>
    <row r="348" spans="4:6">
      <c r="D348"/>
      <c r="E348"/>
      <c r="F348"/>
    </row>
    <row r="349" spans="4:6">
      <c r="D349"/>
      <c r="E349"/>
      <c r="F349"/>
    </row>
    <row r="350" spans="4:6">
      <c r="D350"/>
      <c r="E350"/>
      <c r="F350"/>
    </row>
    <row r="351" spans="4:6">
      <c r="D351"/>
      <c r="E351"/>
      <c r="F351"/>
    </row>
    <row r="352" spans="4:6">
      <c r="D352"/>
      <c r="E352"/>
      <c r="F352"/>
    </row>
    <row r="353" spans="4:6">
      <c r="D353"/>
      <c r="E353"/>
      <c r="F353"/>
    </row>
    <row r="354" spans="4:6">
      <c r="D354"/>
      <c r="E354"/>
      <c r="F354"/>
    </row>
    <row r="355" spans="4:6">
      <c r="D355"/>
      <c r="E355"/>
      <c r="F355"/>
    </row>
    <row r="356" spans="4:6">
      <c r="D356"/>
      <c r="E356"/>
      <c r="F356"/>
    </row>
    <row r="357" spans="4:6">
      <c r="D357"/>
      <c r="E357"/>
      <c r="F357"/>
    </row>
    <row r="358" spans="4:6">
      <c r="D358"/>
      <c r="E358"/>
      <c r="F358"/>
    </row>
    <row r="359" spans="4:6">
      <c r="D359"/>
      <c r="E359"/>
      <c r="F359"/>
    </row>
    <row r="360" spans="4:6">
      <c r="D360"/>
      <c r="E360"/>
      <c r="F360"/>
    </row>
    <row r="361" spans="4:6">
      <c r="D361"/>
      <c r="E361"/>
      <c r="F361"/>
    </row>
    <row r="362" spans="4:6">
      <c r="D362"/>
      <c r="E362"/>
      <c r="F362"/>
    </row>
    <row r="363" spans="4:6">
      <c r="D363"/>
      <c r="E363"/>
      <c r="F363"/>
    </row>
    <row r="364" spans="4:6">
      <c r="D364"/>
      <c r="E364"/>
      <c r="F364"/>
    </row>
    <row r="365" spans="4:6">
      <c r="D365"/>
      <c r="E365"/>
      <c r="F365"/>
    </row>
    <row r="366" spans="4:6">
      <c r="D366"/>
      <c r="E366"/>
      <c r="F366"/>
    </row>
    <row r="367" spans="4:6">
      <c r="D367"/>
      <c r="E367"/>
      <c r="F367"/>
    </row>
    <row r="368" spans="4:6">
      <c r="D368"/>
      <c r="E368"/>
      <c r="F368"/>
    </row>
    <row r="369" spans="4:6">
      <c r="D369"/>
      <c r="E369"/>
      <c r="F369"/>
    </row>
    <row r="370" spans="4:6">
      <c r="D370"/>
      <c r="E370"/>
      <c r="F370"/>
    </row>
    <row r="371" spans="4:6">
      <c r="D371"/>
      <c r="E371"/>
      <c r="F371"/>
    </row>
    <row r="372" spans="4:6">
      <c r="D372"/>
      <c r="E372"/>
      <c r="F372"/>
    </row>
    <row r="373" spans="4:6">
      <c r="D373"/>
      <c r="E373"/>
      <c r="F373"/>
    </row>
    <row r="374" spans="4:6">
      <c r="D374"/>
      <c r="E374"/>
      <c r="F374"/>
    </row>
    <row r="375" spans="4:6">
      <c r="D375"/>
      <c r="E375"/>
      <c r="F375"/>
    </row>
    <row r="376" spans="4:6">
      <c r="D376"/>
      <c r="E376"/>
      <c r="F376"/>
    </row>
    <row r="377" spans="4:6">
      <c r="D377"/>
      <c r="E377"/>
      <c r="F377"/>
    </row>
    <row r="378" spans="4:6">
      <c r="D378"/>
      <c r="E378"/>
      <c r="F378"/>
    </row>
    <row r="379" spans="4:6">
      <c r="D379"/>
      <c r="E379"/>
      <c r="F379"/>
    </row>
    <row r="380" spans="4:6">
      <c r="D380"/>
      <c r="E380"/>
      <c r="F380"/>
    </row>
    <row r="381" spans="4:6">
      <c r="D381"/>
      <c r="E381"/>
      <c r="F381"/>
    </row>
    <row r="382" spans="4:6">
      <c r="D382"/>
      <c r="E382"/>
      <c r="F382"/>
    </row>
    <row r="383" spans="4:6">
      <c r="D383"/>
      <c r="E383"/>
      <c r="F383"/>
    </row>
    <row r="384" spans="4:6">
      <c r="D384"/>
      <c r="E384"/>
      <c r="F384"/>
    </row>
    <row r="385" spans="4:6">
      <c r="D385"/>
      <c r="E385"/>
      <c r="F385"/>
    </row>
    <row r="386" spans="4:6">
      <c r="D386"/>
      <c r="E386"/>
      <c r="F386"/>
    </row>
    <row r="387" spans="4:6">
      <c r="D387"/>
      <c r="E387"/>
      <c r="F387"/>
    </row>
    <row r="388" spans="4:6">
      <c r="D388"/>
      <c r="E388"/>
      <c r="F388"/>
    </row>
    <row r="389" spans="4:6">
      <c r="D389"/>
      <c r="E389"/>
      <c r="F389"/>
    </row>
    <row r="390" spans="4:6">
      <c r="D390"/>
      <c r="E390"/>
      <c r="F390"/>
    </row>
    <row r="391" spans="4:6">
      <c r="D391"/>
      <c r="E391"/>
      <c r="F391"/>
    </row>
    <row r="392" spans="4:6">
      <c r="D392"/>
      <c r="E392"/>
      <c r="F392"/>
    </row>
    <row r="393" spans="4:6">
      <c r="D393"/>
      <c r="E393"/>
      <c r="F393"/>
    </row>
    <row r="394" spans="4:6">
      <c r="D394"/>
      <c r="E394"/>
      <c r="F394"/>
    </row>
    <row r="395" spans="4:6">
      <c r="D395"/>
      <c r="E395"/>
      <c r="F395"/>
    </row>
    <row r="396" spans="4:6">
      <c r="D396"/>
      <c r="E396"/>
      <c r="F396"/>
    </row>
    <row r="397" spans="4:6">
      <c r="D397"/>
      <c r="E397"/>
      <c r="F397"/>
    </row>
    <row r="398" spans="4:6">
      <c r="D398"/>
      <c r="E398"/>
      <c r="F398"/>
    </row>
    <row r="399" spans="4:6">
      <c r="D399"/>
      <c r="E399"/>
      <c r="F399"/>
    </row>
    <row r="400" spans="4:6">
      <c r="D400"/>
      <c r="E400"/>
      <c r="F400"/>
    </row>
    <row r="401" spans="4:6">
      <c r="D401"/>
      <c r="E401"/>
      <c r="F401"/>
    </row>
    <row r="402" spans="4:6">
      <c r="D402"/>
      <c r="E402"/>
      <c r="F402"/>
    </row>
    <row r="403" spans="4:6">
      <c r="D403"/>
      <c r="E403"/>
      <c r="F403"/>
    </row>
    <row r="404" spans="4:6">
      <c r="D404"/>
      <c r="E404"/>
      <c r="F404"/>
    </row>
    <row r="405" spans="4:6">
      <c r="D405"/>
      <c r="E405"/>
      <c r="F405"/>
    </row>
    <row r="406" spans="4:6">
      <c r="D406"/>
      <c r="E406"/>
      <c r="F406"/>
    </row>
    <row r="407" spans="4:6">
      <c r="D407"/>
      <c r="E407"/>
      <c r="F407"/>
    </row>
    <row r="408" spans="4:6">
      <c r="D408"/>
      <c r="E408"/>
      <c r="F408"/>
    </row>
    <row r="409" spans="4:6">
      <c r="D409"/>
      <c r="E409"/>
      <c r="F409"/>
    </row>
    <row r="410" spans="4:6">
      <c r="D410"/>
      <c r="E410"/>
      <c r="F410"/>
    </row>
    <row r="411" spans="4:6">
      <c r="D411"/>
      <c r="E411"/>
      <c r="F411"/>
    </row>
    <row r="412" spans="4:6">
      <c r="D412"/>
      <c r="E412"/>
      <c r="F412"/>
    </row>
    <row r="413" spans="4:6">
      <c r="D413"/>
      <c r="E413"/>
      <c r="F413"/>
    </row>
    <row r="414" spans="4:6">
      <c r="D414"/>
      <c r="E414"/>
      <c r="F414"/>
    </row>
    <row r="415" spans="4:6">
      <c r="D415"/>
      <c r="E415"/>
      <c r="F415"/>
    </row>
    <row r="416" spans="4:6">
      <c r="D416"/>
      <c r="E416"/>
      <c r="F416"/>
    </row>
    <row r="417" spans="4:6">
      <c r="D417"/>
      <c r="E417"/>
      <c r="F417"/>
    </row>
    <row r="418" spans="4:6">
      <c r="D418"/>
      <c r="E418"/>
      <c r="F418"/>
    </row>
    <row r="419" spans="4:6">
      <c r="D419"/>
      <c r="E419"/>
      <c r="F419"/>
    </row>
    <row r="420" spans="4:6">
      <c r="D420"/>
      <c r="E420"/>
      <c r="F420"/>
    </row>
    <row r="421" spans="4:6">
      <c r="D421"/>
      <c r="E421"/>
      <c r="F421"/>
    </row>
    <row r="422" spans="4:6">
      <c r="D422"/>
      <c r="E422"/>
      <c r="F422"/>
    </row>
    <row r="423" spans="4:6">
      <c r="D423"/>
      <c r="E423"/>
      <c r="F423"/>
    </row>
    <row r="424" spans="4:6">
      <c r="D424"/>
      <c r="E424"/>
      <c r="F424"/>
    </row>
    <row r="425" spans="4:6">
      <c r="D425"/>
      <c r="E425"/>
      <c r="F425"/>
    </row>
    <row r="426" spans="4:6">
      <c r="D426"/>
      <c r="E426"/>
      <c r="F426"/>
    </row>
    <row r="427" spans="4:6">
      <c r="D427"/>
      <c r="E427"/>
      <c r="F427"/>
    </row>
    <row r="428" spans="4:6">
      <c r="D428"/>
      <c r="E428"/>
      <c r="F428"/>
    </row>
    <row r="429" spans="4:6">
      <c r="D429"/>
      <c r="E429"/>
      <c r="F429"/>
    </row>
    <row r="430" spans="4:6">
      <c r="D430"/>
      <c r="E430"/>
      <c r="F430"/>
    </row>
    <row r="431" spans="4:6">
      <c r="D431"/>
      <c r="E431"/>
      <c r="F431"/>
    </row>
    <row r="432" spans="4:6">
      <c r="D432"/>
      <c r="E432"/>
      <c r="F432"/>
    </row>
    <row r="433" spans="4:6">
      <c r="D433"/>
      <c r="E433"/>
      <c r="F433"/>
    </row>
    <row r="434" spans="4:6">
      <c r="D434"/>
      <c r="E434"/>
      <c r="F434"/>
    </row>
    <row r="435" spans="4:6">
      <c r="D435"/>
      <c r="E435"/>
      <c r="F435"/>
    </row>
    <row r="436" spans="4:6">
      <c r="D436"/>
      <c r="E436"/>
      <c r="F436"/>
    </row>
    <row r="437" spans="4:6">
      <c r="D437"/>
      <c r="E437"/>
      <c r="F437"/>
    </row>
    <row r="438" spans="4:6">
      <c r="D438"/>
      <c r="E438"/>
      <c r="F438"/>
    </row>
    <row r="439" spans="4:6">
      <c r="D439"/>
      <c r="E439"/>
      <c r="F439"/>
    </row>
    <row r="440" spans="4:6">
      <c r="D440"/>
      <c r="E440"/>
      <c r="F440"/>
    </row>
    <row r="441" spans="4:6">
      <c r="D441"/>
      <c r="E441"/>
      <c r="F441"/>
    </row>
    <row r="442" spans="4:6">
      <c r="D442"/>
      <c r="E442"/>
      <c r="F442"/>
    </row>
    <row r="443" spans="4:6">
      <c r="D443"/>
      <c r="E443"/>
      <c r="F443"/>
    </row>
    <row r="444" spans="4:6">
      <c r="D444"/>
      <c r="E444"/>
      <c r="F444"/>
    </row>
    <row r="445" spans="4:6">
      <c r="D445"/>
      <c r="E445"/>
      <c r="F445"/>
    </row>
    <row r="446" spans="4:6">
      <c r="D446"/>
      <c r="E446"/>
      <c r="F446"/>
    </row>
    <row r="447" spans="4:6">
      <c r="D447"/>
      <c r="E447"/>
      <c r="F447"/>
    </row>
    <row r="448" spans="4:6">
      <c r="D448"/>
      <c r="E448"/>
      <c r="F448"/>
    </row>
    <row r="449" spans="4:6">
      <c r="D449"/>
      <c r="E449"/>
      <c r="F449"/>
    </row>
    <row r="450" spans="4:6">
      <c r="D450"/>
      <c r="E450"/>
      <c r="F450"/>
    </row>
    <row r="451" spans="4:6">
      <c r="D451"/>
      <c r="E451"/>
      <c r="F451"/>
    </row>
    <row r="452" spans="4:6">
      <c r="D452"/>
      <c r="E452"/>
      <c r="F452"/>
    </row>
    <row r="453" spans="4:6">
      <c r="D453"/>
      <c r="E453"/>
      <c r="F453"/>
    </row>
    <row r="454" spans="4:6">
      <c r="D454"/>
      <c r="E454"/>
      <c r="F454"/>
    </row>
    <row r="455" spans="4:6">
      <c r="D455"/>
      <c r="E455"/>
      <c r="F455"/>
    </row>
    <row r="456" spans="4:6">
      <c r="D456"/>
      <c r="E456"/>
      <c r="F456"/>
    </row>
    <row r="457" spans="4:6">
      <c r="D457"/>
      <c r="E457"/>
      <c r="F457"/>
    </row>
    <row r="458" spans="4:6">
      <c r="D458"/>
      <c r="E458"/>
      <c r="F458"/>
    </row>
    <row r="459" spans="4:6">
      <c r="D459"/>
      <c r="E459"/>
      <c r="F459"/>
    </row>
    <row r="460" spans="4:6">
      <c r="D460"/>
      <c r="E460"/>
      <c r="F460"/>
    </row>
    <row r="461" spans="4:6">
      <c r="D461"/>
      <c r="E461"/>
      <c r="F461"/>
    </row>
    <row r="462" spans="4:6">
      <c r="D462"/>
      <c r="E462"/>
      <c r="F462"/>
    </row>
    <row r="463" spans="4:6">
      <c r="D463"/>
      <c r="E463"/>
      <c r="F463"/>
    </row>
    <row r="464" spans="4:6">
      <c r="D464"/>
      <c r="E464"/>
      <c r="F464"/>
    </row>
    <row r="465" spans="4:6">
      <c r="D465"/>
      <c r="E465"/>
      <c r="F465"/>
    </row>
    <row r="466" spans="4:6">
      <c r="D466"/>
      <c r="E466"/>
      <c r="F466"/>
    </row>
    <row r="467" spans="4:6">
      <c r="D467"/>
      <c r="E467"/>
      <c r="F467"/>
    </row>
    <row r="468" spans="4:6">
      <c r="D468"/>
      <c r="E468"/>
      <c r="F468"/>
    </row>
    <row r="469" spans="4:6">
      <c r="D469"/>
      <c r="E469"/>
      <c r="F469"/>
    </row>
    <row r="470" spans="4:6">
      <c r="D470"/>
      <c r="E470"/>
      <c r="F470"/>
    </row>
    <row r="471" spans="4:6">
      <c r="D471"/>
      <c r="E471"/>
      <c r="F471"/>
    </row>
    <row r="472" spans="4:6">
      <c r="D472"/>
      <c r="E472"/>
      <c r="F472"/>
    </row>
    <row r="473" spans="4:6">
      <c r="D473"/>
      <c r="E473"/>
      <c r="F473"/>
    </row>
    <row r="474" spans="4:6">
      <c r="D474"/>
      <c r="E474"/>
      <c r="F474"/>
    </row>
    <row r="475" spans="4:6">
      <c r="D475"/>
      <c r="E475"/>
      <c r="F475"/>
    </row>
    <row r="476" spans="4:6">
      <c r="D476"/>
      <c r="E476"/>
      <c r="F476"/>
    </row>
    <row r="477" spans="4:6">
      <c r="D477"/>
      <c r="E477"/>
      <c r="F477"/>
    </row>
    <row r="478" spans="4:6">
      <c r="D478"/>
      <c r="E478"/>
      <c r="F478"/>
    </row>
    <row r="479" spans="4:6">
      <c r="D479"/>
      <c r="E479"/>
      <c r="F479"/>
    </row>
    <row r="480" spans="4:6">
      <c r="D480"/>
      <c r="E480"/>
      <c r="F480"/>
    </row>
    <row r="481" spans="4:6">
      <c r="D481"/>
      <c r="E481"/>
      <c r="F481"/>
    </row>
    <row r="482" spans="4:6">
      <c r="D482"/>
      <c r="E482"/>
      <c r="F482"/>
    </row>
    <row r="483" spans="4:6">
      <c r="D483"/>
      <c r="E483"/>
      <c r="F483"/>
    </row>
    <row r="484" spans="4:6">
      <c r="D484"/>
      <c r="E484"/>
      <c r="F484"/>
    </row>
    <row r="485" spans="4:6">
      <c r="D485"/>
      <c r="E485"/>
      <c r="F485"/>
    </row>
    <row r="486" spans="4:6">
      <c r="D486"/>
      <c r="E486"/>
      <c r="F486"/>
    </row>
    <row r="487" spans="4:6">
      <c r="D487"/>
      <c r="E487"/>
      <c r="F487"/>
    </row>
    <row r="488" spans="4:6">
      <c r="D488"/>
      <c r="E488"/>
      <c r="F488"/>
    </row>
    <row r="489" spans="4:6">
      <c r="D489"/>
      <c r="E489"/>
      <c r="F489"/>
    </row>
    <row r="490" spans="4:6">
      <c r="D490"/>
      <c r="E490"/>
      <c r="F490"/>
    </row>
    <row r="491" spans="4:6">
      <c r="D491"/>
      <c r="E491"/>
      <c r="F491"/>
    </row>
    <row r="492" spans="4:6">
      <c r="D492"/>
      <c r="E492"/>
      <c r="F492"/>
    </row>
    <row r="493" spans="4:6">
      <c r="D493"/>
      <c r="E493"/>
      <c r="F493"/>
    </row>
    <row r="494" spans="4:6">
      <c r="D494"/>
      <c r="E494"/>
      <c r="F494"/>
    </row>
    <row r="495" spans="4:6">
      <c r="D495"/>
      <c r="E495"/>
      <c r="F495"/>
    </row>
    <row r="496" spans="4:6">
      <c r="D496"/>
      <c r="E496"/>
      <c r="F496"/>
    </row>
    <row r="497" spans="4:6">
      <c r="D497"/>
      <c r="E497"/>
      <c r="F497"/>
    </row>
    <row r="498" spans="4:6">
      <c r="D498"/>
      <c r="E498"/>
      <c r="F498"/>
    </row>
    <row r="499" spans="4:6">
      <c r="D499"/>
      <c r="E499"/>
      <c r="F499"/>
    </row>
    <row r="500" spans="4:6">
      <c r="D500"/>
      <c r="E500"/>
      <c r="F500"/>
    </row>
    <row r="501" spans="4:6">
      <c r="D501"/>
      <c r="E501"/>
      <c r="F501"/>
    </row>
    <row r="502" spans="4:6">
      <c r="D502"/>
      <c r="E502"/>
      <c r="F502"/>
    </row>
    <row r="503" spans="4:6">
      <c r="D503"/>
      <c r="E503"/>
      <c r="F503"/>
    </row>
    <row r="504" spans="4:6">
      <c r="D504"/>
      <c r="E504"/>
      <c r="F504"/>
    </row>
    <row r="505" spans="4:6">
      <c r="D505"/>
      <c r="E505"/>
      <c r="F505"/>
    </row>
    <row r="506" spans="4:6">
      <c r="D506"/>
      <c r="E506"/>
      <c r="F506"/>
    </row>
    <row r="507" spans="4:6">
      <c r="D507"/>
      <c r="E507"/>
      <c r="F507"/>
    </row>
    <row r="508" spans="4:6">
      <c r="D508"/>
      <c r="E508"/>
      <c r="F508"/>
    </row>
    <row r="509" spans="4:6">
      <c r="D509"/>
      <c r="E509"/>
      <c r="F509"/>
    </row>
    <row r="510" spans="4:6">
      <c r="D510"/>
      <c r="E510"/>
      <c r="F510"/>
    </row>
    <row r="511" spans="4:6">
      <c r="D511"/>
      <c r="E511"/>
      <c r="F511"/>
    </row>
    <row r="512" spans="4:6">
      <c r="D512"/>
      <c r="E512"/>
      <c r="F512"/>
    </row>
    <row r="513" spans="4:6">
      <c r="D513"/>
      <c r="E513"/>
      <c r="F513"/>
    </row>
    <row r="514" spans="4:6">
      <c r="D514"/>
      <c r="E514"/>
      <c r="F514"/>
    </row>
    <row r="515" spans="4:6">
      <c r="D515"/>
      <c r="E515"/>
      <c r="F515"/>
    </row>
    <row r="516" spans="4:6">
      <c r="D516"/>
      <c r="E516"/>
      <c r="F516"/>
    </row>
    <row r="517" spans="4:6">
      <c r="D517"/>
      <c r="E517"/>
      <c r="F517"/>
    </row>
    <row r="518" spans="4:6">
      <c r="D518"/>
      <c r="E518"/>
      <c r="F518"/>
    </row>
    <row r="519" spans="4:6">
      <c r="D519"/>
      <c r="E519"/>
      <c r="F519"/>
    </row>
    <row r="520" spans="4:6">
      <c r="D520"/>
      <c r="E520"/>
      <c r="F520"/>
    </row>
    <row r="521" spans="4:6">
      <c r="D521"/>
      <c r="E521"/>
      <c r="F521"/>
    </row>
    <row r="522" spans="4:6">
      <c r="D522"/>
      <c r="E522"/>
      <c r="F522"/>
    </row>
    <row r="523" spans="4:6">
      <c r="D523"/>
      <c r="E523"/>
      <c r="F523"/>
    </row>
    <row r="524" spans="4:6">
      <c r="D524"/>
      <c r="E524"/>
      <c r="F524"/>
    </row>
    <row r="525" spans="4:6">
      <c r="D525"/>
      <c r="E525"/>
      <c r="F525"/>
    </row>
    <row r="526" spans="4:6">
      <c r="D526"/>
      <c r="E526"/>
      <c r="F526"/>
    </row>
    <row r="527" spans="4:6">
      <c r="D527"/>
      <c r="E527"/>
      <c r="F527"/>
    </row>
    <row r="528" spans="4:6">
      <c r="D528"/>
      <c r="E528"/>
      <c r="F528"/>
    </row>
    <row r="529" spans="4:6">
      <c r="D529"/>
      <c r="E529"/>
      <c r="F529"/>
    </row>
    <row r="530" spans="4:6">
      <c r="D530"/>
      <c r="E530"/>
      <c r="F530"/>
    </row>
    <row r="531" spans="4:6">
      <c r="D531"/>
      <c r="E531"/>
      <c r="F531"/>
    </row>
    <row r="532" spans="4:6">
      <c r="D532"/>
      <c r="E532"/>
      <c r="F532"/>
    </row>
    <row r="533" spans="4:6">
      <c r="D533"/>
      <c r="E533"/>
      <c r="F533"/>
    </row>
    <row r="534" spans="4:6">
      <c r="D534"/>
      <c r="E534"/>
      <c r="F534"/>
    </row>
    <row r="535" spans="4:6">
      <c r="D535"/>
      <c r="E535"/>
      <c r="F535"/>
    </row>
    <row r="536" spans="4:6">
      <c r="D536"/>
      <c r="E536"/>
      <c r="F536"/>
    </row>
    <row r="537" spans="4:6">
      <c r="D537"/>
      <c r="E537"/>
      <c r="F537"/>
    </row>
    <row r="538" spans="4:6">
      <c r="D538"/>
      <c r="E538"/>
      <c r="F538"/>
    </row>
    <row r="539" spans="4:6">
      <c r="D539"/>
      <c r="E539"/>
      <c r="F539"/>
    </row>
    <row r="540" spans="4:6">
      <c r="D540"/>
      <c r="E540"/>
      <c r="F540"/>
    </row>
    <row r="541" spans="4:6">
      <c r="D541"/>
      <c r="E541"/>
      <c r="F541"/>
    </row>
    <row r="542" spans="4:6">
      <c r="D542"/>
      <c r="E542"/>
      <c r="F542"/>
    </row>
    <row r="543" spans="4:6">
      <c r="D543"/>
      <c r="E543"/>
      <c r="F543"/>
    </row>
    <row r="544" spans="4:6">
      <c r="D544"/>
      <c r="E544"/>
      <c r="F544"/>
    </row>
    <row r="545" spans="4:6">
      <c r="D545"/>
      <c r="E545"/>
      <c r="F545"/>
    </row>
    <row r="546" spans="4:6">
      <c r="D546"/>
      <c r="E546"/>
      <c r="F546"/>
    </row>
    <row r="547" spans="4:6">
      <c r="D547"/>
      <c r="E547"/>
      <c r="F547"/>
    </row>
    <row r="548" spans="4:6">
      <c r="D548"/>
      <c r="E548"/>
      <c r="F548"/>
    </row>
    <row r="549" spans="4:6">
      <c r="D549"/>
      <c r="E549"/>
      <c r="F549"/>
    </row>
    <row r="550" spans="4:6">
      <c r="D550"/>
      <c r="E550"/>
      <c r="F550"/>
    </row>
    <row r="551" spans="4:6">
      <c r="D551"/>
      <c r="E551"/>
      <c r="F551"/>
    </row>
    <row r="552" spans="4:6">
      <c r="D552"/>
      <c r="E552"/>
      <c r="F552"/>
    </row>
    <row r="553" spans="4:6">
      <c r="D553"/>
      <c r="E553"/>
      <c r="F553"/>
    </row>
    <row r="554" spans="4:6">
      <c r="D554"/>
      <c r="E554"/>
      <c r="F554"/>
    </row>
    <row r="555" spans="4:6">
      <c r="D555"/>
      <c r="E555"/>
      <c r="F555"/>
    </row>
    <row r="556" spans="4:6">
      <c r="D556"/>
      <c r="E556"/>
      <c r="F556"/>
    </row>
    <row r="557" spans="4:6">
      <c r="D557"/>
      <c r="E557"/>
      <c r="F557"/>
    </row>
    <row r="558" spans="4:6">
      <c r="D558"/>
      <c r="E558"/>
      <c r="F558"/>
    </row>
    <row r="559" spans="4:6">
      <c r="D559"/>
      <c r="E559"/>
      <c r="F559"/>
    </row>
    <row r="560" spans="4:6">
      <c r="D560"/>
      <c r="E560"/>
      <c r="F560"/>
    </row>
    <row r="561" spans="4:6">
      <c r="D561"/>
      <c r="E561"/>
      <c r="F561"/>
    </row>
    <row r="562" spans="4:6">
      <c r="D562"/>
      <c r="E562"/>
      <c r="F562"/>
    </row>
    <row r="563" spans="4:6">
      <c r="D563"/>
      <c r="E563"/>
      <c r="F563"/>
    </row>
    <row r="564" spans="4:6">
      <c r="D564"/>
      <c r="E564"/>
      <c r="F564"/>
    </row>
    <row r="565" spans="4:6">
      <c r="D565"/>
      <c r="E565"/>
      <c r="F565"/>
    </row>
    <row r="566" spans="4:6">
      <c r="D566"/>
      <c r="E566"/>
      <c r="F566"/>
    </row>
    <row r="567" spans="4:6">
      <c r="D567"/>
      <c r="E567"/>
      <c r="F567"/>
    </row>
    <row r="568" spans="4:6">
      <c r="D568"/>
      <c r="E568"/>
      <c r="F568"/>
    </row>
    <row r="569" spans="4:6">
      <c r="D569"/>
      <c r="E569"/>
      <c r="F569"/>
    </row>
    <row r="570" spans="4:6">
      <c r="D570"/>
      <c r="E570"/>
      <c r="F570"/>
    </row>
    <row r="571" spans="4:6">
      <c r="D571"/>
      <c r="E571"/>
      <c r="F571"/>
    </row>
    <row r="572" spans="4:6">
      <c r="D572"/>
      <c r="E572"/>
      <c r="F572"/>
    </row>
    <row r="573" spans="4:6">
      <c r="D573"/>
      <c r="E573"/>
      <c r="F573"/>
    </row>
    <row r="574" spans="4:6">
      <c r="D574"/>
      <c r="E574"/>
      <c r="F574"/>
    </row>
    <row r="575" spans="4:6">
      <c r="D575"/>
      <c r="E575"/>
      <c r="F575"/>
    </row>
    <row r="576" spans="4:6">
      <c r="D576"/>
      <c r="E576"/>
      <c r="F576"/>
    </row>
    <row r="577" spans="4:6">
      <c r="D577"/>
      <c r="E577"/>
      <c r="F577"/>
    </row>
    <row r="578" spans="4:6">
      <c r="D578"/>
      <c r="E578"/>
      <c r="F578"/>
    </row>
    <row r="579" spans="4:6">
      <c r="D579"/>
      <c r="E579"/>
      <c r="F579"/>
    </row>
    <row r="580" spans="4:6">
      <c r="D580"/>
      <c r="E580"/>
      <c r="F580"/>
    </row>
    <row r="581" spans="4:6">
      <c r="D581"/>
      <c r="E581"/>
      <c r="F581"/>
    </row>
    <row r="582" spans="4:6">
      <c r="D582"/>
      <c r="E582"/>
      <c r="F582"/>
    </row>
    <row r="583" spans="4:6">
      <c r="D583"/>
      <c r="E583"/>
      <c r="F583"/>
    </row>
    <row r="584" spans="4:6">
      <c r="D584"/>
      <c r="E584"/>
      <c r="F584"/>
    </row>
    <row r="585" spans="4:6">
      <c r="D585"/>
      <c r="E585"/>
      <c r="F585"/>
    </row>
    <row r="586" spans="4:6">
      <c r="D586"/>
      <c r="E586"/>
      <c r="F586"/>
    </row>
    <row r="587" spans="4:6">
      <c r="D587"/>
      <c r="E587"/>
      <c r="F587"/>
    </row>
    <row r="588" spans="4:6">
      <c r="D588"/>
      <c r="E588"/>
      <c r="F588"/>
    </row>
    <row r="589" spans="4:6">
      <c r="D589"/>
      <c r="E589"/>
      <c r="F589"/>
    </row>
    <row r="590" spans="4:6">
      <c r="D590"/>
      <c r="E590"/>
      <c r="F590"/>
    </row>
    <row r="591" spans="4:6">
      <c r="D591"/>
      <c r="E591"/>
      <c r="F591"/>
    </row>
    <row r="592" spans="4:6">
      <c r="D592"/>
      <c r="E592"/>
      <c r="F592"/>
    </row>
    <row r="593" spans="4:6">
      <c r="D593"/>
      <c r="E593"/>
      <c r="F593"/>
    </row>
    <row r="594" spans="4:6">
      <c r="D594"/>
      <c r="E594"/>
      <c r="F594"/>
    </row>
    <row r="595" spans="4:6">
      <c r="D595"/>
      <c r="E595"/>
      <c r="F595"/>
    </row>
    <row r="596" spans="4:6">
      <c r="D596"/>
      <c r="E596"/>
      <c r="F596"/>
    </row>
    <row r="597" spans="4:6">
      <c r="D597"/>
      <c r="E597"/>
      <c r="F597"/>
    </row>
    <row r="598" spans="4:6">
      <c r="D598"/>
      <c r="E598"/>
      <c r="F598"/>
    </row>
    <row r="599" spans="4:6">
      <c r="D599"/>
      <c r="E599"/>
      <c r="F599"/>
    </row>
    <row r="600" spans="4:6">
      <c r="D600"/>
      <c r="E600"/>
      <c r="F600"/>
    </row>
    <row r="601" spans="4:6">
      <c r="D601"/>
      <c r="E601"/>
      <c r="F601"/>
    </row>
    <row r="602" spans="4:6">
      <c r="D602"/>
      <c r="E602"/>
      <c r="F602"/>
    </row>
    <row r="603" spans="4:6">
      <c r="D603"/>
      <c r="E603"/>
      <c r="F603"/>
    </row>
    <row r="604" spans="4:6">
      <c r="D604"/>
      <c r="E604"/>
      <c r="F604"/>
    </row>
    <row r="605" spans="4:6">
      <c r="D605"/>
      <c r="E605"/>
      <c r="F605"/>
    </row>
    <row r="606" spans="4:6">
      <c r="D606"/>
      <c r="E606"/>
      <c r="F606"/>
    </row>
    <row r="607" spans="4:6">
      <c r="D607"/>
      <c r="E607"/>
      <c r="F607"/>
    </row>
    <row r="608" spans="4:6">
      <c r="D608"/>
      <c r="E608"/>
      <c r="F608"/>
    </row>
    <row r="609" spans="4:6">
      <c r="D609"/>
      <c r="E609"/>
      <c r="F609"/>
    </row>
    <row r="610" spans="4:6">
      <c r="D610"/>
      <c r="E610"/>
      <c r="F610"/>
    </row>
    <row r="611" spans="4:6">
      <c r="D611"/>
      <c r="E611"/>
      <c r="F611"/>
    </row>
    <row r="612" spans="4:6">
      <c r="D612"/>
      <c r="E612"/>
      <c r="F612"/>
    </row>
    <row r="613" spans="4:6">
      <c r="D613"/>
      <c r="E613"/>
      <c r="F613"/>
    </row>
    <row r="614" spans="4:6">
      <c r="D614"/>
      <c r="E614"/>
      <c r="F614"/>
    </row>
    <row r="615" spans="4:6">
      <c r="D615"/>
      <c r="E615"/>
      <c r="F615"/>
    </row>
    <row r="616" spans="4:6">
      <c r="D616"/>
      <c r="E616"/>
      <c r="F616"/>
    </row>
    <row r="617" spans="4:6">
      <c r="D617"/>
      <c r="E617"/>
      <c r="F617"/>
    </row>
    <row r="618" spans="4:6">
      <c r="D618"/>
      <c r="E618"/>
      <c r="F618"/>
    </row>
    <row r="619" spans="4:6">
      <c r="D619"/>
      <c r="E619"/>
      <c r="F619"/>
    </row>
    <row r="620" spans="4:6">
      <c r="D620"/>
      <c r="E620"/>
      <c r="F620"/>
    </row>
    <row r="621" spans="4:6">
      <c r="D621"/>
      <c r="E621"/>
      <c r="F621"/>
    </row>
    <row r="622" spans="4:6">
      <c r="D622"/>
      <c r="E622"/>
      <c r="F622"/>
    </row>
    <row r="623" spans="4:6">
      <c r="D623"/>
      <c r="E623"/>
      <c r="F623"/>
    </row>
    <row r="624" spans="4:6">
      <c r="D624"/>
      <c r="E624"/>
      <c r="F624"/>
    </row>
    <row r="625" spans="4:6">
      <c r="D625"/>
      <c r="E625"/>
      <c r="F625"/>
    </row>
    <row r="626" spans="4:6">
      <c r="D626"/>
      <c r="E626"/>
      <c r="F626"/>
    </row>
    <row r="627" spans="4:6">
      <c r="D627"/>
      <c r="E627"/>
      <c r="F627"/>
    </row>
    <row r="628" spans="4:6">
      <c r="D628"/>
      <c r="E628"/>
      <c r="F628"/>
    </row>
    <row r="629" spans="4:6">
      <c r="D629"/>
      <c r="E629"/>
      <c r="F629"/>
    </row>
    <row r="630" spans="4:6">
      <c r="D630"/>
      <c r="E630"/>
      <c r="F630"/>
    </row>
    <row r="631" spans="4:6">
      <c r="D631"/>
      <c r="E631"/>
      <c r="F631"/>
    </row>
    <row r="632" spans="4:6">
      <c r="D632"/>
      <c r="E632"/>
      <c r="F632"/>
    </row>
    <row r="633" spans="4:6">
      <c r="D633"/>
      <c r="E633"/>
      <c r="F633"/>
    </row>
    <row r="634" spans="4:6">
      <c r="D634"/>
      <c r="E634"/>
      <c r="F634"/>
    </row>
    <row r="635" spans="4:6">
      <c r="D635"/>
      <c r="E635"/>
      <c r="F635"/>
    </row>
    <row r="636" spans="4:6">
      <c r="D636"/>
      <c r="E636"/>
      <c r="F636"/>
    </row>
    <row r="637" spans="4:6">
      <c r="D637"/>
      <c r="E637"/>
      <c r="F637"/>
    </row>
    <row r="638" spans="4:6">
      <c r="D638"/>
      <c r="E638"/>
      <c r="F638"/>
    </row>
    <row r="639" spans="4:6">
      <c r="D639"/>
      <c r="E639"/>
      <c r="F639"/>
    </row>
    <row r="640" spans="4:6">
      <c r="D640"/>
      <c r="E640"/>
      <c r="F640"/>
    </row>
    <row r="641" spans="4:6">
      <c r="D641"/>
      <c r="E641"/>
      <c r="F641"/>
    </row>
    <row r="642" spans="4:6">
      <c r="D642"/>
      <c r="E642"/>
      <c r="F642"/>
    </row>
    <row r="643" spans="4:6">
      <c r="D643"/>
      <c r="E643"/>
      <c r="F643"/>
    </row>
    <row r="644" spans="4:6">
      <c r="D644"/>
      <c r="E644"/>
      <c r="F644"/>
    </row>
    <row r="645" spans="4:6">
      <c r="D645"/>
      <c r="E645"/>
      <c r="F645"/>
    </row>
    <row r="646" spans="4:6">
      <c r="D646"/>
      <c r="E646"/>
      <c r="F646"/>
    </row>
    <row r="647" spans="4:6">
      <c r="D647"/>
      <c r="E647"/>
      <c r="F647"/>
    </row>
    <row r="648" spans="4:6">
      <c r="D648"/>
      <c r="E648"/>
      <c r="F648"/>
    </row>
    <row r="649" spans="4:6">
      <c r="D649"/>
      <c r="E649"/>
      <c r="F649"/>
    </row>
    <row r="650" spans="4:6">
      <c r="D650"/>
      <c r="E650"/>
      <c r="F650"/>
    </row>
    <row r="651" spans="4:6">
      <c r="D651"/>
      <c r="E651"/>
      <c r="F651"/>
    </row>
    <row r="652" spans="4:6">
      <c r="D652"/>
      <c r="E652"/>
      <c r="F652"/>
    </row>
    <row r="653" spans="4:6">
      <c r="D653"/>
      <c r="E653"/>
      <c r="F653"/>
    </row>
    <row r="654" spans="4:6">
      <c r="D654"/>
      <c r="E654"/>
      <c r="F654"/>
    </row>
    <row r="655" spans="4:6">
      <c r="D655"/>
      <c r="E655"/>
      <c r="F655"/>
    </row>
    <row r="656" spans="4:6">
      <c r="D656"/>
      <c r="E656"/>
      <c r="F656"/>
    </row>
    <row r="657" spans="4:6">
      <c r="D657"/>
      <c r="E657"/>
      <c r="F657"/>
    </row>
    <row r="658" spans="4:6">
      <c r="D658"/>
      <c r="E658"/>
      <c r="F658"/>
    </row>
    <row r="659" spans="4:6">
      <c r="D659"/>
      <c r="E659"/>
      <c r="F659"/>
    </row>
    <row r="660" spans="4:6">
      <c r="D660"/>
      <c r="E660"/>
      <c r="F660"/>
    </row>
    <row r="661" spans="4:6">
      <c r="D661"/>
      <c r="E661"/>
      <c r="F661"/>
    </row>
    <row r="662" spans="4:6">
      <c r="D662"/>
      <c r="E662"/>
      <c r="F662"/>
    </row>
    <row r="663" spans="4:6">
      <c r="D663"/>
      <c r="E663"/>
      <c r="F663"/>
    </row>
    <row r="664" spans="4:6">
      <c r="D664"/>
      <c r="E664"/>
      <c r="F664"/>
    </row>
    <row r="665" spans="4:6">
      <c r="D665"/>
      <c r="E665"/>
      <c r="F665"/>
    </row>
    <row r="666" spans="4:6">
      <c r="D666"/>
      <c r="E666"/>
      <c r="F666"/>
    </row>
    <row r="667" spans="4:6">
      <c r="D667"/>
      <c r="E667"/>
      <c r="F667"/>
    </row>
    <row r="668" spans="4:6">
      <c r="D668"/>
      <c r="E668"/>
      <c r="F668"/>
    </row>
    <row r="669" spans="4:6">
      <c r="D669"/>
      <c r="E669"/>
      <c r="F669"/>
    </row>
    <row r="670" spans="4:6">
      <c r="D670"/>
      <c r="E670"/>
      <c r="F670"/>
    </row>
    <row r="671" spans="4:6">
      <c r="D671"/>
      <c r="E671"/>
      <c r="F671"/>
    </row>
    <row r="672" spans="4:6">
      <c r="D672"/>
      <c r="E672"/>
      <c r="F672"/>
    </row>
    <row r="673" spans="4:6">
      <c r="D673"/>
      <c r="E673"/>
      <c r="F673"/>
    </row>
    <row r="674" spans="4:6">
      <c r="D674"/>
      <c r="E674"/>
      <c r="F674"/>
    </row>
    <row r="675" spans="4:6">
      <c r="D675"/>
      <c r="E675"/>
      <c r="F675"/>
    </row>
    <row r="676" spans="4:6">
      <c r="D676"/>
      <c r="E676"/>
      <c r="F676"/>
    </row>
    <row r="677" spans="4:6">
      <c r="D677"/>
      <c r="E677"/>
      <c r="F677"/>
    </row>
    <row r="678" spans="4:6">
      <c r="D678"/>
      <c r="E678"/>
      <c r="F678"/>
    </row>
    <row r="679" spans="4:6">
      <c r="D679"/>
      <c r="E679"/>
      <c r="F679"/>
    </row>
    <row r="680" spans="4:6">
      <c r="D680"/>
      <c r="E680"/>
      <c r="F680"/>
    </row>
    <row r="681" spans="4:6">
      <c r="D681"/>
      <c r="E681"/>
      <c r="F681"/>
    </row>
    <row r="682" spans="4:6">
      <c r="D682"/>
      <c r="E682"/>
      <c r="F682"/>
    </row>
    <row r="683" spans="4:6">
      <c r="D683"/>
      <c r="E683"/>
      <c r="F683"/>
    </row>
    <row r="684" spans="4:6">
      <c r="D684"/>
      <c r="E684"/>
      <c r="F684"/>
    </row>
    <row r="685" spans="4:6">
      <c r="D685"/>
      <c r="E685"/>
      <c r="F685"/>
    </row>
    <row r="686" spans="4:6">
      <c r="D686"/>
      <c r="E686"/>
      <c r="F686"/>
    </row>
    <row r="687" spans="4:6">
      <c r="D687"/>
      <c r="E687"/>
      <c r="F687"/>
    </row>
    <row r="688" spans="4:6">
      <c r="D688"/>
      <c r="E688"/>
      <c r="F688"/>
    </row>
    <row r="689" spans="4:6">
      <c r="D689"/>
      <c r="E689"/>
      <c r="F689"/>
    </row>
    <row r="690" spans="4:6">
      <c r="D690"/>
      <c r="E690"/>
      <c r="F690"/>
    </row>
    <row r="691" spans="4:6">
      <c r="D691"/>
      <c r="E691"/>
      <c r="F691"/>
    </row>
    <row r="692" spans="4:6">
      <c r="D692"/>
      <c r="E692"/>
      <c r="F692"/>
    </row>
    <row r="693" spans="4:6">
      <c r="D693"/>
      <c r="E693"/>
      <c r="F693"/>
    </row>
    <row r="694" spans="4:6">
      <c r="D694"/>
      <c r="E694"/>
      <c r="F694"/>
    </row>
    <row r="695" spans="4:6">
      <c r="D695"/>
      <c r="E695"/>
      <c r="F695"/>
    </row>
    <row r="696" spans="4:6">
      <c r="D696"/>
      <c r="E696"/>
      <c r="F696"/>
    </row>
    <row r="697" spans="4:6">
      <c r="D697"/>
      <c r="E697"/>
      <c r="F697"/>
    </row>
    <row r="698" spans="4:6">
      <c r="D698"/>
      <c r="E698"/>
      <c r="F698"/>
    </row>
    <row r="699" spans="4:6">
      <c r="D699"/>
      <c r="E699"/>
      <c r="F699"/>
    </row>
    <row r="700" spans="4:6">
      <c r="D700"/>
      <c r="E700"/>
      <c r="F700"/>
    </row>
    <row r="701" spans="4:6">
      <c r="D701"/>
      <c r="E701"/>
      <c r="F701"/>
    </row>
    <row r="702" spans="4:6">
      <c r="D702"/>
      <c r="E702"/>
      <c r="F702"/>
    </row>
    <row r="703" spans="4:6">
      <c r="D703"/>
      <c r="E703"/>
      <c r="F703"/>
    </row>
    <row r="704" spans="4:6">
      <c r="D704"/>
      <c r="E704"/>
      <c r="F704"/>
    </row>
    <row r="705" spans="4:6">
      <c r="D705"/>
      <c r="E705"/>
      <c r="F705"/>
    </row>
    <row r="706" spans="4:6">
      <c r="D706"/>
      <c r="E706"/>
      <c r="F706"/>
    </row>
    <row r="707" spans="4:6">
      <c r="D707"/>
      <c r="E707"/>
      <c r="F707"/>
    </row>
    <row r="708" spans="4:6">
      <c r="D708"/>
      <c r="E708"/>
      <c r="F708"/>
    </row>
    <row r="709" spans="4:6">
      <c r="D709"/>
      <c r="E709"/>
      <c r="F709"/>
    </row>
    <row r="710" spans="4:6">
      <c r="D710"/>
      <c r="E710"/>
      <c r="F710"/>
    </row>
    <row r="711" spans="4:6">
      <c r="D711"/>
      <c r="E711"/>
      <c r="F711"/>
    </row>
    <row r="712" spans="4:6">
      <c r="D712"/>
      <c r="E712"/>
      <c r="F712"/>
    </row>
    <row r="713" spans="4:6">
      <c r="D713"/>
      <c r="E713"/>
      <c r="F713"/>
    </row>
    <row r="714" spans="4:6">
      <c r="D714"/>
      <c r="E714"/>
      <c r="F714"/>
    </row>
    <row r="715" spans="4:6">
      <c r="D715"/>
      <c r="E715"/>
      <c r="F715"/>
    </row>
    <row r="716" spans="4:6">
      <c r="D716"/>
      <c r="E716"/>
      <c r="F716"/>
    </row>
    <row r="717" spans="4:6">
      <c r="D717"/>
      <c r="E717"/>
      <c r="F717"/>
    </row>
    <row r="718" spans="4:6">
      <c r="D718"/>
      <c r="E718"/>
      <c r="F718"/>
    </row>
    <row r="719" spans="4:6">
      <c r="D719"/>
      <c r="E719"/>
      <c r="F719"/>
    </row>
    <row r="720" spans="4:6">
      <c r="D720"/>
      <c r="E720"/>
      <c r="F720"/>
    </row>
    <row r="721" spans="4:6">
      <c r="D721"/>
      <c r="E721"/>
      <c r="F721"/>
    </row>
    <row r="722" spans="4:6">
      <c r="D722"/>
      <c r="E722"/>
      <c r="F722"/>
    </row>
    <row r="723" spans="4:6">
      <c r="D723"/>
      <c r="E723"/>
      <c r="F723"/>
    </row>
    <row r="724" spans="4:6">
      <c r="D724"/>
      <c r="E724"/>
      <c r="F724"/>
    </row>
    <row r="725" spans="4:6">
      <c r="D725"/>
      <c r="E725"/>
      <c r="F725"/>
    </row>
    <row r="726" spans="4:6">
      <c r="D726"/>
      <c r="E726"/>
      <c r="F726"/>
    </row>
    <row r="727" spans="4:6">
      <c r="D727"/>
      <c r="E727"/>
      <c r="F727"/>
    </row>
    <row r="728" spans="4:6">
      <c r="D728"/>
      <c r="E728"/>
      <c r="F728"/>
    </row>
    <row r="729" spans="4:6">
      <c r="D729"/>
      <c r="E729"/>
      <c r="F729"/>
    </row>
    <row r="730" spans="4:6">
      <c r="D730"/>
      <c r="E730"/>
      <c r="F730"/>
    </row>
    <row r="731" spans="4:6">
      <c r="D731"/>
      <c r="E731"/>
      <c r="F731"/>
    </row>
    <row r="732" spans="4:6">
      <c r="D732"/>
      <c r="E732"/>
      <c r="F732"/>
    </row>
    <row r="733" spans="4:6">
      <c r="D733"/>
      <c r="E733"/>
      <c r="F733"/>
    </row>
    <row r="734" spans="4:6">
      <c r="D734"/>
      <c r="E734"/>
      <c r="F734"/>
    </row>
    <row r="735" spans="4:6">
      <c r="D735"/>
      <c r="E735"/>
      <c r="F735"/>
    </row>
    <row r="736" spans="4:6">
      <c r="D736"/>
      <c r="E736"/>
      <c r="F736"/>
    </row>
    <row r="737" spans="4:6">
      <c r="D737"/>
      <c r="E737"/>
      <c r="F737"/>
    </row>
    <row r="738" spans="4:6">
      <c r="D738"/>
      <c r="E738"/>
      <c r="F738"/>
    </row>
    <row r="739" spans="4:6">
      <c r="D739"/>
      <c r="E739"/>
      <c r="F739"/>
    </row>
    <row r="740" spans="4:6">
      <c r="D740"/>
      <c r="E740"/>
      <c r="F740"/>
    </row>
    <row r="741" spans="4:6">
      <c r="D741"/>
      <c r="E741"/>
      <c r="F741"/>
    </row>
    <row r="742" spans="4:6">
      <c r="D742"/>
      <c r="E742"/>
      <c r="F742"/>
    </row>
    <row r="743" spans="4:6">
      <c r="D743"/>
      <c r="E743"/>
      <c r="F743"/>
    </row>
    <row r="744" spans="4:6">
      <c r="D744"/>
      <c r="E744"/>
      <c r="F744"/>
    </row>
    <row r="745" spans="4:6">
      <c r="D745"/>
      <c r="E745"/>
      <c r="F745"/>
    </row>
    <row r="746" spans="4:6">
      <c r="D746"/>
      <c r="E746"/>
      <c r="F746"/>
    </row>
    <row r="747" spans="4:6">
      <c r="D747"/>
      <c r="E747"/>
      <c r="F747"/>
    </row>
    <row r="748" spans="4:6">
      <c r="D748"/>
      <c r="E748"/>
      <c r="F748"/>
    </row>
    <row r="749" spans="4:6">
      <c r="D749"/>
      <c r="E749"/>
      <c r="F749"/>
    </row>
    <row r="750" spans="4:6">
      <c r="D750"/>
      <c r="E750"/>
      <c r="F750"/>
    </row>
    <row r="751" spans="4:6">
      <c r="D751"/>
      <c r="E751"/>
      <c r="F751"/>
    </row>
    <row r="752" spans="4:6">
      <c r="D752"/>
      <c r="E752"/>
      <c r="F752"/>
    </row>
    <row r="753" spans="4:6">
      <c r="D753"/>
      <c r="E753"/>
      <c r="F753"/>
    </row>
    <row r="754" spans="4:6">
      <c r="D754"/>
      <c r="E754"/>
      <c r="F754"/>
    </row>
    <row r="755" spans="4:6">
      <c r="D755"/>
      <c r="E755"/>
      <c r="F755"/>
    </row>
    <row r="756" spans="4:6">
      <c r="D756"/>
      <c r="E756"/>
      <c r="F756"/>
    </row>
    <row r="757" spans="4:6">
      <c r="D757"/>
      <c r="E757"/>
      <c r="F757"/>
    </row>
    <row r="758" spans="4:6">
      <c r="D758"/>
      <c r="E758"/>
      <c r="F758"/>
    </row>
    <row r="759" spans="4:6">
      <c r="D759"/>
      <c r="E759"/>
      <c r="F759"/>
    </row>
    <row r="760" spans="4:6">
      <c r="D760"/>
      <c r="E760"/>
      <c r="F760"/>
    </row>
    <row r="761" spans="4:6">
      <c r="D761"/>
      <c r="E761"/>
      <c r="F761"/>
    </row>
    <row r="762" spans="4:6">
      <c r="D762"/>
      <c r="E762"/>
      <c r="F762"/>
    </row>
    <row r="763" spans="4:6">
      <c r="D763"/>
      <c r="E763"/>
      <c r="F763"/>
    </row>
    <row r="764" spans="4:6">
      <c r="D764"/>
      <c r="E764"/>
      <c r="F764"/>
    </row>
    <row r="765" spans="4:6">
      <c r="D765"/>
      <c r="E765"/>
      <c r="F765"/>
    </row>
    <row r="766" spans="4:6">
      <c r="D766"/>
      <c r="E766"/>
      <c r="F766"/>
    </row>
    <row r="767" spans="4:6">
      <c r="D767"/>
      <c r="E767"/>
      <c r="F767"/>
    </row>
    <row r="768" spans="4:6">
      <c r="D768"/>
      <c r="E768"/>
      <c r="F768"/>
    </row>
    <row r="769" spans="4:6">
      <c r="D769"/>
      <c r="E769"/>
      <c r="F769"/>
    </row>
    <row r="770" spans="4:6">
      <c r="D770"/>
      <c r="E770"/>
      <c r="F770"/>
    </row>
    <row r="771" spans="4:6">
      <c r="D771"/>
      <c r="E771"/>
      <c r="F771"/>
    </row>
    <row r="772" spans="4:6">
      <c r="D772"/>
      <c r="E772"/>
      <c r="F772"/>
    </row>
    <row r="773" spans="4:6">
      <c r="D773"/>
      <c r="E773"/>
      <c r="F773"/>
    </row>
    <row r="774" spans="4:6">
      <c r="D774"/>
      <c r="E774"/>
      <c r="F774"/>
    </row>
    <row r="775" spans="4:6">
      <c r="D775"/>
      <c r="E775"/>
      <c r="F775"/>
    </row>
    <row r="776" spans="4:6">
      <c r="D776"/>
      <c r="E776"/>
      <c r="F776"/>
    </row>
    <row r="777" spans="4:6">
      <c r="D777"/>
      <c r="E777"/>
      <c r="F777"/>
    </row>
    <row r="778" spans="4:6">
      <c r="D778"/>
      <c r="E778"/>
      <c r="F778"/>
    </row>
    <row r="779" spans="4:6">
      <c r="D779"/>
      <c r="E779"/>
      <c r="F779"/>
    </row>
    <row r="780" spans="4:6">
      <c r="D780"/>
      <c r="E780"/>
      <c r="F780"/>
    </row>
    <row r="781" spans="4:6">
      <c r="D781"/>
      <c r="E781"/>
      <c r="F781"/>
    </row>
    <row r="782" spans="4:6">
      <c r="D782"/>
      <c r="E782"/>
      <c r="F782"/>
    </row>
    <row r="783" spans="4:6">
      <c r="D783"/>
      <c r="E783"/>
      <c r="F783"/>
    </row>
    <row r="784" spans="4:6">
      <c r="D784"/>
      <c r="E784"/>
      <c r="F784"/>
    </row>
    <row r="785" spans="4:6">
      <c r="D785"/>
      <c r="E785"/>
      <c r="F785"/>
    </row>
    <row r="786" spans="4:6">
      <c r="D786"/>
      <c r="E786"/>
      <c r="F786"/>
    </row>
    <row r="787" spans="4:6">
      <c r="D787"/>
      <c r="E787"/>
      <c r="F787"/>
    </row>
    <row r="788" spans="4:6">
      <c r="D788"/>
      <c r="E788"/>
      <c r="F788"/>
    </row>
    <row r="789" spans="4:6">
      <c r="D789"/>
      <c r="E789"/>
      <c r="F789"/>
    </row>
    <row r="790" spans="4:6">
      <c r="D790"/>
      <c r="E790"/>
      <c r="F790"/>
    </row>
    <row r="791" spans="4:6">
      <c r="D791"/>
      <c r="E791"/>
      <c r="F791"/>
    </row>
    <row r="792" spans="4:6">
      <c r="D792"/>
      <c r="E792"/>
      <c r="F792"/>
    </row>
    <row r="793" spans="4:6">
      <c r="D793"/>
      <c r="E793"/>
      <c r="F793"/>
    </row>
    <row r="794" spans="4:6">
      <c r="D794"/>
      <c r="E794"/>
      <c r="F794"/>
    </row>
    <row r="795" spans="4:6">
      <c r="D795"/>
      <c r="E795"/>
      <c r="F795"/>
    </row>
    <row r="796" spans="4:6">
      <c r="D796"/>
      <c r="E796"/>
      <c r="F796"/>
    </row>
    <row r="797" spans="4:6">
      <c r="D797"/>
      <c r="E797"/>
      <c r="F797"/>
    </row>
    <row r="798" spans="4:6">
      <c r="D798"/>
      <c r="E798"/>
      <c r="F798"/>
    </row>
    <row r="799" spans="4:6">
      <c r="D799"/>
      <c r="E799"/>
      <c r="F799"/>
    </row>
    <row r="800" spans="4:6">
      <c r="D800"/>
      <c r="E800"/>
      <c r="F800"/>
    </row>
    <row r="801" spans="4:6">
      <c r="D801"/>
      <c r="E801"/>
      <c r="F801"/>
    </row>
    <row r="802" spans="4:6">
      <c r="D802"/>
      <c r="E802"/>
      <c r="F802"/>
    </row>
    <row r="803" spans="4:6">
      <c r="D803"/>
      <c r="E803"/>
      <c r="F803"/>
    </row>
    <row r="804" spans="4:6">
      <c r="D804"/>
      <c r="E804"/>
      <c r="F804"/>
    </row>
    <row r="805" spans="4:6">
      <c r="D805"/>
      <c r="E805"/>
      <c r="F805"/>
    </row>
    <row r="806" spans="4:6">
      <c r="D806"/>
      <c r="E806"/>
      <c r="F806"/>
    </row>
    <row r="807" spans="4:6">
      <c r="D807"/>
      <c r="E807"/>
      <c r="F807"/>
    </row>
    <row r="808" spans="4:6">
      <c r="D808"/>
      <c r="E808"/>
      <c r="F808"/>
    </row>
    <row r="809" spans="4:6">
      <c r="D809"/>
      <c r="E809"/>
      <c r="F809"/>
    </row>
    <row r="810" spans="4:6">
      <c r="D810"/>
      <c r="E810"/>
      <c r="F810"/>
    </row>
    <row r="811" spans="4:6">
      <c r="D811"/>
      <c r="E811"/>
      <c r="F811"/>
    </row>
    <row r="812" spans="4:6">
      <c r="D812"/>
      <c r="E812"/>
      <c r="F812"/>
    </row>
    <row r="813" spans="4:6">
      <c r="D813"/>
      <c r="E813"/>
      <c r="F813"/>
    </row>
    <row r="814" spans="4:6">
      <c r="D814"/>
      <c r="E814"/>
      <c r="F814"/>
    </row>
    <row r="815" spans="4:6">
      <c r="D815"/>
      <c r="E815"/>
      <c r="F815"/>
    </row>
    <row r="816" spans="4:6">
      <c r="D816"/>
      <c r="E816"/>
      <c r="F816"/>
    </row>
    <row r="817" spans="4:6">
      <c r="D817"/>
      <c r="E817"/>
      <c r="F817"/>
    </row>
    <row r="818" spans="4:6">
      <c r="D818"/>
      <c r="E818"/>
      <c r="F818"/>
    </row>
    <row r="819" spans="4:6">
      <c r="D819"/>
      <c r="E819"/>
      <c r="F819"/>
    </row>
    <row r="820" spans="4:6">
      <c r="D820"/>
      <c r="E820"/>
      <c r="F820"/>
    </row>
    <row r="821" spans="4:6">
      <c r="D821"/>
      <c r="E821"/>
      <c r="F821"/>
    </row>
    <row r="822" spans="4:6">
      <c r="D822"/>
      <c r="E822"/>
      <c r="F822"/>
    </row>
    <row r="823" spans="4:6">
      <c r="D823"/>
      <c r="E823"/>
      <c r="F823"/>
    </row>
    <row r="824" spans="4:6">
      <c r="D824"/>
      <c r="E824"/>
      <c r="F824"/>
    </row>
    <row r="825" spans="4:6">
      <c r="D825"/>
      <c r="E825"/>
      <c r="F825"/>
    </row>
    <row r="826" spans="4:6">
      <c r="D826"/>
      <c r="E826"/>
      <c r="F826"/>
    </row>
    <row r="827" spans="4:6">
      <c r="D827"/>
      <c r="E827"/>
      <c r="F827"/>
    </row>
    <row r="828" spans="4:6">
      <c r="D828"/>
      <c r="E828"/>
      <c r="F828"/>
    </row>
    <row r="829" spans="4:6">
      <c r="D829"/>
      <c r="E829"/>
      <c r="F829"/>
    </row>
    <row r="830" spans="4:6">
      <c r="D830"/>
      <c r="E830"/>
      <c r="F830"/>
    </row>
    <row r="831" spans="4:6">
      <c r="D831"/>
      <c r="E831"/>
      <c r="F831"/>
    </row>
    <row r="832" spans="4:6">
      <c r="D832"/>
      <c r="E832"/>
      <c r="F832"/>
    </row>
    <row r="833" spans="4:6">
      <c r="D833"/>
      <c r="E833"/>
      <c r="F833"/>
    </row>
    <row r="834" spans="4:6">
      <c r="D834"/>
      <c r="E834"/>
      <c r="F834"/>
    </row>
    <row r="835" spans="4:6">
      <c r="D835"/>
      <c r="E835"/>
      <c r="F835"/>
    </row>
    <row r="836" spans="4:6">
      <c r="D836"/>
      <c r="E836"/>
      <c r="F836"/>
    </row>
    <row r="837" spans="4:6">
      <c r="D837"/>
      <c r="E837"/>
      <c r="F837"/>
    </row>
    <row r="838" spans="4:6">
      <c r="D838"/>
      <c r="E838"/>
      <c r="F838"/>
    </row>
    <row r="839" spans="4:6">
      <c r="D839"/>
      <c r="E839"/>
      <c r="F839"/>
    </row>
    <row r="840" spans="4:6">
      <c r="D840"/>
      <c r="E840"/>
      <c r="F840"/>
    </row>
    <row r="841" spans="4:6">
      <c r="D841"/>
      <c r="E841"/>
      <c r="F841"/>
    </row>
    <row r="842" spans="4:6">
      <c r="D842"/>
      <c r="E842"/>
      <c r="F842"/>
    </row>
    <row r="843" spans="4:6">
      <c r="D843"/>
      <c r="E843"/>
      <c r="F843"/>
    </row>
    <row r="844" spans="4:6">
      <c r="D844"/>
      <c r="E844"/>
      <c r="F844"/>
    </row>
    <row r="845" spans="4:6">
      <c r="D845"/>
      <c r="E845"/>
      <c r="F845"/>
    </row>
    <row r="846" spans="4:6">
      <c r="D846"/>
      <c r="E846"/>
      <c r="F846"/>
    </row>
    <row r="847" spans="4:6">
      <c r="D847"/>
      <c r="E847"/>
      <c r="F847"/>
    </row>
    <row r="848" spans="4:6">
      <c r="D848"/>
      <c r="E848"/>
      <c r="F848"/>
    </row>
    <row r="849" spans="4:6">
      <c r="D849"/>
      <c r="E849"/>
      <c r="F849"/>
    </row>
    <row r="850" spans="4:6">
      <c r="D850"/>
      <c r="E850"/>
      <c r="F850"/>
    </row>
    <row r="851" spans="4:6">
      <c r="D851"/>
      <c r="E851"/>
      <c r="F851"/>
    </row>
    <row r="852" spans="4:6">
      <c r="D852"/>
      <c r="E852"/>
      <c r="F852"/>
    </row>
    <row r="853" spans="4:6">
      <c r="D853"/>
      <c r="E853"/>
      <c r="F853"/>
    </row>
    <row r="854" spans="4:6">
      <c r="D854"/>
      <c r="E854"/>
      <c r="F854"/>
    </row>
    <row r="855" spans="4:6">
      <c r="D855"/>
      <c r="E855"/>
      <c r="F855"/>
    </row>
    <row r="856" spans="4:6">
      <c r="D856"/>
      <c r="E856"/>
      <c r="F856"/>
    </row>
    <row r="857" spans="4:6">
      <c r="D857"/>
      <c r="E857"/>
      <c r="F857"/>
    </row>
    <row r="858" spans="4:6">
      <c r="D858"/>
      <c r="E858"/>
      <c r="F858"/>
    </row>
    <row r="859" spans="4:6">
      <c r="D859"/>
      <c r="E859"/>
      <c r="F859"/>
    </row>
    <row r="860" spans="4:6">
      <c r="D860"/>
      <c r="E860"/>
      <c r="F860"/>
    </row>
    <row r="861" spans="4:6">
      <c r="D861"/>
      <c r="E861"/>
      <c r="F861"/>
    </row>
    <row r="862" spans="4:6">
      <c r="D862"/>
      <c r="E862"/>
      <c r="F862"/>
    </row>
    <row r="863" spans="4:6">
      <c r="D863"/>
      <c r="E863"/>
      <c r="F863"/>
    </row>
    <row r="864" spans="4:6">
      <c r="D864"/>
      <c r="E864"/>
      <c r="F864"/>
    </row>
    <row r="865" spans="4:6">
      <c r="D865"/>
      <c r="E865"/>
      <c r="F865"/>
    </row>
    <row r="866" spans="4:6">
      <c r="D866"/>
      <c r="E866"/>
      <c r="F866"/>
    </row>
    <row r="867" spans="4:6">
      <c r="D867"/>
      <c r="E867"/>
      <c r="F867"/>
    </row>
    <row r="868" spans="4:6">
      <c r="D868"/>
      <c r="E868"/>
      <c r="F868"/>
    </row>
    <row r="869" spans="4:6">
      <c r="D869"/>
      <c r="E869"/>
      <c r="F869"/>
    </row>
    <row r="870" spans="4:6">
      <c r="D870"/>
      <c r="E870"/>
      <c r="F870"/>
    </row>
    <row r="871" spans="4:6">
      <c r="D871"/>
      <c r="E871"/>
      <c r="F871"/>
    </row>
    <row r="872" spans="4:6">
      <c r="D872"/>
      <c r="E872"/>
      <c r="F872"/>
    </row>
    <row r="873" spans="4:6">
      <c r="D873"/>
      <c r="E873"/>
      <c r="F873"/>
    </row>
    <row r="874" spans="4:6">
      <c r="D874"/>
      <c r="E874"/>
      <c r="F874"/>
    </row>
    <row r="875" spans="4:6">
      <c r="D875"/>
      <c r="E875"/>
      <c r="F875"/>
    </row>
    <row r="876" spans="4:6">
      <c r="D876"/>
      <c r="E876"/>
      <c r="F876"/>
    </row>
    <row r="877" spans="4:6">
      <c r="D877"/>
      <c r="E877"/>
      <c r="F877"/>
    </row>
    <row r="878" spans="4:6">
      <c r="D878"/>
      <c r="E878"/>
      <c r="F878"/>
    </row>
    <row r="879" spans="4:6">
      <c r="D879"/>
      <c r="E879"/>
      <c r="F879"/>
    </row>
    <row r="880" spans="4:6">
      <c r="D880"/>
      <c r="E880"/>
      <c r="F880"/>
    </row>
    <row r="881" spans="4:6">
      <c r="D881"/>
      <c r="E881"/>
      <c r="F881"/>
    </row>
    <row r="882" spans="4:6">
      <c r="D882"/>
      <c r="E882"/>
      <c r="F882"/>
    </row>
    <row r="883" spans="4:6">
      <c r="D883"/>
      <c r="E883"/>
      <c r="F883"/>
    </row>
    <row r="884" spans="4:6">
      <c r="D884"/>
      <c r="E884"/>
      <c r="F884"/>
    </row>
    <row r="885" spans="4:6">
      <c r="D885"/>
      <c r="E885"/>
      <c r="F885"/>
    </row>
    <row r="886" spans="4:6">
      <c r="D886"/>
      <c r="E886"/>
      <c r="F886"/>
    </row>
    <row r="887" spans="4:6">
      <c r="D887"/>
      <c r="E887"/>
      <c r="F887"/>
    </row>
    <row r="888" spans="4:6">
      <c r="D888"/>
      <c r="E888"/>
      <c r="F888"/>
    </row>
    <row r="889" spans="4:6">
      <c r="D889"/>
      <c r="E889"/>
      <c r="F889"/>
    </row>
    <row r="890" spans="4:6">
      <c r="D890"/>
      <c r="E890"/>
      <c r="F890"/>
    </row>
    <row r="891" spans="4:6">
      <c r="D891"/>
      <c r="E891"/>
      <c r="F891"/>
    </row>
    <row r="892" spans="4:6">
      <c r="D892"/>
      <c r="E892"/>
      <c r="F892"/>
    </row>
    <row r="893" spans="4:6">
      <c r="D893"/>
      <c r="E893"/>
      <c r="F893"/>
    </row>
    <row r="894" spans="4:6">
      <c r="D894"/>
      <c r="E894"/>
      <c r="F894"/>
    </row>
    <row r="895" spans="4:6">
      <c r="D895"/>
      <c r="E895"/>
      <c r="F895"/>
    </row>
    <row r="896" spans="4:6">
      <c r="D896"/>
      <c r="E896"/>
      <c r="F896"/>
    </row>
    <row r="897" spans="4:6">
      <c r="D897"/>
      <c r="E897"/>
      <c r="F897"/>
    </row>
    <row r="898" spans="4:6">
      <c r="D898"/>
      <c r="E898"/>
      <c r="F898"/>
    </row>
    <row r="899" spans="4:6">
      <c r="D899"/>
      <c r="E899"/>
      <c r="F899"/>
    </row>
    <row r="900" spans="4:6">
      <c r="D900"/>
      <c r="E900"/>
      <c r="F900"/>
    </row>
    <row r="901" spans="4:6">
      <c r="D901"/>
      <c r="E901"/>
      <c r="F901"/>
    </row>
    <row r="902" spans="4:6">
      <c r="D902"/>
      <c r="E902"/>
      <c r="F902"/>
    </row>
    <row r="903" spans="4:6">
      <c r="D903"/>
      <c r="E903"/>
      <c r="F903"/>
    </row>
    <row r="904" spans="4:6">
      <c r="D904"/>
      <c r="E904"/>
      <c r="F904"/>
    </row>
    <row r="905" spans="4:6">
      <c r="D905"/>
      <c r="E905"/>
      <c r="F905"/>
    </row>
    <row r="906" spans="4:6">
      <c r="D906"/>
      <c r="E906"/>
      <c r="F906"/>
    </row>
    <row r="907" spans="4:6">
      <c r="D907"/>
      <c r="E907"/>
      <c r="F907"/>
    </row>
    <row r="908" spans="4:6">
      <c r="D908"/>
      <c r="E908"/>
      <c r="F908"/>
    </row>
    <row r="909" spans="4:6">
      <c r="D909"/>
      <c r="E909"/>
      <c r="F909"/>
    </row>
    <row r="910" spans="4:6">
      <c r="D910"/>
      <c r="E910"/>
      <c r="F910"/>
    </row>
    <row r="911" spans="4:6">
      <c r="D911"/>
      <c r="E911"/>
      <c r="F911"/>
    </row>
    <row r="912" spans="4:6">
      <c r="D912"/>
      <c r="E912"/>
      <c r="F912"/>
    </row>
    <row r="913" spans="4:6">
      <c r="D913"/>
      <c r="E913"/>
      <c r="F913"/>
    </row>
    <row r="914" spans="4:6">
      <c r="D914"/>
      <c r="E914"/>
      <c r="F914"/>
    </row>
    <row r="915" spans="4:6">
      <c r="D915"/>
      <c r="E915"/>
      <c r="F915"/>
    </row>
    <row r="916" spans="4:6">
      <c r="D916"/>
      <c r="E916"/>
      <c r="F916"/>
    </row>
    <row r="917" spans="4:6">
      <c r="D917"/>
      <c r="E917"/>
      <c r="F917"/>
    </row>
    <row r="918" spans="4:6">
      <c r="D918"/>
      <c r="E918"/>
      <c r="F918"/>
    </row>
    <row r="919" spans="4:6">
      <c r="D919"/>
      <c r="E919"/>
      <c r="F919"/>
    </row>
    <row r="920" spans="4:6">
      <c r="D920"/>
      <c r="E920"/>
      <c r="F920"/>
    </row>
    <row r="921" spans="4:6">
      <c r="D921"/>
      <c r="E921"/>
      <c r="F921"/>
    </row>
    <row r="922" spans="4:6">
      <c r="D922"/>
      <c r="E922"/>
      <c r="F922"/>
    </row>
    <row r="923" spans="4:6">
      <c r="D923"/>
      <c r="E923"/>
      <c r="F923"/>
    </row>
    <row r="924" spans="4:6">
      <c r="D924"/>
      <c r="E924"/>
      <c r="F924"/>
    </row>
    <row r="925" spans="4:6">
      <c r="D925"/>
      <c r="E925"/>
      <c r="F925"/>
    </row>
    <row r="926" spans="4:6">
      <c r="D926"/>
      <c r="E926"/>
      <c r="F926"/>
    </row>
    <row r="927" spans="4:6">
      <c r="D927"/>
      <c r="E927"/>
      <c r="F927"/>
    </row>
    <row r="928" spans="4:6">
      <c r="D928"/>
      <c r="E928"/>
      <c r="F928"/>
    </row>
    <row r="929" spans="4:6">
      <c r="D929"/>
      <c r="E929"/>
      <c r="F929"/>
    </row>
    <row r="930" spans="4:6">
      <c r="D930"/>
      <c r="E930"/>
      <c r="F930"/>
    </row>
    <row r="931" spans="4:6">
      <c r="D931"/>
      <c r="E931"/>
      <c r="F931"/>
    </row>
    <row r="932" spans="4:6">
      <c r="D932"/>
      <c r="E932"/>
      <c r="F932"/>
    </row>
    <row r="933" spans="4:6">
      <c r="D933"/>
      <c r="E933"/>
      <c r="F933"/>
    </row>
    <row r="934" spans="4:6">
      <c r="D934"/>
      <c r="E934"/>
      <c r="F934"/>
    </row>
    <row r="935" spans="4:6">
      <c r="D935"/>
      <c r="E935"/>
      <c r="F935"/>
    </row>
    <row r="936" spans="4:6">
      <c r="D936"/>
      <c r="E936"/>
      <c r="F936"/>
    </row>
    <row r="937" spans="4:6">
      <c r="D937"/>
      <c r="E937"/>
      <c r="F937"/>
    </row>
    <row r="938" spans="4:6">
      <c r="D938"/>
      <c r="E938"/>
      <c r="F938"/>
    </row>
    <row r="939" spans="4:6">
      <c r="D939"/>
      <c r="E939"/>
      <c r="F939"/>
    </row>
    <row r="940" spans="4:6">
      <c r="D940"/>
      <c r="E940"/>
      <c r="F940"/>
    </row>
    <row r="941" spans="4:6">
      <c r="D941"/>
      <c r="E941"/>
      <c r="F941"/>
    </row>
    <row r="942" spans="4:6">
      <c r="D942"/>
      <c r="E942"/>
      <c r="F942"/>
    </row>
    <row r="943" spans="4:6">
      <c r="D943"/>
      <c r="E943"/>
      <c r="F943"/>
    </row>
    <row r="944" spans="4:6">
      <c r="D944"/>
      <c r="E944"/>
      <c r="F944"/>
    </row>
    <row r="945" spans="4:6">
      <c r="D945"/>
      <c r="E945"/>
      <c r="F945"/>
    </row>
    <row r="946" spans="4:6">
      <c r="D946"/>
      <c r="E946"/>
      <c r="F946"/>
    </row>
    <row r="947" spans="4:6">
      <c r="D947"/>
      <c r="E947"/>
      <c r="F947"/>
    </row>
    <row r="948" spans="4:6">
      <c r="D948"/>
      <c r="E948"/>
      <c r="F948"/>
    </row>
    <row r="949" spans="4:6">
      <c r="D949"/>
      <c r="E949"/>
      <c r="F949"/>
    </row>
    <row r="950" spans="4:6">
      <c r="D950"/>
      <c r="E950"/>
      <c r="F950"/>
    </row>
    <row r="951" spans="4:6">
      <c r="D951"/>
      <c r="E951"/>
      <c r="F951"/>
    </row>
    <row r="952" spans="4:6">
      <c r="D952"/>
      <c r="E952"/>
      <c r="F952"/>
    </row>
    <row r="953" spans="4:6">
      <c r="D953"/>
      <c r="E953"/>
      <c r="F953"/>
    </row>
    <row r="954" spans="4:6">
      <c r="D954"/>
      <c r="E954"/>
      <c r="F954"/>
    </row>
    <row r="955" spans="4:6">
      <c r="D955"/>
      <c r="E955"/>
      <c r="F955"/>
    </row>
    <row r="956" spans="4:6">
      <c r="D956"/>
      <c r="E956"/>
      <c r="F956"/>
    </row>
    <row r="957" spans="4:6">
      <c r="D957"/>
      <c r="E957"/>
      <c r="F957"/>
    </row>
    <row r="958" spans="4:6">
      <c r="D958"/>
      <c r="E958"/>
      <c r="F958"/>
    </row>
    <row r="959" spans="4:6">
      <c r="D959"/>
      <c r="E959"/>
      <c r="F959"/>
    </row>
    <row r="960" spans="4:6">
      <c r="D960"/>
      <c r="E960"/>
      <c r="F960"/>
    </row>
    <row r="961" spans="4:6">
      <c r="D961"/>
      <c r="E961"/>
      <c r="F961"/>
    </row>
    <row r="962" spans="4:6">
      <c r="D962"/>
      <c r="E962"/>
      <c r="F962"/>
    </row>
    <row r="963" spans="4:6">
      <c r="D963"/>
      <c r="E963"/>
      <c r="F963"/>
    </row>
    <row r="964" spans="4:6">
      <c r="D964"/>
      <c r="E964"/>
      <c r="F964"/>
    </row>
    <row r="965" spans="4:6">
      <c r="D965"/>
      <c r="E965"/>
      <c r="F965"/>
    </row>
    <row r="966" spans="4:6">
      <c r="D966"/>
      <c r="E966"/>
      <c r="F966"/>
    </row>
    <row r="967" spans="4:6">
      <c r="D967"/>
      <c r="E967"/>
      <c r="F967"/>
    </row>
    <row r="968" spans="4:6">
      <c r="D968"/>
      <c r="E968"/>
      <c r="F968"/>
    </row>
    <row r="969" spans="4:6">
      <c r="D969"/>
      <c r="E969"/>
      <c r="F969"/>
    </row>
    <row r="970" spans="4:6">
      <c r="D970"/>
      <c r="E970"/>
      <c r="F970"/>
    </row>
    <row r="971" spans="4:6">
      <c r="D971"/>
      <c r="E971"/>
      <c r="F971"/>
    </row>
    <row r="972" spans="4:6">
      <c r="D972"/>
      <c r="E972"/>
      <c r="F972"/>
    </row>
    <row r="973" spans="4:6">
      <c r="D973"/>
      <c r="E973"/>
      <c r="F973"/>
    </row>
    <row r="974" spans="4:6">
      <c r="D974"/>
      <c r="E974"/>
      <c r="F974"/>
    </row>
    <row r="975" spans="4:6">
      <c r="D975"/>
      <c r="E975"/>
      <c r="F975"/>
    </row>
    <row r="976" spans="4:6">
      <c r="D976"/>
      <c r="E976"/>
      <c r="F976"/>
    </row>
    <row r="977" spans="4:6">
      <c r="D977"/>
      <c r="E977"/>
      <c r="F977"/>
    </row>
    <row r="978" spans="4:6">
      <c r="D978"/>
      <c r="E978"/>
      <c r="F978"/>
    </row>
    <row r="979" spans="4:6">
      <c r="D979"/>
      <c r="E979"/>
      <c r="F979"/>
    </row>
    <row r="980" spans="4:6">
      <c r="D980"/>
      <c r="E980"/>
      <c r="F980"/>
    </row>
    <row r="981" spans="4:6">
      <c r="D981"/>
      <c r="E981"/>
      <c r="F981"/>
    </row>
    <row r="982" spans="4:6">
      <c r="D982"/>
      <c r="E982"/>
      <c r="F982"/>
    </row>
    <row r="983" spans="4:6">
      <c r="D983"/>
      <c r="E983"/>
      <c r="F983"/>
    </row>
    <row r="984" spans="4:6">
      <c r="D984"/>
      <c r="E984"/>
      <c r="F984"/>
    </row>
    <row r="985" spans="4:6">
      <c r="D985"/>
      <c r="E985"/>
      <c r="F985"/>
    </row>
    <row r="986" spans="4:6">
      <c r="D986"/>
      <c r="E986"/>
      <c r="F986"/>
    </row>
    <row r="987" spans="4:6">
      <c r="D987"/>
      <c r="E987"/>
      <c r="F987"/>
    </row>
    <row r="988" spans="4:6">
      <c r="D988"/>
      <c r="E988"/>
      <c r="F988"/>
    </row>
    <row r="989" spans="4:6">
      <c r="D989"/>
      <c r="E989"/>
      <c r="F989"/>
    </row>
    <row r="990" spans="4:6">
      <c r="D990"/>
      <c r="E990"/>
      <c r="F990"/>
    </row>
    <row r="991" spans="4:6">
      <c r="D991"/>
      <c r="E991"/>
      <c r="F991"/>
    </row>
    <row r="992" spans="4:6">
      <c r="D992"/>
      <c r="E992"/>
      <c r="F992"/>
    </row>
    <row r="993" spans="4:6">
      <c r="D993"/>
      <c r="E993"/>
      <c r="F993"/>
    </row>
    <row r="994" spans="4:6">
      <c r="D994"/>
      <c r="E994"/>
      <c r="F994"/>
    </row>
    <row r="995" spans="4:6">
      <c r="D995"/>
      <c r="E995"/>
      <c r="F995"/>
    </row>
    <row r="996" spans="4:6">
      <c r="D996"/>
      <c r="E996"/>
      <c r="F996"/>
    </row>
    <row r="997" spans="4:6">
      <c r="D997"/>
      <c r="E997"/>
      <c r="F997"/>
    </row>
    <row r="998" spans="4:6">
      <c r="D998"/>
      <c r="E998"/>
      <c r="F998"/>
    </row>
    <row r="999" spans="4:6">
      <c r="D999"/>
      <c r="E999"/>
      <c r="F999"/>
    </row>
    <row r="1000" spans="4:6">
      <c r="D1000"/>
      <c r="E1000"/>
      <c r="F1000"/>
    </row>
    <row r="1001" spans="4:6">
      <c r="D1001"/>
      <c r="E1001"/>
      <c r="F1001"/>
    </row>
    <row r="1002" spans="4:6">
      <c r="D1002"/>
      <c r="E1002"/>
      <c r="F1002"/>
    </row>
    <row r="1003" spans="4:6">
      <c r="D1003"/>
      <c r="E1003"/>
      <c r="F1003"/>
    </row>
    <row r="1004" spans="4:6">
      <c r="D1004"/>
      <c r="E1004"/>
      <c r="F1004"/>
    </row>
    <row r="1005" spans="4:6">
      <c r="D1005"/>
      <c r="E1005"/>
      <c r="F1005"/>
    </row>
    <row r="1006" spans="4:6">
      <c r="D1006"/>
      <c r="E1006"/>
      <c r="F1006"/>
    </row>
    <row r="1007" spans="4:6">
      <c r="D1007"/>
      <c r="E1007"/>
      <c r="F1007"/>
    </row>
    <row r="1008" spans="4:6">
      <c r="D1008"/>
      <c r="E1008"/>
      <c r="F1008"/>
    </row>
    <row r="1009" spans="4:6">
      <c r="D1009"/>
      <c r="E1009"/>
      <c r="F1009"/>
    </row>
    <row r="1010" spans="4:6">
      <c r="D1010"/>
      <c r="E1010"/>
      <c r="F1010"/>
    </row>
    <row r="1011" spans="4:6">
      <c r="D1011"/>
      <c r="E1011"/>
      <c r="F1011"/>
    </row>
    <row r="1012" spans="4:6">
      <c r="D1012"/>
      <c r="E1012"/>
      <c r="F1012"/>
    </row>
    <row r="1013" spans="4:6">
      <c r="D1013"/>
      <c r="E1013"/>
      <c r="F1013"/>
    </row>
    <row r="1014" spans="4:6">
      <c r="D1014"/>
      <c r="E1014"/>
      <c r="F1014"/>
    </row>
    <row r="1015" spans="4:6">
      <c r="D1015"/>
      <c r="E1015"/>
      <c r="F1015"/>
    </row>
    <row r="1016" spans="4:6">
      <c r="D1016"/>
      <c r="E1016"/>
      <c r="F1016"/>
    </row>
    <row r="1017" spans="4:6">
      <c r="D1017"/>
      <c r="E1017"/>
      <c r="F1017"/>
    </row>
    <row r="1018" spans="4:6">
      <c r="D1018"/>
      <c r="E1018"/>
      <c r="F1018"/>
    </row>
    <row r="1019" spans="4:6">
      <c r="D1019"/>
      <c r="E1019"/>
      <c r="F1019"/>
    </row>
    <row r="1020" spans="4:6">
      <c r="D1020"/>
      <c r="E1020"/>
      <c r="F1020"/>
    </row>
    <row r="1021" spans="4:6">
      <c r="D1021"/>
      <c r="E1021"/>
      <c r="F1021"/>
    </row>
    <row r="1022" spans="4:6">
      <c r="D1022"/>
      <c r="E1022"/>
      <c r="F1022"/>
    </row>
    <row r="1023" spans="4:6">
      <c r="D1023"/>
      <c r="E1023"/>
      <c r="F1023"/>
    </row>
    <row r="1024" spans="4:6">
      <c r="D1024"/>
      <c r="E1024"/>
      <c r="F1024"/>
    </row>
    <row r="1025" spans="4:6">
      <c r="D1025"/>
      <c r="E1025"/>
      <c r="F1025"/>
    </row>
    <row r="1026" spans="4:6">
      <c r="D1026"/>
      <c r="E1026"/>
      <c r="F1026"/>
    </row>
    <row r="1027" spans="4:6">
      <c r="D1027"/>
      <c r="E1027"/>
      <c r="F1027"/>
    </row>
    <row r="1028" spans="4:6">
      <c r="D1028"/>
      <c r="E1028"/>
      <c r="F1028"/>
    </row>
    <row r="1029" spans="4:6">
      <c r="D1029"/>
      <c r="E1029"/>
      <c r="F1029"/>
    </row>
    <row r="1030" spans="4:6">
      <c r="D1030"/>
      <c r="E1030"/>
      <c r="F1030"/>
    </row>
    <row r="1031" spans="4:6">
      <c r="D1031"/>
      <c r="E1031"/>
      <c r="F1031"/>
    </row>
    <row r="1032" spans="4:6">
      <c r="D1032"/>
      <c r="E1032"/>
      <c r="F1032"/>
    </row>
    <row r="1033" spans="4:6">
      <c r="D1033"/>
      <c r="E1033"/>
      <c r="F1033"/>
    </row>
    <row r="1034" spans="4:6">
      <c r="D1034"/>
      <c r="E1034"/>
      <c r="F1034"/>
    </row>
    <row r="1035" spans="4:6">
      <c r="D1035"/>
      <c r="E1035"/>
      <c r="F1035"/>
    </row>
    <row r="1036" spans="4:6">
      <c r="D1036"/>
      <c r="E1036"/>
      <c r="F1036"/>
    </row>
    <row r="1037" spans="4:6">
      <c r="D1037"/>
      <c r="E1037"/>
      <c r="F1037"/>
    </row>
    <row r="1038" spans="4:6">
      <c r="D1038"/>
      <c r="E1038"/>
      <c r="F1038"/>
    </row>
    <row r="1039" spans="4:6">
      <c r="D1039"/>
      <c r="E1039"/>
      <c r="F1039"/>
    </row>
    <row r="1040" spans="4:6">
      <c r="D1040"/>
      <c r="E1040"/>
      <c r="F1040"/>
    </row>
    <row r="1041" spans="4:6">
      <c r="D1041"/>
      <c r="E1041"/>
      <c r="F1041"/>
    </row>
    <row r="1042" spans="4:6">
      <c r="D1042"/>
      <c r="E1042"/>
      <c r="F1042"/>
    </row>
    <row r="1043" spans="4:6">
      <c r="D1043"/>
      <c r="E1043"/>
      <c r="F1043"/>
    </row>
    <row r="1044" spans="4:6">
      <c r="D1044"/>
      <c r="E1044"/>
      <c r="F1044"/>
    </row>
    <row r="1045" spans="4:6">
      <c r="D1045"/>
      <c r="E1045"/>
      <c r="F1045"/>
    </row>
    <row r="1046" spans="4:6">
      <c r="D1046"/>
      <c r="E1046"/>
      <c r="F1046"/>
    </row>
    <row r="1047" spans="4:6">
      <c r="D1047"/>
      <c r="E1047"/>
      <c r="F1047"/>
    </row>
    <row r="1048" spans="4:6">
      <c r="D1048"/>
      <c r="E1048"/>
      <c r="F1048"/>
    </row>
    <row r="1049" spans="4:6">
      <c r="D1049"/>
      <c r="E1049"/>
      <c r="F1049"/>
    </row>
    <row r="1050" spans="4:6">
      <c r="D1050"/>
      <c r="E1050"/>
      <c r="F1050"/>
    </row>
    <row r="1051" spans="4:6">
      <c r="D1051"/>
      <c r="E1051"/>
      <c r="F1051"/>
    </row>
    <row r="1052" spans="4:6">
      <c r="D1052"/>
      <c r="E1052"/>
      <c r="F1052"/>
    </row>
    <row r="1053" spans="4:6">
      <c r="D1053"/>
      <c r="E1053"/>
      <c r="F1053"/>
    </row>
    <row r="1054" spans="4:6">
      <c r="D1054"/>
      <c r="E1054"/>
      <c r="F1054"/>
    </row>
    <row r="1055" spans="4:6">
      <c r="D1055"/>
      <c r="E1055"/>
      <c r="F1055"/>
    </row>
    <row r="1056" spans="4:6">
      <c r="D1056"/>
      <c r="E1056"/>
      <c r="F1056"/>
    </row>
    <row r="1057" spans="4:6">
      <c r="D1057"/>
      <c r="E1057"/>
      <c r="F1057"/>
    </row>
    <row r="1058" spans="4:6">
      <c r="D1058"/>
      <c r="E1058"/>
      <c r="F1058"/>
    </row>
    <row r="1059" spans="4:6">
      <c r="D1059"/>
      <c r="E1059"/>
      <c r="F1059"/>
    </row>
    <row r="1060" spans="4:6">
      <c r="D1060"/>
      <c r="E1060"/>
      <c r="F1060"/>
    </row>
    <row r="1061" spans="4:6">
      <c r="D1061"/>
      <c r="E1061"/>
      <c r="F1061"/>
    </row>
    <row r="1062" spans="4:6">
      <c r="D1062"/>
      <c r="E1062"/>
      <c r="F1062"/>
    </row>
    <row r="1063" spans="4:6">
      <c r="D1063"/>
      <c r="E1063"/>
      <c r="F1063"/>
    </row>
    <row r="1064" spans="4:6">
      <c r="D1064"/>
      <c r="E1064"/>
      <c r="F1064"/>
    </row>
    <row r="1065" spans="4:6">
      <c r="D1065"/>
      <c r="E1065"/>
      <c r="F1065"/>
    </row>
    <row r="1066" spans="4:6">
      <c r="D1066"/>
      <c r="E1066"/>
      <c r="F1066"/>
    </row>
    <row r="1067" spans="4:6">
      <c r="D1067"/>
      <c r="E1067"/>
      <c r="F1067"/>
    </row>
    <row r="1068" spans="4:6">
      <c r="D1068"/>
      <c r="E1068"/>
      <c r="F1068"/>
    </row>
    <row r="1069" spans="4:6">
      <c r="D1069"/>
      <c r="E1069"/>
      <c r="F1069"/>
    </row>
    <row r="1070" spans="4:6">
      <c r="D1070"/>
      <c r="E1070"/>
      <c r="F1070"/>
    </row>
    <row r="1071" spans="4:6">
      <c r="D1071"/>
      <c r="E1071"/>
      <c r="F1071"/>
    </row>
    <row r="1072" spans="4:6">
      <c r="D1072"/>
      <c r="E1072"/>
      <c r="F1072"/>
    </row>
    <row r="1073" spans="4:6">
      <c r="D1073"/>
      <c r="E1073"/>
      <c r="F1073"/>
    </row>
    <row r="1074" spans="4:6">
      <c r="D1074"/>
      <c r="E1074"/>
      <c r="F1074"/>
    </row>
    <row r="1075" spans="4:6">
      <c r="D1075"/>
      <c r="E1075"/>
      <c r="F1075"/>
    </row>
    <row r="1076" spans="4:6">
      <c r="D1076"/>
      <c r="E1076"/>
      <c r="F1076"/>
    </row>
    <row r="1077" spans="4:6">
      <c r="D1077"/>
      <c r="E1077"/>
      <c r="F1077"/>
    </row>
    <row r="1078" spans="4:6">
      <c r="D1078"/>
      <c r="E1078"/>
      <c r="F1078"/>
    </row>
    <row r="1079" spans="4:6">
      <c r="D1079"/>
      <c r="E1079"/>
      <c r="F1079"/>
    </row>
    <row r="1080" spans="4:6">
      <c r="D1080"/>
      <c r="E1080"/>
      <c r="F1080"/>
    </row>
    <row r="1081" spans="4:6">
      <c r="D1081"/>
      <c r="E1081"/>
      <c r="F1081"/>
    </row>
    <row r="1082" spans="4:6">
      <c r="D1082"/>
      <c r="E1082"/>
      <c r="F1082"/>
    </row>
    <row r="1083" spans="4:6">
      <c r="D1083"/>
      <c r="E1083"/>
      <c r="F1083"/>
    </row>
    <row r="1084" spans="4:6">
      <c r="D1084"/>
      <c r="E1084"/>
      <c r="F1084"/>
    </row>
    <row r="1085" spans="4:6">
      <c r="D1085"/>
      <c r="E1085"/>
      <c r="F1085"/>
    </row>
    <row r="1086" spans="4:6">
      <c r="D1086"/>
      <c r="E1086"/>
      <c r="F1086"/>
    </row>
    <row r="1087" spans="4:6">
      <c r="D1087"/>
      <c r="E1087"/>
      <c r="F1087"/>
    </row>
    <row r="1088" spans="4:6">
      <c r="D1088"/>
      <c r="E1088"/>
      <c r="F1088"/>
    </row>
    <row r="1089" spans="4:6">
      <c r="D1089"/>
      <c r="E1089"/>
      <c r="F1089"/>
    </row>
    <row r="1090" spans="4:6">
      <c r="D1090"/>
      <c r="E1090"/>
      <c r="F1090"/>
    </row>
    <row r="1091" spans="4:6">
      <c r="D1091"/>
      <c r="E1091"/>
      <c r="F1091"/>
    </row>
    <row r="1092" spans="4:6">
      <c r="D1092"/>
      <c r="E1092"/>
      <c r="F1092"/>
    </row>
    <row r="1093" spans="4:6">
      <c r="D1093"/>
      <c r="E1093"/>
      <c r="F1093"/>
    </row>
    <row r="1094" spans="4:6">
      <c r="D1094"/>
      <c r="E1094"/>
      <c r="F1094"/>
    </row>
    <row r="1095" spans="4:6">
      <c r="D1095"/>
      <c r="E1095"/>
      <c r="F1095"/>
    </row>
    <row r="1096" spans="4:6">
      <c r="D1096"/>
      <c r="E1096"/>
      <c r="F1096"/>
    </row>
    <row r="1097" spans="4:6">
      <c r="D1097"/>
      <c r="E1097"/>
      <c r="F1097"/>
    </row>
    <row r="1098" spans="4:6">
      <c r="D1098"/>
      <c r="E1098"/>
      <c r="F1098"/>
    </row>
    <row r="1099" spans="4:6">
      <c r="D1099"/>
      <c r="E1099"/>
      <c r="F1099"/>
    </row>
    <row r="1100" spans="4:6">
      <c r="D1100"/>
      <c r="E1100"/>
      <c r="F1100"/>
    </row>
    <row r="1101" spans="4:6">
      <c r="D1101"/>
      <c r="E1101"/>
      <c r="F1101"/>
    </row>
    <row r="1102" spans="4:6">
      <c r="D1102"/>
      <c r="E1102"/>
      <c r="F1102"/>
    </row>
    <row r="1103" spans="4:6">
      <c r="D1103"/>
      <c r="E1103"/>
      <c r="F1103"/>
    </row>
    <row r="1104" spans="4:6">
      <c r="D1104"/>
      <c r="E1104"/>
      <c r="F1104"/>
    </row>
  </sheetData>
  <mergeCells count="1">
    <mergeCell ref="B2:F2"/>
  </mergeCells>
  <phoneticPr fontId="22" type="noConversion"/>
  <pageMargins left="0.70866141732283472" right="0.70866141732283472" top="0.74803149606299213" bottom="0.74803149606299213" header="0.31496062992125984" footer="0.31496062992125984"/>
  <pageSetup paperSize="9" fitToHeight="0" orientation="portrait" horizontalDpi="360" verticalDpi="360" r:id="rId2"/>
  <headerFooter>
    <oddHeader>&amp;CStatistiques factures fournisseurs</oddHeader>
    <oddFooter>&amp;L&amp;D&amp;C&amp;F&amp;RPage &amp;P de &amp;N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8" r:id="rId5" name="Button 2">
              <controlPr defaultSize="0" print="0" autoFill="0" autoPict="0" macro="[0]!majTDCFF">
                <anchor moveWithCells="1">
                  <from>
                    <xdr:col>9</xdr:col>
                    <xdr:colOff>0</xdr:colOff>
                    <xdr:row>6</xdr:row>
                    <xdr:rowOff>82550</xdr:rowOff>
                  </from>
                  <to>
                    <xdr:col>10</xdr:col>
                    <xdr:colOff>425450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print="0" autoFill="0" autoPict="0" macro="[0]!btnExporterPDFTCDFacturesFournisseurs">
                <anchor moveWithCells="1">
                  <from>
                    <xdr:col>9</xdr:col>
                    <xdr:colOff>0</xdr:colOff>
                    <xdr:row>9</xdr:row>
                    <xdr:rowOff>12700</xdr:rowOff>
                  </from>
                  <to>
                    <xdr:col>10</xdr:col>
                    <xdr:colOff>425450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O331"/>
  <sheetViews>
    <sheetView zoomScaleNormal="100" workbookViewId="0">
      <pane xSplit="4" ySplit="1" topLeftCell="F47" activePane="bottomRight" state="frozen"/>
      <selection pane="topRight" activeCell="D1" sqref="D1"/>
      <selection pane="bottomLeft" activeCell="A2" sqref="A2"/>
      <selection pane="bottomRight" activeCell="G68" sqref="G68"/>
    </sheetView>
  </sheetViews>
  <sheetFormatPr baseColWidth="10" defaultRowHeight="14.5"/>
  <cols>
    <col min="1" max="1" width="44.81640625" bestFit="1" customWidth="1"/>
    <col min="2" max="2" width="8.26953125" customWidth="1"/>
    <col min="4" max="4" width="11.453125" style="4"/>
    <col min="5" max="5" width="5" customWidth="1"/>
    <col min="6" max="14" width="14.26953125" style="4" bestFit="1" customWidth="1"/>
    <col min="15" max="15" width="15.26953125" style="4" bestFit="1" customWidth="1"/>
  </cols>
  <sheetData>
    <row r="1" spans="1:15" s="203" customFormat="1">
      <c r="A1" s="203" t="s">
        <v>386</v>
      </c>
      <c r="B1" s="203" t="s">
        <v>1868</v>
      </c>
      <c r="C1" s="203" t="s">
        <v>1571</v>
      </c>
      <c r="D1" s="387" t="s">
        <v>758</v>
      </c>
      <c r="F1" s="387" t="s">
        <v>1858</v>
      </c>
      <c r="G1" s="387" t="s">
        <v>183</v>
      </c>
      <c r="H1" s="387" t="s">
        <v>186</v>
      </c>
      <c r="I1" s="387" t="s">
        <v>1572</v>
      </c>
      <c r="J1" s="387" t="s">
        <v>1573</v>
      </c>
      <c r="K1" s="387" t="s">
        <v>1574</v>
      </c>
      <c r="L1" s="387" t="s">
        <v>1575</v>
      </c>
      <c r="M1" s="387" t="s">
        <v>1576</v>
      </c>
      <c r="N1" s="387" t="s">
        <v>1577</v>
      </c>
      <c r="O1" s="387" t="s">
        <v>1578</v>
      </c>
    </row>
    <row r="2" spans="1:15">
      <c r="A2" t="s">
        <v>1729</v>
      </c>
      <c r="F2" s="4">
        <v>2</v>
      </c>
      <c r="G2" s="4">
        <v>2.2000000000000002</v>
      </c>
      <c r="H2" s="4">
        <v>1.8</v>
      </c>
      <c r="I2" s="4">
        <v>1.75</v>
      </c>
      <c r="J2" s="4">
        <v>2</v>
      </c>
      <c r="K2" s="4">
        <v>2.2000000000000002</v>
      </c>
      <c r="L2" s="4">
        <v>2</v>
      </c>
      <c r="M2" s="4">
        <v>2.2999999999999998</v>
      </c>
      <c r="N2" s="4">
        <v>1.6</v>
      </c>
      <c r="O2" s="4">
        <v>2</v>
      </c>
    </row>
    <row r="3" spans="1:15">
      <c r="A3" t="s">
        <v>1729</v>
      </c>
    </row>
    <row r="4" spans="1:15">
      <c r="A4" t="s">
        <v>1704</v>
      </c>
    </row>
    <row r="5" spans="1:15">
      <c r="A5" t="s">
        <v>1785</v>
      </c>
    </row>
    <row r="6" spans="1:15">
      <c r="A6" t="s">
        <v>1864</v>
      </c>
      <c r="F6" s="4">
        <v>4.91</v>
      </c>
      <c r="G6" s="4">
        <v>4.45</v>
      </c>
    </row>
    <row r="7" spans="1:15">
      <c r="A7" t="s">
        <v>1867</v>
      </c>
      <c r="B7">
        <v>10</v>
      </c>
      <c r="F7" s="4">
        <v>11.5</v>
      </c>
    </row>
    <row r="8" spans="1:15">
      <c r="A8" t="s">
        <v>1845</v>
      </c>
      <c r="G8" s="4">
        <v>13.97</v>
      </c>
    </row>
    <row r="9" spans="1:15">
      <c r="A9" t="s">
        <v>1861</v>
      </c>
      <c r="F9" s="4">
        <v>15.55</v>
      </c>
    </row>
    <row r="10" spans="1:15">
      <c r="A10" t="s">
        <v>1860</v>
      </c>
      <c r="F10" s="4">
        <v>14.03</v>
      </c>
    </row>
    <row r="11" spans="1:15">
      <c r="A11" t="s">
        <v>1862</v>
      </c>
      <c r="F11" s="4">
        <v>5.27</v>
      </c>
    </row>
    <row r="12" spans="1:15">
      <c r="A12" t="s">
        <v>1863</v>
      </c>
      <c r="F12" s="4">
        <v>7.98</v>
      </c>
    </row>
    <row r="13" spans="1:15">
      <c r="A13" t="s">
        <v>1882</v>
      </c>
      <c r="G13" s="4">
        <v>6.35</v>
      </c>
    </row>
    <row r="14" spans="1:15">
      <c r="A14" t="s">
        <v>1594</v>
      </c>
      <c r="G14" s="4">
        <v>16.036000000000001</v>
      </c>
    </row>
    <row r="15" spans="1:15">
      <c r="A15" t="s">
        <v>1865</v>
      </c>
      <c r="G15" s="4">
        <v>5.35</v>
      </c>
    </row>
    <row r="16" spans="1:15">
      <c r="A16" t="s">
        <v>1859</v>
      </c>
      <c r="F16" s="4">
        <v>6.96</v>
      </c>
    </row>
    <row r="17" spans="1:7">
      <c r="A17" t="s">
        <v>1857</v>
      </c>
      <c r="F17" s="4">
        <v>2.08</v>
      </c>
      <c r="G17" s="4">
        <v>1.67</v>
      </c>
    </row>
    <row r="18" spans="1:7">
      <c r="A18" t="s">
        <v>1775</v>
      </c>
    </row>
    <row r="19" spans="1:7">
      <c r="A19" t="s">
        <v>1594</v>
      </c>
    </row>
    <row r="20" spans="1:7">
      <c r="A20" t="s">
        <v>1719</v>
      </c>
    </row>
    <row r="21" spans="1:7">
      <c r="A21" t="s">
        <v>1719</v>
      </c>
    </row>
    <row r="22" spans="1:7">
      <c r="A22" t="s">
        <v>1728</v>
      </c>
    </row>
    <row r="23" spans="1:7">
      <c r="A23" t="s">
        <v>1716</v>
      </c>
    </row>
    <row r="24" spans="1:7">
      <c r="A24" t="s">
        <v>1716</v>
      </c>
    </row>
    <row r="25" spans="1:7">
      <c r="A25" t="s">
        <v>1716</v>
      </c>
    </row>
    <row r="26" spans="1:7">
      <c r="A26" t="s">
        <v>1866</v>
      </c>
      <c r="G26" s="4">
        <v>6.88</v>
      </c>
    </row>
    <row r="27" spans="1:7">
      <c r="A27" t="s">
        <v>1752</v>
      </c>
    </row>
    <row r="28" spans="1:7">
      <c r="A28" t="s">
        <v>1880</v>
      </c>
      <c r="G28" s="4">
        <v>8.8800000000000008</v>
      </c>
    </row>
    <row r="29" spans="1:7">
      <c r="A29" t="s">
        <v>1752</v>
      </c>
    </row>
    <row r="30" spans="1:7">
      <c r="A30" t="s">
        <v>1869</v>
      </c>
      <c r="B30">
        <v>30</v>
      </c>
      <c r="F30" s="4">
        <v>0.499</v>
      </c>
    </row>
    <row r="31" spans="1:7">
      <c r="A31" t="s">
        <v>1881</v>
      </c>
      <c r="G31" s="4">
        <v>1.85</v>
      </c>
    </row>
    <row r="32" spans="1:7">
      <c r="A32" t="s">
        <v>1883</v>
      </c>
      <c r="G32" s="4">
        <v>0.62</v>
      </c>
    </row>
    <row r="33" spans="1:7">
      <c r="A33" t="s">
        <v>1718</v>
      </c>
    </row>
    <row r="34" spans="1:7">
      <c r="A34" t="s">
        <v>1727</v>
      </c>
    </row>
    <row r="35" spans="1:7">
      <c r="A35" t="s">
        <v>1725</v>
      </c>
    </row>
    <row r="36" spans="1:7">
      <c r="A36" t="s">
        <v>1725</v>
      </c>
    </row>
    <row r="37" spans="1:7">
      <c r="A37" t="s">
        <v>1731</v>
      </c>
    </row>
    <row r="38" spans="1:7">
      <c r="A38" t="s">
        <v>1625</v>
      </c>
    </row>
    <row r="39" spans="1:7">
      <c r="A39" t="s">
        <v>1879</v>
      </c>
      <c r="G39" s="4">
        <v>3.4</v>
      </c>
    </row>
    <row r="40" spans="1:7">
      <c r="A40" t="s">
        <v>1873</v>
      </c>
      <c r="B40">
        <v>25</v>
      </c>
      <c r="F40" s="4">
        <v>3.34</v>
      </c>
    </row>
    <row r="41" spans="1:7">
      <c r="A41" t="s">
        <v>1788</v>
      </c>
    </row>
    <row r="42" spans="1:7">
      <c r="A42" t="s">
        <v>1874</v>
      </c>
      <c r="B42">
        <v>10</v>
      </c>
      <c r="F42" s="4">
        <v>4.34</v>
      </c>
    </row>
    <row r="43" spans="1:7">
      <c r="A43" t="s">
        <v>1875</v>
      </c>
      <c r="B43">
        <v>1</v>
      </c>
      <c r="F43" s="4">
        <v>5.12</v>
      </c>
    </row>
    <row r="44" spans="1:7">
      <c r="A44" t="s">
        <v>1764</v>
      </c>
    </row>
    <row r="45" spans="1:7">
      <c r="A45" t="s">
        <v>1831</v>
      </c>
      <c r="G45" s="4">
        <v>5.7</v>
      </c>
    </row>
    <row r="46" spans="1:7">
      <c r="A46" t="s">
        <v>1590</v>
      </c>
    </row>
    <row r="47" spans="1:7">
      <c r="A47" t="s">
        <v>1759</v>
      </c>
    </row>
    <row r="48" spans="1:7">
      <c r="A48" t="s">
        <v>1759</v>
      </c>
    </row>
    <row r="49" spans="1:7">
      <c r="A49" t="s">
        <v>1707</v>
      </c>
      <c r="B49">
        <v>6</v>
      </c>
      <c r="F49" s="4">
        <v>1.8</v>
      </c>
    </row>
    <row r="50" spans="1:7">
      <c r="A50" t="s">
        <v>1781</v>
      </c>
    </row>
    <row r="51" spans="1:7">
      <c r="A51" t="s">
        <v>1884</v>
      </c>
      <c r="G51" s="4">
        <v>7.48</v>
      </c>
    </row>
    <row r="52" spans="1:7">
      <c r="A52" t="s">
        <v>1782</v>
      </c>
    </row>
    <row r="53" spans="1:7">
      <c r="A53" t="s">
        <v>1782</v>
      </c>
    </row>
    <row r="54" spans="1:7">
      <c r="A54" t="s">
        <v>1818</v>
      </c>
    </row>
    <row r="55" spans="1:7">
      <c r="A55" t="s">
        <v>1886</v>
      </c>
      <c r="G55" s="4">
        <v>8.19</v>
      </c>
    </row>
    <row r="56" spans="1:7">
      <c r="A56" t="s">
        <v>1887</v>
      </c>
      <c r="G56" s="4">
        <v>9.06</v>
      </c>
    </row>
    <row r="57" spans="1:7">
      <c r="A57" t="s">
        <v>1888</v>
      </c>
      <c r="G57" s="4">
        <v>8.7100000000000009</v>
      </c>
    </row>
    <row r="58" spans="1:7">
      <c r="A58" t="s">
        <v>1783</v>
      </c>
    </row>
    <row r="59" spans="1:7">
      <c r="A59" t="s">
        <v>1783</v>
      </c>
    </row>
    <row r="60" spans="1:7">
      <c r="A60" t="s">
        <v>1885</v>
      </c>
      <c r="G60" s="4">
        <v>9.7100000000000009</v>
      </c>
    </row>
    <row r="61" spans="1:7">
      <c r="A61" t="s">
        <v>1664</v>
      </c>
    </row>
    <row r="62" spans="1:7">
      <c r="A62" t="s">
        <v>1872</v>
      </c>
      <c r="B62">
        <v>1</v>
      </c>
      <c r="F62" s="4">
        <v>2.85</v>
      </c>
    </row>
    <row r="63" spans="1:7">
      <c r="A63" t="s">
        <v>1871</v>
      </c>
      <c r="B63">
        <v>2</v>
      </c>
      <c r="F63" s="4">
        <v>4.4000000000000004</v>
      </c>
    </row>
    <row r="64" spans="1:7">
      <c r="A64" t="s">
        <v>1665</v>
      </c>
    </row>
    <row r="65" spans="1:7">
      <c r="A65" t="s">
        <v>1870</v>
      </c>
      <c r="B65">
        <v>1</v>
      </c>
      <c r="F65" s="4">
        <v>4.21</v>
      </c>
    </row>
    <row r="66" spans="1:7">
      <c r="A66" t="s">
        <v>1876</v>
      </c>
      <c r="B66">
        <v>1</v>
      </c>
      <c r="F66" s="4">
        <v>5.75</v>
      </c>
    </row>
    <row r="67" spans="1:7">
      <c r="A67" t="s">
        <v>1889</v>
      </c>
      <c r="G67" s="4">
        <v>4.46</v>
      </c>
    </row>
    <row r="68" spans="1:7">
      <c r="A68" t="s">
        <v>1877</v>
      </c>
      <c r="B68">
        <v>1</v>
      </c>
      <c r="F68" s="4">
        <v>2.2599999999999998</v>
      </c>
    </row>
    <row r="69" spans="1:7">
      <c r="A69" t="s">
        <v>1626</v>
      </c>
    </row>
    <row r="70" spans="1:7">
      <c r="A70" t="s">
        <v>1851</v>
      </c>
    </row>
    <row r="71" spans="1:7">
      <c r="A71" t="s">
        <v>1703</v>
      </c>
    </row>
    <row r="72" spans="1:7">
      <c r="A72" t="s">
        <v>1674</v>
      </c>
    </row>
    <row r="73" spans="1:7">
      <c r="A73" t="s">
        <v>1675</v>
      </c>
    </row>
    <row r="74" spans="1:7">
      <c r="A74" t="s">
        <v>1676</v>
      </c>
    </row>
    <row r="75" spans="1:7">
      <c r="A75" t="s">
        <v>1757</v>
      </c>
    </row>
    <row r="76" spans="1:7">
      <c r="A76" t="s">
        <v>1757</v>
      </c>
    </row>
    <row r="77" spans="1:7">
      <c r="A77" t="s">
        <v>1758</v>
      </c>
    </row>
    <row r="78" spans="1:7">
      <c r="A78" t="s">
        <v>1823</v>
      </c>
    </row>
    <row r="79" spans="1:7">
      <c r="A79" t="s">
        <v>1666</v>
      </c>
    </row>
    <row r="80" spans="1:7">
      <c r="A80" t="s">
        <v>1667</v>
      </c>
    </row>
    <row r="81" spans="1:1">
      <c r="A81" t="s">
        <v>1668</v>
      </c>
    </row>
    <row r="82" spans="1:1">
      <c r="A82" t="s">
        <v>1822</v>
      </c>
    </row>
    <row r="83" spans="1:1">
      <c r="A83" t="s">
        <v>1619</v>
      </c>
    </row>
    <row r="84" spans="1:1">
      <c r="A84" t="s">
        <v>1669</v>
      </c>
    </row>
    <row r="85" spans="1:1">
      <c r="A85" t="s">
        <v>1670</v>
      </c>
    </row>
    <row r="86" spans="1:1">
      <c r="A86" t="s">
        <v>1671</v>
      </c>
    </row>
    <row r="87" spans="1:1">
      <c r="A87" t="s">
        <v>1819</v>
      </c>
    </row>
    <row r="88" spans="1:1">
      <c r="A88" t="s">
        <v>1820</v>
      </c>
    </row>
    <row r="89" spans="1:1">
      <c r="A89" t="s">
        <v>1585</v>
      </c>
    </row>
    <row r="90" spans="1:1">
      <c r="A90" t="s">
        <v>1694</v>
      </c>
    </row>
    <row r="91" spans="1:1">
      <c r="A91" t="s">
        <v>1655</v>
      </c>
    </row>
    <row r="92" spans="1:1">
      <c r="A92" t="s">
        <v>1741</v>
      </c>
    </row>
    <row r="93" spans="1:1">
      <c r="A93" t="s">
        <v>1656</v>
      </c>
    </row>
    <row r="94" spans="1:1">
      <c r="A94" t="s">
        <v>1660</v>
      </c>
    </row>
    <row r="95" spans="1:1">
      <c r="A95" t="s">
        <v>1803</v>
      </c>
    </row>
    <row r="96" spans="1:1">
      <c r="A96" t="s">
        <v>1750</v>
      </c>
    </row>
    <row r="97" spans="1:1">
      <c r="A97" t="s">
        <v>1809</v>
      </c>
    </row>
    <row r="98" spans="1:1">
      <c r="A98" t="s">
        <v>1662</v>
      </c>
    </row>
    <row r="99" spans="1:1">
      <c r="A99" t="s">
        <v>1835</v>
      </c>
    </row>
    <row r="100" spans="1:1">
      <c r="A100" t="s">
        <v>1840</v>
      </c>
    </row>
    <row r="101" spans="1:1">
      <c r="A101" t="s">
        <v>1638</v>
      </c>
    </row>
    <row r="102" spans="1:1">
      <c r="A102" t="s">
        <v>1640</v>
      </c>
    </row>
    <row r="103" spans="1:1">
      <c r="A103" t="s">
        <v>1753</v>
      </c>
    </row>
    <row r="104" spans="1:1">
      <c r="A104" t="s">
        <v>1753</v>
      </c>
    </row>
    <row r="105" spans="1:1">
      <c r="A105" t="s">
        <v>1697</v>
      </c>
    </row>
    <row r="106" spans="1:1">
      <c r="A106" t="s">
        <v>1829</v>
      </c>
    </row>
    <row r="107" spans="1:1">
      <c r="A107" t="s">
        <v>1830</v>
      </c>
    </row>
    <row r="108" spans="1:1">
      <c r="A108" t="s">
        <v>1649</v>
      </c>
    </row>
    <row r="109" spans="1:1">
      <c r="A109" t="s">
        <v>1659</v>
      </c>
    </row>
    <row r="110" spans="1:1">
      <c r="A110" t="s">
        <v>1623</v>
      </c>
    </row>
    <row r="111" spans="1:1">
      <c r="A111" t="s">
        <v>1847</v>
      </c>
    </row>
    <row r="112" spans="1:1">
      <c r="A112" t="s">
        <v>1852</v>
      </c>
    </row>
    <row r="113" spans="1:1">
      <c r="A113" t="s">
        <v>1701</v>
      </c>
    </row>
    <row r="114" spans="1:1">
      <c r="A114" t="s">
        <v>1604</v>
      </c>
    </row>
    <row r="115" spans="1:1">
      <c r="A115" t="s">
        <v>1610</v>
      </c>
    </row>
    <row r="116" spans="1:1">
      <c r="A116" t="s">
        <v>1849</v>
      </c>
    </row>
    <row r="117" spans="1:1">
      <c r="A117" t="s">
        <v>1850</v>
      </c>
    </row>
    <row r="118" spans="1:1">
      <c r="A118" t="s">
        <v>1712</v>
      </c>
    </row>
    <row r="119" spans="1:1">
      <c r="A119" t="s">
        <v>1744</v>
      </c>
    </row>
    <row r="120" spans="1:1">
      <c r="A120" t="s">
        <v>1805</v>
      </c>
    </row>
    <row r="121" spans="1:1">
      <c r="A121" t="s">
        <v>1808</v>
      </c>
    </row>
    <row r="122" spans="1:1">
      <c r="A122" t="s">
        <v>1748</v>
      </c>
    </row>
    <row r="123" spans="1:1">
      <c r="A123" t="s">
        <v>1606</v>
      </c>
    </row>
    <row r="124" spans="1:1">
      <c r="A124" t="s">
        <v>1652</v>
      </c>
    </row>
    <row r="125" spans="1:1">
      <c r="A125" t="s">
        <v>1763</v>
      </c>
    </row>
    <row r="126" spans="1:1">
      <c r="A126" t="s">
        <v>1799</v>
      </c>
    </row>
    <row r="127" spans="1:1">
      <c r="A127" t="s">
        <v>1838</v>
      </c>
    </row>
    <row r="128" spans="1:1">
      <c r="A128" t="s">
        <v>1747</v>
      </c>
    </row>
    <row r="129" spans="1:1">
      <c r="A129" t="s">
        <v>1581</v>
      </c>
    </row>
    <row r="130" spans="1:1">
      <c r="A130" t="s">
        <v>1724</v>
      </c>
    </row>
    <row r="131" spans="1:1">
      <c r="A131" t="s">
        <v>1724</v>
      </c>
    </row>
    <row r="132" spans="1:1">
      <c r="A132" t="s">
        <v>1723</v>
      </c>
    </row>
    <row r="133" spans="1:1">
      <c r="A133" t="s">
        <v>1737</v>
      </c>
    </row>
    <row r="134" spans="1:1">
      <c r="A134" t="s">
        <v>1677</v>
      </c>
    </row>
    <row r="135" spans="1:1">
      <c r="A135" t="s">
        <v>1627</v>
      </c>
    </row>
    <row r="136" spans="1:1">
      <c r="A136" t="s">
        <v>1824</v>
      </c>
    </row>
    <row r="137" spans="1:1">
      <c r="A137" t="s">
        <v>1825</v>
      </c>
    </row>
    <row r="138" spans="1:1">
      <c r="A138" t="s">
        <v>1678</v>
      </c>
    </row>
    <row r="139" spans="1:1">
      <c r="A139" t="s">
        <v>1698</v>
      </c>
    </row>
    <row r="140" spans="1:1">
      <c r="A140" t="s">
        <v>1613</v>
      </c>
    </row>
    <row r="141" spans="1:1">
      <c r="A141" t="s">
        <v>1766</v>
      </c>
    </row>
    <row r="142" spans="1:1">
      <c r="A142" t="s">
        <v>1643</v>
      </c>
    </row>
    <row r="143" spans="1:1">
      <c r="A143" t="s">
        <v>1827</v>
      </c>
    </row>
    <row r="144" spans="1:1">
      <c r="A144" t="s">
        <v>1711</v>
      </c>
    </row>
    <row r="145" spans="1:1">
      <c r="A145" t="s">
        <v>1710</v>
      </c>
    </row>
    <row r="146" spans="1:1">
      <c r="A146" t="s">
        <v>1826</v>
      </c>
    </row>
    <row r="147" spans="1:1">
      <c r="A147" t="s">
        <v>1709</v>
      </c>
    </row>
    <row r="148" spans="1:1">
      <c r="A148" t="s">
        <v>1631</v>
      </c>
    </row>
    <row r="149" spans="1:1">
      <c r="A149" t="s">
        <v>1603</v>
      </c>
    </row>
    <row r="150" spans="1:1">
      <c r="A150" t="s">
        <v>1699</v>
      </c>
    </row>
    <row r="151" spans="1:1">
      <c r="A151" t="s">
        <v>1696</v>
      </c>
    </row>
    <row r="152" spans="1:1">
      <c r="A152" t="s">
        <v>1693</v>
      </c>
    </row>
    <row r="153" spans="1:1">
      <c r="A153" t="s">
        <v>1695</v>
      </c>
    </row>
    <row r="154" spans="1:1">
      <c r="A154" t="s">
        <v>1760</v>
      </c>
    </row>
    <row r="155" spans="1:1">
      <c r="A155" t="s">
        <v>1760</v>
      </c>
    </row>
    <row r="156" spans="1:1">
      <c r="A156" t="s">
        <v>1593</v>
      </c>
    </row>
    <row r="157" spans="1:1">
      <c r="A157" t="s">
        <v>1721</v>
      </c>
    </row>
    <row r="158" spans="1:1">
      <c r="A158" t="s">
        <v>1730</v>
      </c>
    </row>
    <row r="159" spans="1:1">
      <c r="A159" t="s">
        <v>1736</v>
      </c>
    </row>
    <row r="160" spans="1:1">
      <c r="A160" t="s">
        <v>1722</v>
      </c>
    </row>
    <row r="161" spans="1:1">
      <c r="A161" t="s">
        <v>1722</v>
      </c>
    </row>
    <row r="162" spans="1:1">
      <c r="A162" t="s">
        <v>1842</v>
      </c>
    </row>
    <row r="163" spans="1:1">
      <c r="A163" t="s">
        <v>1629</v>
      </c>
    </row>
    <row r="164" spans="1:1">
      <c r="A164" t="s">
        <v>1633</v>
      </c>
    </row>
    <row r="165" spans="1:1">
      <c r="A165" t="s">
        <v>1657</v>
      </c>
    </row>
    <row r="166" spans="1:1">
      <c r="A166" t="s">
        <v>1807</v>
      </c>
    </row>
    <row r="167" spans="1:1">
      <c r="A167" t="s">
        <v>1746</v>
      </c>
    </row>
    <row r="168" spans="1:1">
      <c r="A168" t="s">
        <v>1595</v>
      </c>
    </row>
    <row r="169" spans="1:1">
      <c r="A169" t="s">
        <v>1650</v>
      </c>
    </row>
    <row r="170" spans="1:1">
      <c r="A170" t="s">
        <v>1646</v>
      </c>
    </row>
    <row r="171" spans="1:1">
      <c r="A171" t="s">
        <v>1791</v>
      </c>
    </row>
    <row r="172" spans="1:1">
      <c r="A172" t="s">
        <v>1790</v>
      </c>
    </row>
    <row r="173" spans="1:1">
      <c r="A173" t="s">
        <v>1798</v>
      </c>
    </row>
    <row r="174" spans="1:1">
      <c r="A174" t="s">
        <v>1801</v>
      </c>
    </row>
    <row r="175" spans="1:1">
      <c r="A175" t="s">
        <v>1836</v>
      </c>
    </row>
    <row r="176" spans="1:1">
      <c r="A176" t="s">
        <v>1734</v>
      </c>
    </row>
    <row r="177" spans="1:1">
      <c r="A177" t="s">
        <v>1832</v>
      </c>
    </row>
    <row r="178" spans="1:1">
      <c r="A178" t="s">
        <v>1834</v>
      </c>
    </row>
    <row r="179" spans="1:1">
      <c r="A179" t="s">
        <v>1810</v>
      </c>
    </row>
    <row r="180" spans="1:1">
      <c r="A180" t="s">
        <v>1811</v>
      </c>
    </row>
    <row r="181" spans="1:1">
      <c r="A181" t="s">
        <v>1651</v>
      </c>
    </row>
    <row r="182" spans="1:1">
      <c r="A182" t="s">
        <v>1800</v>
      </c>
    </row>
    <row r="183" spans="1:1">
      <c r="A183" t="s">
        <v>1735</v>
      </c>
    </row>
    <row r="184" spans="1:1">
      <c r="A184" t="s">
        <v>1634</v>
      </c>
    </row>
    <row r="185" spans="1:1">
      <c r="A185" t="s">
        <v>1588</v>
      </c>
    </row>
    <row r="186" spans="1:1">
      <c r="A186" t="s">
        <v>1765</v>
      </c>
    </row>
    <row r="187" spans="1:1">
      <c r="A187" t="s">
        <v>1789</v>
      </c>
    </row>
    <row r="188" spans="1:1">
      <c r="A188" t="s">
        <v>1635</v>
      </c>
    </row>
    <row r="189" spans="1:1">
      <c r="A189" t="s">
        <v>1605</v>
      </c>
    </row>
    <row r="190" spans="1:1">
      <c r="A190" t="s">
        <v>1812</v>
      </c>
    </row>
    <row r="191" spans="1:1">
      <c r="A191" t="s">
        <v>1644</v>
      </c>
    </row>
    <row r="192" spans="1:1">
      <c r="A192" t="s">
        <v>1624</v>
      </c>
    </row>
    <row r="193" spans="1:1">
      <c r="A193" t="s">
        <v>1615</v>
      </c>
    </row>
    <row r="194" spans="1:1">
      <c r="A194" t="s">
        <v>1607</v>
      </c>
    </row>
    <row r="195" spans="1:1">
      <c r="A195" t="s">
        <v>1614</v>
      </c>
    </row>
    <row r="196" spans="1:1">
      <c r="A196" t="s">
        <v>1617</v>
      </c>
    </row>
    <row r="197" spans="1:1">
      <c r="A197" t="s">
        <v>1745</v>
      </c>
    </row>
    <row r="198" spans="1:1">
      <c r="A198" t="s">
        <v>1806</v>
      </c>
    </row>
    <row r="199" spans="1:1">
      <c r="A199" t="s">
        <v>1804</v>
      </c>
    </row>
    <row r="200" spans="1:1">
      <c r="A200" t="s">
        <v>1743</v>
      </c>
    </row>
    <row r="201" spans="1:1">
      <c r="A201" t="s">
        <v>1843</v>
      </c>
    </row>
    <row r="202" spans="1:1">
      <c r="A202" t="s">
        <v>1597</v>
      </c>
    </row>
    <row r="203" spans="1:1">
      <c r="A203" t="s">
        <v>1762</v>
      </c>
    </row>
    <row r="204" spans="1:1">
      <c r="A204" t="s">
        <v>1787</v>
      </c>
    </row>
    <row r="205" spans="1:1">
      <c r="A205" t="s">
        <v>1622</v>
      </c>
    </row>
    <row r="206" spans="1:1">
      <c r="A206" t="s">
        <v>1621</v>
      </c>
    </row>
    <row r="207" spans="1:1">
      <c r="A207" t="s">
        <v>1620</v>
      </c>
    </row>
    <row r="208" spans="1:1">
      <c r="A208" t="s">
        <v>1637</v>
      </c>
    </row>
    <row r="209" spans="1:7">
      <c r="A209" t="s">
        <v>1599</v>
      </c>
    </row>
    <row r="210" spans="1:7">
      <c r="A210" t="s">
        <v>1598</v>
      </c>
    </row>
    <row r="211" spans="1:7">
      <c r="A211" t="s">
        <v>1609</v>
      </c>
    </row>
    <row r="212" spans="1:7">
      <c r="A212" t="s">
        <v>1848</v>
      </c>
    </row>
    <row r="213" spans="1:7">
      <c r="A213" t="s">
        <v>1813</v>
      </c>
    </row>
    <row r="214" spans="1:7">
      <c r="A214" t="s">
        <v>1754</v>
      </c>
    </row>
    <row r="215" spans="1:7">
      <c r="A215" t="s">
        <v>1755</v>
      </c>
    </row>
    <row r="216" spans="1:7">
      <c r="A216" t="s">
        <v>1749</v>
      </c>
    </row>
    <row r="217" spans="1:7">
      <c r="A217" t="s">
        <v>1591</v>
      </c>
    </row>
    <row r="218" spans="1:7">
      <c r="A218" t="s">
        <v>1589</v>
      </c>
    </row>
    <row r="219" spans="1:7">
      <c r="A219" t="s">
        <v>1878</v>
      </c>
      <c r="G219" s="4">
        <v>2.76</v>
      </c>
    </row>
    <row r="220" spans="1:7">
      <c r="A220" t="s">
        <v>1770</v>
      </c>
    </row>
    <row r="221" spans="1:7">
      <c r="A221" t="s">
        <v>1771</v>
      </c>
    </row>
    <row r="222" spans="1:7">
      <c r="A222" t="s">
        <v>1636</v>
      </c>
    </row>
    <row r="223" spans="1:7">
      <c r="A223" t="s">
        <v>1742</v>
      </c>
    </row>
    <row r="224" spans="1:7">
      <c r="A224" t="s">
        <v>1742</v>
      </c>
    </row>
    <row r="225" spans="1:1">
      <c r="A225" t="s">
        <v>1773</v>
      </c>
    </row>
    <row r="226" spans="1:1">
      <c r="A226" t="s">
        <v>1779</v>
      </c>
    </row>
    <row r="227" spans="1:1">
      <c r="A227" t="s">
        <v>1802</v>
      </c>
    </row>
    <row r="228" spans="1:1">
      <c r="A228" t="s">
        <v>1592</v>
      </c>
    </row>
    <row r="229" spans="1:1">
      <c r="A229" t="s">
        <v>1616</v>
      </c>
    </row>
    <row r="230" spans="1:1">
      <c r="A230" t="s">
        <v>1714</v>
      </c>
    </row>
    <row r="231" spans="1:1">
      <c r="A231" t="s">
        <v>1726</v>
      </c>
    </row>
    <row r="232" spans="1:1">
      <c r="A232" t="s">
        <v>1732</v>
      </c>
    </row>
    <row r="233" spans="1:1">
      <c r="A233" t="s">
        <v>1740</v>
      </c>
    </row>
    <row r="234" spans="1:1">
      <c r="A234" t="s">
        <v>1776</v>
      </c>
    </row>
    <row r="235" spans="1:1">
      <c r="A235" t="s">
        <v>1661</v>
      </c>
    </row>
    <row r="236" spans="1:1">
      <c r="A236" t="s">
        <v>1600</v>
      </c>
    </row>
    <row r="237" spans="1:1">
      <c r="A237" t="s">
        <v>1717</v>
      </c>
    </row>
    <row r="238" spans="1:1">
      <c r="A238" t="s">
        <v>1717</v>
      </c>
    </row>
    <row r="239" spans="1:1">
      <c r="A239" t="s">
        <v>1612</v>
      </c>
    </row>
    <row r="240" spans="1:1">
      <c r="A240" t="s">
        <v>1681</v>
      </c>
    </row>
    <row r="241" spans="1:1">
      <c r="A241" t="s">
        <v>1679</v>
      </c>
    </row>
    <row r="242" spans="1:1">
      <c r="A242" t="s">
        <v>1680</v>
      </c>
    </row>
    <row r="243" spans="1:1">
      <c r="A243" t="s">
        <v>1777</v>
      </c>
    </row>
    <row r="244" spans="1:1">
      <c r="A244" t="s">
        <v>1602</v>
      </c>
    </row>
    <row r="245" spans="1:1">
      <c r="A245" t="s">
        <v>1839</v>
      </c>
    </row>
    <row r="246" spans="1:1">
      <c r="A246" t="s">
        <v>1784</v>
      </c>
    </row>
    <row r="247" spans="1:1">
      <c r="A247" t="s">
        <v>1846</v>
      </c>
    </row>
    <row r="248" spans="1:1">
      <c r="A248" t="s">
        <v>1672</v>
      </c>
    </row>
    <row r="249" spans="1:1">
      <c r="A249" t="s">
        <v>1702</v>
      </c>
    </row>
    <row r="250" spans="1:1">
      <c r="A250" t="s">
        <v>1841</v>
      </c>
    </row>
    <row r="251" spans="1:1">
      <c r="A251" t="s">
        <v>1774</v>
      </c>
    </row>
    <row r="252" spans="1:1">
      <c r="A252" t="s">
        <v>1641</v>
      </c>
    </row>
    <row r="253" spans="1:1">
      <c r="A253" t="s">
        <v>1772</v>
      </c>
    </row>
    <row r="254" spans="1:1">
      <c r="A254" t="s">
        <v>1772</v>
      </c>
    </row>
    <row r="255" spans="1:1">
      <c r="A255" t="s">
        <v>1756</v>
      </c>
    </row>
    <row r="256" spans="1:1">
      <c r="A256" t="s">
        <v>1833</v>
      </c>
    </row>
    <row r="257" spans="1:1">
      <c r="A257" t="s">
        <v>1837</v>
      </c>
    </row>
    <row r="258" spans="1:1">
      <c r="A258" t="s">
        <v>1601</v>
      </c>
    </row>
    <row r="259" spans="1:1">
      <c r="A259" t="s">
        <v>1628</v>
      </c>
    </row>
    <row r="260" spans="1:1">
      <c r="A260" t="s">
        <v>1611</v>
      </c>
    </row>
    <row r="261" spans="1:1">
      <c r="A261" t="s">
        <v>1618</v>
      </c>
    </row>
    <row r="262" spans="1:1">
      <c r="A262" t="s">
        <v>1844</v>
      </c>
    </row>
    <row r="263" spans="1:1">
      <c r="A263" t="s">
        <v>1853</v>
      </c>
    </row>
    <row r="264" spans="1:1">
      <c r="A264" t="s">
        <v>1653</v>
      </c>
    </row>
    <row r="265" spans="1:1">
      <c r="A265" t="s">
        <v>1713</v>
      </c>
    </row>
    <row r="266" spans="1:1">
      <c r="A266" t="s">
        <v>1673</v>
      </c>
    </row>
    <row r="267" spans="1:1">
      <c r="A267" t="s">
        <v>1608</v>
      </c>
    </row>
    <row r="268" spans="1:1">
      <c r="A268" t="s">
        <v>1778</v>
      </c>
    </row>
    <row r="269" spans="1:1">
      <c r="A269" t="s">
        <v>1663</v>
      </c>
    </row>
    <row r="270" spans="1:1">
      <c r="A270" t="s">
        <v>1821</v>
      </c>
    </row>
    <row r="271" spans="1:1">
      <c r="A271" t="s">
        <v>1654</v>
      </c>
    </row>
    <row r="272" spans="1:1">
      <c r="A272" t="s">
        <v>1647</v>
      </c>
    </row>
    <row r="273" spans="1:1">
      <c r="A273" t="s">
        <v>1738</v>
      </c>
    </row>
    <row r="274" spans="1:1">
      <c r="A274" t="s">
        <v>1720</v>
      </c>
    </row>
    <row r="275" spans="1:1">
      <c r="A275" t="s">
        <v>1686</v>
      </c>
    </row>
    <row r="276" spans="1:1">
      <c r="A276" t="s">
        <v>1687</v>
      </c>
    </row>
    <row r="277" spans="1:1">
      <c r="A277" t="s">
        <v>1683</v>
      </c>
    </row>
    <row r="278" spans="1:1">
      <c r="A278" t="s">
        <v>1815</v>
      </c>
    </row>
    <row r="279" spans="1:1">
      <c r="A279" t="s">
        <v>1684</v>
      </c>
    </row>
    <row r="280" spans="1:1">
      <c r="A280" t="s">
        <v>1816</v>
      </c>
    </row>
    <row r="281" spans="1:1">
      <c r="A281" t="s">
        <v>1685</v>
      </c>
    </row>
    <row r="282" spans="1:1">
      <c r="A282" t="s">
        <v>1817</v>
      </c>
    </row>
    <row r="283" spans="1:1">
      <c r="A283" t="s">
        <v>1691</v>
      </c>
    </row>
    <row r="284" spans="1:1">
      <c r="A284" t="s">
        <v>1692</v>
      </c>
    </row>
    <row r="285" spans="1:1">
      <c r="A285" t="s">
        <v>1689</v>
      </c>
    </row>
    <row r="286" spans="1:1">
      <c r="A286" t="s">
        <v>1688</v>
      </c>
    </row>
    <row r="287" spans="1:1">
      <c r="A287" t="s">
        <v>1690</v>
      </c>
    </row>
    <row r="288" spans="1:1">
      <c r="A288" t="s">
        <v>1708</v>
      </c>
    </row>
    <row r="289" spans="1:1">
      <c r="A289" t="s">
        <v>1682</v>
      </c>
    </row>
    <row r="290" spans="1:1">
      <c r="A290" t="s">
        <v>1648</v>
      </c>
    </row>
    <row r="291" spans="1:1">
      <c r="A291" t="s">
        <v>1645</v>
      </c>
    </row>
    <row r="292" spans="1:1">
      <c r="A292" t="s">
        <v>1580</v>
      </c>
    </row>
    <row r="293" spans="1:1">
      <c r="A293" t="s">
        <v>1582</v>
      </c>
    </row>
    <row r="294" spans="1:1">
      <c r="A294" t="s">
        <v>1700</v>
      </c>
    </row>
    <row r="295" spans="1:1">
      <c r="A295" t="s">
        <v>1814</v>
      </c>
    </row>
    <row r="296" spans="1:1">
      <c r="A296" t="s">
        <v>1796</v>
      </c>
    </row>
    <row r="297" spans="1:1">
      <c r="A297" t="s">
        <v>1767</v>
      </c>
    </row>
    <row r="298" spans="1:1">
      <c r="A298" t="s">
        <v>1797</v>
      </c>
    </row>
    <row r="299" spans="1:1">
      <c r="A299" t="s">
        <v>1769</v>
      </c>
    </row>
    <row r="300" spans="1:1">
      <c r="A300" t="s">
        <v>1769</v>
      </c>
    </row>
    <row r="301" spans="1:1">
      <c r="A301" t="s">
        <v>1768</v>
      </c>
    </row>
    <row r="302" spans="1:1">
      <c r="A302" t="s">
        <v>1768</v>
      </c>
    </row>
    <row r="303" spans="1:1">
      <c r="A303" t="s">
        <v>1739</v>
      </c>
    </row>
    <row r="304" spans="1:1">
      <c r="A304" t="s">
        <v>1642</v>
      </c>
    </row>
    <row r="305" spans="1:1">
      <c r="A305" t="s">
        <v>1780</v>
      </c>
    </row>
    <row r="306" spans="1:1">
      <c r="A306" t="s">
        <v>1579</v>
      </c>
    </row>
    <row r="307" spans="1:1">
      <c r="A307" t="s">
        <v>1658</v>
      </c>
    </row>
    <row r="308" spans="1:1">
      <c r="A308" t="s">
        <v>1583</v>
      </c>
    </row>
    <row r="309" spans="1:1">
      <c r="A309" t="s">
        <v>1586</v>
      </c>
    </row>
    <row r="310" spans="1:1">
      <c r="A310" t="s">
        <v>1761</v>
      </c>
    </row>
    <row r="311" spans="1:1">
      <c r="A311" t="s">
        <v>1761</v>
      </c>
    </row>
    <row r="312" spans="1:1">
      <c r="A312" t="s">
        <v>1761</v>
      </c>
    </row>
    <row r="313" spans="1:1">
      <c r="A313" t="s">
        <v>1587</v>
      </c>
    </row>
    <row r="314" spans="1:1">
      <c r="A314" t="s">
        <v>1828</v>
      </c>
    </row>
    <row r="315" spans="1:1">
      <c r="A315" t="s">
        <v>1584</v>
      </c>
    </row>
    <row r="316" spans="1:1">
      <c r="A316" t="s">
        <v>1786</v>
      </c>
    </row>
    <row r="317" spans="1:1">
      <c r="A317" t="s">
        <v>1632</v>
      </c>
    </row>
    <row r="318" spans="1:1">
      <c r="A318" t="s">
        <v>1596</v>
      </c>
    </row>
    <row r="319" spans="1:1">
      <c r="A319" t="s">
        <v>1639</v>
      </c>
    </row>
    <row r="320" spans="1:1">
      <c r="A320" t="s">
        <v>1751</v>
      </c>
    </row>
    <row r="321" spans="1:1">
      <c r="A321" t="s">
        <v>1751</v>
      </c>
    </row>
    <row r="322" spans="1:1">
      <c r="A322" t="s">
        <v>1733</v>
      </c>
    </row>
    <row r="323" spans="1:1">
      <c r="A323" t="s">
        <v>1715</v>
      </c>
    </row>
    <row r="324" spans="1:1">
      <c r="A324" t="s">
        <v>1715</v>
      </c>
    </row>
    <row r="325" spans="1:1">
      <c r="A325" t="s">
        <v>1705</v>
      </c>
    </row>
    <row r="326" spans="1:1">
      <c r="A326" t="s">
        <v>1706</v>
      </c>
    </row>
    <row r="327" spans="1:1">
      <c r="A327" t="s">
        <v>1630</v>
      </c>
    </row>
    <row r="328" spans="1:1">
      <c r="A328" t="s">
        <v>1792</v>
      </c>
    </row>
    <row r="329" spans="1:1">
      <c r="A329" t="s">
        <v>1793</v>
      </c>
    </row>
    <row r="330" spans="1:1">
      <c r="A330" t="s">
        <v>1795</v>
      </c>
    </row>
    <row r="331" spans="1:1">
      <c r="A331" t="s">
        <v>1794</v>
      </c>
    </row>
  </sheetData>
  <autoFilter ref="A1:O1"/>
  <sortState ref="A2:C316">
    <sortCondition ref="A1"/>
  </sortState>
  <conditionalFormatting sqref="F2:O2">
    <cfRule type="top10" dxfId="5" priority="7" rank="2"/>
    <cfRule type="top10" dxfId="4" priority="8" bottom="1" rank="2"/>
  </conditionalFormatting>
  <conditionalFormatting sqref="F3:O3">
    <cfRule type="top10" dxfId="3" priority="3" bottom="1" rank="2"/>
    <cfRule type="top10" dxfId="2" priority="4" rank="2"/>
  </conditionalFormatting>
  <conditionalFormatting sqref="F4:O338">
    <cfRule type="top10" dxfId="1" priority="11" rank="2"/>
    <cfRule type="top10" dxfId="0" priority="12" bottom="1" rank="2"/>
  </conditionalFormatting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AB237"/>
  <sheetViews>
    <sheetView zoomScale="80" zoomScaleNormal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RowHeight="14.5" outlineLevelCol="1"/>
  <cols>
    <col min="1" max="1" width="35.453125" style="323" customWidth="1"/>
    <col min="2" max="3" width="10" style="4" customWidth="1"/>
    <col min="4" max="4" width="7.7265625" customWidth="1"/>
    <col min="5" max="5" width="8.453125" style="4" customWidth="1"/>
    <col min="6" max="6" width="14" customWidth="1"/>
    <col min="7" max="8" width="6" customWidth="1"/>
    <col min="9" max="9" width="11.26953125" customWidth="1" outlineLevel="1"/>
    <col min="10" max="11" width="5.26953125" customWidth="1" outlineLevel="1"/>
    <col min="12" max="12" width="6.81640625" customWidth="1" outlineLevel="1"/>
    <col min="13" max="13" width="27.453125" customWidth="1" outlineLevel="1"/>
    <col min="14" max="14" width="9.26953125" style="6" customWidth="1" outlineLevel="1"/>
    <col min="15" max="15" width="4.81640625" customWidth="1" outlineLevel="1"/>
    <col min="16" max="16" width="5.7265625" style="2" customWidth="1" outlineLevel="1"/>
    <col min="17" max="17" width="8.1796875" style="2" customWidth="1"/>
    <col min="18" max="18" width="17.453125" customWidth="1" outlineLevel="1"/>
    <col min="19" max="19" width="11.453125" style="323" customWidth="1"/>
    <col min="20" max="20" width="36.7265625" customWidth="1" outlineLevel="1"/>
    <col min="21" max="21" width="16.1796875" customWidth="1" outlineLevel="1"/>
    <col min="22" max="23" width="9.453125" style="6" customWidth="1" outlineLevel="1"/>
    <col min="24" max="24" width="13.1796875" bestFit="1" customWidth="1"/>
    <col min="25" max="25" width="16" bestFit="1" customWidth="1"/>
    <col min="26" max="26" width="11.26953125" customWidth="1"/>
    <col min="28" max="28" width="20.1796875" bestFit="1" customWidth="1"/>
  </cols>
  <sheetData>
    <row r="1" spans="1:28" s="129" customFormat="1" ht="75.75" customHeight="1">
      <c r="A1" s="393" t="s">
        <v>386</v>
      </c>
      <c r="B1" s="124" t="s">
        <v>343</v>
      </c>
      <c r="C1" s="265" t="s">
        <v>758</v>
      </c>
      <c r="D1" s="123" t="s">
        <v>403</v>
      </c>
      <c r="E1" s="124" t="s">
        <v>171</v>
      </c>
      <c r="F1" s="123" t="s">
        <v>110</v>
      </c>
      <c r="G1" s="123" t="s">
        <v>117</v>
      </c>
      <c r="H1" s="123" t="s">
        <v>119</v>
      </c>
      <c r="I1" s="123" t="s">
        <v>409</v>
      </c>
      <c r="J1" s="123" t="s">
        <v>111</v>
      </c>
      <c r="K1" s="123" t="s">
        <v>120</v>
      </c>
      <c r="L1" s="123" t="s">
        <v>410</v>
      </c>
      <c r="M1" s="123" t="s">
        <v>197</v>
      </c>
      <c r="N1" s="125" t="s">
        <v>170</v>
      </c>
      <c r="O1" s="123" t="s">
        <v>302</v>
      </c>
      <c r="P1" s="126" t="s">
        <v>208</v>
      </c>
      <c r="Q1" s="126" t="s">
        <v>16</v>
      </c>
      <c r="R1" s="123" t="s">
        <v>301</v>
      </c>
      <c r="S1" s="393" t="s">
        <v>400</v>
      </c>
      <c r="T1" s="123" t="s">
        <v>270</v>
      </c>
      <c r="U1" s="123" t="s">
        <v>271</v>
      </c>
      <c r="V1" s="125" t="s">
        <v>279</v>
      </c>
      <c r="W1" s="125" t="s">
        <v>502</v>
      </c>
      <c r="X1" s="123" t="s">
        <v>327</v>
      </c>
      <c r="Y1" s="123" t="s">
        <v>331</v>
      </c>
      <c r="Z1" s="123" t="s">
        <v>2135</v>
      </c>
      <c r="AA1" s="127"/>
      <c r="AB1" s="128" t="s">
        <v>136</v>
      </c>
    </row>
    <row r="2" spans="1:28">
      <c r="A2" s="323" t="s">
        <v>17</v>
      </c>
      <c r="B2" s="4">
        <v>1.1499999999999999</v>
      </c>
      <c r="C2" s="4">
        <f t="shared" ref="C2:C30" si="0">B2*(1-0.055)</f>
        <v>1.0867499999999999</v>
      </c>
      <c r="D2">
        <v>250</v>
      </c>
      <c r="E2" s="4">
        <v>4.5999999999999996</v>
      </c>
      <c r="F2" s="21" t="s">
        <v>331</v>
      </c>
      <c r="G2" s="21">
        <v>1</v>
      </c>
      <c r="H2" s="21" t="s">
        <v>133</v>
      </c>
      <c r="I2" s="21" t="s">
        <v>303</v>
      </c>
      <c r="J2" s="21">
        <v>1</v>
      </c>
      <c r="K2" s="21" t="s">
        <v>122</v>
      </c>
      <c r="L2" s="21"/>
      <c r="M2" s="21" t="s">
        <v>17</v>
      </c>
      <c r="N2" s="23" t="str">
        <f t="shared" ref="N2:N36" si="1">IF(B2&lt;&gt;"",TEXT(B2,"0,00 €"),"")</f>
        <v>1,15 €</v>
      </c>
      <c r="O2">
        <v>1</v>
      </c>
      <c r="P2" s="2">
        <v>1</v>
      </c>
      <c r="Q2" s="2">
        <v>1</v>
      </c>
      <c r="R2" t="str">
        <f t="shared" ref="R2:R76" si="2">couleurFond(I2)</f>
        <v>CCFFFF</v>
      </c>
      <c r="S2" s="323" t="s">
        <v>274</v>
      </c>
      <c r="T2" t="s">
        <v>248</v>
      </c>
      <c r="V2" s="6" t="str">
        <f t="shared" ref="V2:V36" si="3">N2</f>
        <v>1,15 €</v>
      </c>
      <c r="W2" s="6" t="s">
        <v>504</v>
      </c>
      <c r="X2" t="str">
        <f t="shared" ref="X2:X75" si="4">H2&amp;"-"&amp;K2&amp;TEXT(O2,"000")</f>
        <v>BOU-BAG001</v>
      </c>
    </row>
    <row r="3" spans="1:28">
      <c r="A3" s="323" t="s">
        <v>23</v>
      </c>
      <c r="B3" s="4">
        <v>1.35</v>
      </c>
      <c r="C3" s="4">
        <f t="shared" si="0"/>
        <v>1.2757499999999999</v>
      </c>
      <c r="D3">
        <v>250</v>
      </c>
      <c r="E3" s="4">
        <v>5.4</v>
      </c>
      <c r="F3" s="21" t="s">
        <v>331</v>
      </c>
      <c r="G3" s="21">
        <v>1</v>
      </c>
      <c r="H3" s="21" t="s">
        <v>133</v>
      </c>
      <c r="I3" s="21" t="s">
        <v>303</v>
      </c>
      <c r="J3" s="21">
        <v>1</v>
      </c>
      <c r="K3" s="21" t="s">
        <v>122</v>
      </c>
      <c r="L3" s="21"/>
      <c r="M3" s="21" t="s">
        <v>23</v>
      </c>
      <c r="N3" s="23" t="str">
        <f t="shared" si="1"/>
        <v>1,35 €</v>
      </c>
      <c r="O3">
        <v>2</v>
      </c>
      <c r="P3" s="2">
        <v>1</v>
      </c>
      <c r="Q3" s="2">
        <v>1</v>
      </c>
      <c r="R3" t="str">
        <f t="shared" si="2"/>
        <v>CCFFFF</v>
      </c>
      <c r="S3" s="323" t="s">
        <v>274</v>
      </c>
      <c r="T3" t="s">
        <v>240</v>
      </c>
      <c r="V3" s="6" t="str">
        <f t="shared" si="3"/>
        <v>1,35 €</v>
      </c>
      <c r="W3" s="6" t="s">
        <v>679</v>
      </c>
      <c r="X3" t="str">
        <f t="shared" si="4"/>
        <v>BOU-BAG002</v>
      </c>
    </row>
    <row r="4" spans="1:28">
      <c r="A4" s="323" t="s">
        <v>90</v>
      </c>
      <c r="B4" s="4">
        <v>0.6</v>
      </c>
      <c r="C4" s="4">
        <f t="shared" si="0"/>
        <v>0.56699999999999995</v>
      </c>
      <c r="F4" s="21" t="s">
        <v>331</v>
      </c>
      <c r="G4" s="21">
        <v>1</v>
      </c>
      <c r="H4" s="21" t="s">
        <v>133</v>
      </c>
      <c r="I4" s="21" t="s">
        <v>303</v>
      </c>
      <c r="J4" s="21">
        <v>1</v>
      </c>
      <c r="K4" s="21" t="s">
        <v>122</v>
      </c>
      <c r="L4" s="21"/>
      <c r="M4" s="21" t="s">
        <v>90</v>
      </c>
      <c r="N4" s="23" t="str">
        <f t="shared" si="1"/>
        <v>0,60 €</v>
      </c>
      <c r="O4">
        <v>3</v>
      </c>
      <c r="P4" s="2">
        <v>1</v>
      </c>
      <c r="Q4" s="2">
        <v>1</v>
      </c>
      <c r="R4" t="str">
        <f t="shared" si="2"/>
        <v>CCFFFF</v>
      </c>
      <c r="S4" s="323" t="s">
        <v>274</v>
      </c>
      <c r="T4" t="s">
        <v>19</v>
      </c>
      <c r="V4" s="6" t="str">
        <f t="shared" si="3"/>
        <v>0,60 €</v>
      </c>
      <c r="W4" s="6" t="s">
        <v>578</v>
      </c>
      <c r="X4" t="str">
        <f t="shared" si="4"/>
        <v>BOU-BAG003</v>
      </c>
      <c r="AB4" s="7"/>
    </row>
    <row r="5" spans="1:28">
      <c r="A5" s="323" t="s">
        <v>559</v>
      </c>
      <c r="B5" s="4">
        <v>1.35</v>
      </c>
      <c r="C5" s="4">
        <f t="shared" si="0"/>
        <v>1.2757499999999999</v>
      </c>
      <c r="D5">
        <v>250</v>
      </c>
      <c r="E5" s="4">
        <v>5.4</v>
      </c>
      <c r="F5" s="21" t="s">
        <v>331</v>
      </c>
      <c r="G5" s="21">
        <v>1</v>
      </c>
      <c r="H5" s="21" t="s">
        <v>133</v>
      </c>
      <c r="I5" s="21" t="s">
        <v>303</v>
      </c>
      <c r="J5" s="21">
        <v>1</v>
      </c>
      <c r="K5" s="21" t="s">
        <v>122</v>
      </c>
      <c r="L5" s="21"/>
      <c r="M5" s="21" t="s">
        <v>24</v>
      </c>
      <c r="N5" s="23" t="str">
        <f t="shared" si="1"/>
        <v>1,35 €</v>
      </c>
      <c r="O5">
        <v>4</v>
      </c>
      <c r="P5" s="2">
        <v>1</v>
      </c>
      <c r="Q5" s="2">
        <v>1</v>
      </c>
      <c r="R5" t="str">
        <f t="shared" si="2"/>
        <v>CCFFFF</v>
      </c>
      <c r="S5" s="323" t="s">
        <v>274</v>
      </c>
      <c r="T5" t="s">
        <v>406</v>
      </c>
      <c r="V5" s="6" t="str">
        <f t="shared" si="3"/>
        <v>1,35 €</v>
      </c>
      <c r="W5" s="6" t="s">
        <v>577</v>
      </c>
      <c r="X5" t="str">
        <f t="shared" si="4"/>
        <v>BOU-BAG004</v>
      </c>
    </row>
    <row r="6" spans="1:28">
      <c r="A6" s="323" t="s">
        <v>311</v>
      </c>
      <c r="B6" s="4">
        <v>2.2999999999999998</v>
      </c>
      <c r="C6" s="4">
        <f t="shared" si="0"/>
        <v>2.1734999999999998</v>
      </c>
      <c r="D6">
        <v>650</v>
      </c>
      <c r="E6" s="4">
        <v>3.53</v>
      </c>
      <c r="F6" s="21" t="s">
        <v>331</v>
      </c>
      <c r="G6" s="21">
        <v>1</v>
      </c>
      <c r="H6" s="21" t="s">
        <v>133</v>
      </c>
      <c r="I6" s="21" t="s">
        <v>303</v>
      </c>
      <c r="J6" s="21">
        <v>1</v>
      </c>
      <c r="K6" s="21" t="s">
        <v>122</v>
      </c>
      <c r="L6" s="21"/>
      <c r="M6" s="21" t="s">
        <v>311</v>
      </c>
      <c r="N6" s="23" t="str">
        <f t="shared" si="1"/>
        <v>2,30 €</v>
      </c>
      <c r="O6">
        <v>5</v>
      </c>
      <c r="P6" s="2">
        <v>1</v>
      </c>
      <c r="Q6" s="2">
        <v>1</v>
      </c>
      <c r="R6" t="str">
        <f t="shared" si="2"/>
        <v>CCFFFF</v>
      </c>
      <c r="S6" s="323" t="s">
        <v>274</v>
      </c>
      <c r="T6" t="s">
        <v>407</v>
      </c>
      <c r="V6" s="6" t="str">
        <f t="shared" si="3"/>
        <v>2,30 €</v>
      </c>
      <c r="W6" s="6" t="s">
        <v>676</v>
      </c>
      <c r="X6" t="str">
        <f t="shared" si="4"/>
        <v>BOU-BAG005</v>
      </c>
    </row>
    <row r="7" spans="1:28">
      <c r="A7" s="323" t="s">
        <v>22</v>
      </c>
      <c r="B7" s="4">
        <v>1.35</v>
      </c>
      <c r="C7" s="4">
        <f t="shared" si="0"/>
        <v>1.2757499999999999</v>
      </c>
      <c r="D7">
        <v>250</v>
      </c>
      <c r="E7" s="4">
        <v>5.4</v>
      </c>
      <c r="F7" s="21" t="s">
        <v>331</v>
      </c>
      <c r="G7" s="21">
        <v>1</v>
      </c>
      <c r="H7" s="21" t="s">
        <v>133</v>
      </c>
      <c r="I7" s="21" t="s">
        <v>303</v>
      </c>
      <c r="J7" s="21">
        <v>1</v>
      </c>
      <c r="K7" s="21" t="s">
        <v>122</v>
      </c>
      <c r="L7" s="21"/>
      <c r="M7" s="21" t="s">
        <v>22</v>
      </c>
      <c r="N7" s="23" t="str">
        <f t="shared" si="1"/>
        <v>1,35 €</v>
      </c>
      <c r="O7">
        <v>6</v>
      </c>
      <c r="P7" s="2">
        <v>1</v>
      </c>
      <c r="Q7" s="2">
        <v>1</v>
      </c>
      <c r="R7" t="str">
        <f t="shared" si="2"/>
        <v>CCFFFF</v>
      </c>
      <c r="S7" s="323" t="s">
        <v>274</v>
      </c>
      <c r="T7" t="s">
        <v>402</v>
      </c>
      <c r="V7" s="6" t="str">
        <f t="shared" si="3"/>
        <v>1,35 €</v>
      </c>
      <c r="W7" s="6" t="s">
        <v>505</v>
      </c>
      <c r="X7" t="str">
        <f t="shared" si="4"/>
        <v>BOU-BAG006</v>
      </c>
    </row>
    <row r="8" spans="1:28">
      <c r="A8" s="323" t="s">
        <v>310</v>
      </c>
      <c r="B8" s="4">
        <v>0.6</v>
      </c>
      <c r="C8" s="4">
        <f t="shared" si="0"/>
        <v>0.56699999999999995</v>
      </c>
      <c r="D8">
        <v>125</v>
      </c>
      <c r="E8" s="4">
        <v>4.8</v>
      </c>
      <c r="F8" s="21" t="s">
        <v>331</v>
      </c>
      <c r="G8" s="21">
        <v>1</v>
      </c>
      <c r="H8" s="21" t="s">
        <v>133</v>
      </c>
      <c r="I8" s="21" t="s">
        <v>303</v>
      </c>
      <c r="J8" s="21">
        <v>1</v>
      </c>
      <c r="K8" s="21" t="s">
        <v>122</v>
      </c>
      <c r="L8" s="21"/>
      <c r="M8" s="21" t="s">
        <v>310</v>
      </c>
      <c r="N8" s="23" t="str">
        <f t="shared" si="1"/>
        <v>0,60 €</v>
      </c>
      <c r="O8">
        <v>7</v>
      </c>
      <c r="P8" s="2">
        <v>1</v>
      </c>
      <c r="Q8" s="2">
        <v>1</v>
      </c>
      <c r="R8" t="str">
        <f t="shared" si="2"/>
        <v>CCFFFF</v>
      </c>
      <c r="S8" s="323" t="s">
        <v>274</v>
      </c>
      <c r="T8" t="s">
        <v>405</v>
      </c>
      <c r="V8" s="6" t="str">
        <f t="shared" si="3"/>
        <v>0,60 €</v>
      </c>
      <c r="W8" s="6" t="s">
        <v>506</v>
      </c>
      <c r="X8" t="str">
        <f t="shared" si="4"/>
        <v>BOU-BAG007</v>
      </c>
    </row>
    <row r="9" spans="1:28">
      <c r="A9" s="323" t="s">
        <v>88</v>
      </c>
      <c r="B9" s="4">
        <v>1.5</v>
      </c>
      <c r="C9" s="4">
        <f t="shared" si="0"/>
        <v>1.4175</v>
      </c>
      <c r="F9" s="21" t="s">
        <v>331</v>
      </c>
      <c r="G9" s="21">
        <v>1</v>
      </c>
      <c r="H9" s="21" t="s">
        <v>133</v>
      </c>
      <c r="I9" s="21" t="s">
        <v>303</v>
      </c>
      <c r="J9" s="21">
        <v>1</v>
      </c>
      <c r="K9" s="21" t="s">
        <v>122</v>
      </c>
      <c r="L9" s="21"/>
      <c r="M9" s="21" t="s">
        <v>88</v>
      </c>
      <c r="N9" s="23" t="str">
        <f t="shared" si="1"/>
        <v>1,50 €</v>
      </c>
      <c r="O9">
        <v>8</v>
      </c>
      <c r="P9" s="2">
        <v>1</v>
      </c>
      <c r="Q9" s="2">
        <v>1</v>
      </c>
      <c r="R9" t="str">
        <f t="shared" si="2"/>
        <v>CCFFFF</v>
      </c>
      <c r="S9" s="323" t="s">
        <v>274</v>
      </c>
      <c r="T9" t="s">
        <v>18</v>
      </c>
      <c r="V9" s="6" t="str">
        <f t="shared" si="3"/>
        <v>1,50 €</v>
      </c>
      <c r="W9" s="6" t="s">
        <v>507</v>
      </c>
      <c r="X9" t="str">
        <f t="shared" si="4"/>
        <v>BOU-BAG008</v>
      </c>
    </row>
    <row r="10" spans="1:28">
      <c r="A10" s="323" t="s">
        <v>1360</v>
      </c>
      <c r="B10" s="4">
        <v>1.5</v>
      </c>
      <c r="C10" s="4">
        <f>B10*(1-0.055)</f>
        <v>1.4175</v>
      </c>
      <c r="F10" s="21" t="s">
        <v>331</v>
      </c>
      <c r="G10" s="21">
        <v>1</v>
      </c>
      <c r="H10" s="21" t="s">
        <v>133</v>
      </c>
      <c r="I10" s="21" t="s">
        <v>303</v>
      </c>
      <c r="J10" s="21">
        <v>1</v>
      </c>
      <c r="K10" s="21" t="s">
        <v>122</v>
      </c>
      <c r="L10" s="21"/>
      <c r="M10" s="21" t="str">
        <f>A10</f>
        <v>Ficelle Lardons et Fromage</v>
      </c>
      <c r="N10" s="23" t="str">
        <f>IF(B10&lt;&gt;"",TEXT(B10,"0,00 €"),"")</f>
        <v>1,50 €</v>
      </c>
      <c r="O10">
        <v>9</v>
      </c>
      <c r="P10" s="381">
        <v>0</v>
      </c>
      <c r="Q10" s="381">
        <v>1</v>
      </c>
      <c r="R10" t="str">
        <f>couleurFond(I10)</f>
        <v>CCFFFF</v>
      </c>
      <c r="S10" s="323" t="s">
        <v>274</v>
      </c>
      <c r="T10" t="str">
        <f>A10</f>
        <v>Ficelle Lardons et Fromage</v>
      </c>
      <c r="V10" s="6" t="str">
        <f>N10</f>
        <v>1,50 €</v>
      </c>
      <c r="X10" t="str">
        <f>H10&amp;"-"&amp;K10&amp;TEXT(O10,"000")</f>
        <v>BOU-BAG009</v>
      </c>
    </row>
    <row r="11" spans="1:28">
      <c r="A11" s="323" t="s">
        <v>1361</v>
      </c>
      <c r="B11" s="4">
        <v>1.5</v>
      </c>
      <c r="C11" s="4">
        <f>B11*(1-0.055)</f>
        <v>1.4175</v>
      </c>
      <c r="F11" s="21" t="s">
        <v>331</v>
      </c>
      <c r="G11" s="21">
        <v>1</v>
      </c>
      <c r="H11" s="21" t="s">
        <v>133</v>
      </c>
      <c r="I11" s="21" t="s">
        <v>303</v>
      </c>
      <c r="J11" s="21">
        <v>1</v>
      </c>
      <c r="K11" s="21" t="s">
        <v>122</v>
      </c>
      <c r="L11" s="21"/>
      <c r="M11" s="21" t="str">
        <f>A11</f>
        <v>Ficelle Tomate Basilic</v>
      </c>
      <c r="N11" s="23" t="str">
        <f>IF(B11&lt;&gt;"",TEXT(B11,"0,00 €"),"")</f>
        <v>1,50 €</v>
      </c>
      <c r="O11">
        <v>10</v>
      </c>
      <c r="P11" s="381">
        <v>0</v>
      </c>
      <c r="Q11" s="381">
        <v>1</v>
      </c>
      <c r="R11" t="str">
        <f>couleurFond(I11)</f>
        <v>CCFFFF</v>
      </c>
      <c r="S11" s="323" t="s">
        <v>274</v>
      </c>
      <c r="T11" t="str">
        <f>A11</f>
        <v>Ficelle Tomate Basilic</v>
      </c>
      <c r="V11" s="6" t="str">
        <f>N11</f>
        <v>1,50 €</v>
      </c>
      <c r="X11" t="str">
        <f>H11&amp;"-"&amp;K11&amp;TEXT(O11,"000")</f>
        <v>BOU-BAG010</v>
      </c>
    </row>
    <row r="12" spans="1:28">
      <c r="A12" s="323" t="s">
        <v>1362</v>
      </c>
      <c r="B12" s="4">
        <v>1.5</v>
      </c>
      <c r="C12" s="4">
        <f t="shared" si="0"/>
        <v>1.4175</v>
      </c>
      <c r="F12" s="21" t="s">
        <v>331</v>
      </c>
      <c r="G12" s="21">
        <v>1</v>
      </c>
      <c r="H12" s="21" t="s">
        <v>133</v>
      </c>
      <c r="I12" s="21" t="s">
        <v>303</v>
      </c>
      <c r="J12" s="21">
        <v>1</v>
      </c>
      <c r="K12" s="21" t="s">
        <v>122</v>
      </c>
      <c r="L12" s="21"/>
      <c r="M12" s="21" t="str">
        <f>A12</f>
        <v>Ficelle Chorizo Maïs</v>
      </c>
      <c r="N12" s="23" t="str">
        <f t="shared" si="1"/>
        <v>1,50 €</v>
      </c>
      <c r="O12">
        <v>11</v>
      </c>
      <c r="P12" s="381">
        <v>0</v>
      </c>
      <c r="Q12" s="381">
        <v>1</v>
      </c>
      <c r="R12" t="str">
        <f t="shared" si="2"/>
        <v>CCFFFF</v>
      </c>
      <c r="S12" s="323" t="s">
        <v>274</v>
      </c>
      <c r="T12" t="str">
        <f>A12</f>
        <v>Ficelle Chorizo Maïs</v>
      </c>
      <c r="V12" s="6" t="str">
        <f t="shared" si="3"/>
        <v>1,50 €</v>
      </c>
      <c r="X12" t="str">
        <f t="shared" si="4"/>
        <v>BOU-BAG011</v>
      </c>
    </row>
    <row r="13" spans="1:28">
      <c r="A13" s="323" t="s">
        <v>303</v>
      </c>
      <c r="B13" s="4">
        <v>0.95</v>
      </c>
      <c r="C13" s="4">
        <f>B13*(1-0.055)</f>
        <v>0.89774999999999994</v>
      </c>
      <c r="D13">
        <v>250</v>
      </c>
      <c r="E13" s="4">
        <v>3.8</v>
      </c>
      <c r="F13" s="21" t="s">
        <v>331</v>
      </c>
      <c r="G13" s="21">
        <v>1</v>
      </c>
      <c r="H13" s="21" t="s">
        <v>133</v>
      </c>
      <c r="I13" s="21" t="s">
        <v>303</v>
      </c>
      <c r="J13" s="21">
        <v>1</v>
      </c>
      <c r="K13" s="21" t="s">
        <v>122</v>
      </c>
      <c r="L13" s="21"/>
      <c r="M13" s="21" t="s">
        <v>25</v>
      </c>
      <c r="N13" s="23" t="str">
        <f>IF(B13&lt;&gt;"",TEXT(B13,"0,00 €"),"")</f>
        <v>0,95 €</v>
      </c>
      <c r="O13">
        <v>12</v>
      </c>
      <c r="P13" s="2">
        <v>1</v>
      </c>
      <c r="Q13" s="2">
        <v>1</v>
      </c>
      <c r="R13" t="str">
        <f>couleurFond(I13)</f>
        <v>CCFFFF</v>
      </c>
      <c r="S13" s="323" t="s">
        <v>274</v>
      </c>
      <c r="T13" t="s">
        <v>404</v>
      </c>
      <c r="V13" s="6" t="str">
        <f>N13</f>
        <v>0,95 €</v>
      </c>
      <c r="W13" s="6" t="s">
        <v>503</v>
      </c>
      <c r="X13" t="str">
        <f>H13&amp;"-"&amp;K13&amp;TEXT(O13,"000")</f>
        <v>BOU-BAG012</v>
      </c>
    </row>
    <row r="14" spans="1:28">
      <c r="A14" s="323" t="s">
        <v>560</v>
      </c>
      <c r="B14" s="4">
        <v>0.7</v>
      </c>
      <c r="C14" s="4">
        <f t="shared" si="0"/>
        <v>0.66149999999999998</v>
      </c>
      <c r="F14" s="21" t="s">
        <v>331</v>
      </c>
      <c r="G14" s="21">
        <v>1</v>
      </c>
      <c r="H14" s="21" t="s">
        <v>133</v>
      </c>
      <c r="I14" s="21" t="s">
        <v>303</v>
      </c>
      <c r="J14" s="21">
        <v>1</v>
      </c>
      <c r="K14" s="21" t="s">
        <v>122</v>
      </c>
      <c r="L14" s="21"/>
      <c r="M14" s="21" t="s">
        <v>21</v>
      </c>
      <c r="N14" s="23" t="str">
        <f t="shared" si="1"/>
        <v>0,70 €</v>
      </c>
      <c r="O14">
        <v>13</v>
      </c>
      <c r="P14" s="2">
        <v>1</v>
      </c>
      <c r="Q14" s="2">
        <v>1</v>
      </c>
      <c r="R14" t="str">
        <f t="shared" si="2"/>
        <v>CCFFFF</v>
      </c>
      <c r="S14" s="323" t="s">
        <v>274</v>
      </c>
      <c r="T14" t="s">
        <v>20</v>
      </c>
      <c r="V14" s="6" t="str">
        <f t="shared" si="3"/>
        <v>0,70 €</v>
      </c>
      <c r="W14" s="6" t="s">
        <v>579</v>
      </c>
      <c r="X14" t="str">
        <f t="shared" si="4"/>
        <v>BOU-BAG013</v>
      </c>
    </row>
    <row r="15" spans="1:28">
      <c r="A15" s="323" t="s">
        <v>312</v>
      </c>
      <c r="B15" s="4">
        <v>2.75</v>
      </c>
      <c r="C15" s="4">
        <f t="shared" si="0"/>
        <v>2.5987499999999999</v>
      </c>
      <c r="D15">
        <v>350</v>
      </c>
      <c r="E15" s="4">
        <v>7.85</v>
      </c>
      <c r="F15" s="21" t="s">
        <v>331</v>
      </c>
      <c r="G15" s="21">
        <v>1</v>
      </c>
      <c r="H15" s="21" t="s">
        <v>133</v>
      </c>
      <c r="I15" s="21" t="s">
        <v>274</v>
      </c>
      <c r="J15" s="21">
        <v>2</v>
      </c>
      <c r="K15" s="21" t="s">
        <v>121</v>
      </c>
      <c r="L15" s="21"/>
      <c r="M15" s="21" t="s">
        <v>312</v>
      </c>
      <c r="N15" s="23" t="str">
        <f t="shared" si="1"/>
        <v>2,75 €</v>
      </c>
      <c r="O15">
        <v>14</v>
      </c>
      <c r="P15" s="2">
        <v>1</v>
      </c>
      <c r="Q15" s="2">
        <v>1</v>
      </c>
      <c r="R15" t="str">
        <f t="shared" si="2"/>
        <v>CCFFFF</v>
      </c>
      <c r="S15" s="323" t="s">
        <v>274</v>
      </c>
      <c r="T15" t="s">
        <v>239</v>
      </c>
      <c r="V15" s="6" t="str">
        <f t="shared" si="3"/>
        <v>2,75 €</v>
      </c>
      <c r="W15" s="6" t="s">
        <v>580</v>
      </c>
      <c r="X15" t="str">
        <f t="shared" si="4"/>
        <v>BOU-PAI014</v>
      </c>
    </row>
    <row r="16" spans="1:28">
      <c r="A16" s="14" t="s">
        <v>313</v>
      </c>
      <c r="B16" s="15">
        <v>5</v>
      </c>
      <c r="C16" s="4">
        <f t="shared" si="0"/>
        <v>4.7249999999999996</v>
      </c>
      <c r="E16" s="4">
        <v>5</v>
      </c>
      <c r="F16" s="21" t="s">
        <v>331</v>
      </c>
      <c r="G16" s="21">
        <v>1</v>
      </c>
      <c r="H16" s="21" t="s">
        <v>133</v>
      </c>
      <c r="I16" s="21" t="s">
        <v>274</v>
      </c>
      <c r="J16" s="21">
        <v>2</v>
      </c>
      <c r="K16" s="21" t="s">
        <v>121</v>
      </c>
      <c r="L16" s="21"/>
      <c r="M16" s="21" t="s">
        <v>313</v>
      </c>
      <c r="N16" s="23" t="str">
        <f t="shared" si="1"/>
        <v>5,00 €</v>
      </c>
      <c r="O16">
        <v>15</v>
      </c>
      <c r="P16" s="2">
        <v>1</v>
      </c>
      <c r="Q16" s="2">
        <v>1</v>
      </c>
      <c r="R16" t="str">
        <f t="shared" si="2"/>
        <v>CCFFFF</v>
      </c>
      <c r="S16" s="323" t="s">
        <v>274</v>
      </c>
      <c r="T16" t="s">
        <v>247</v>
      </c>
      <c r="V16" s="6" t="str">
        <f t="shared" si="3"/>
        <v>5,00 €</v>
      </c>
      <c r="W16" s="6" t="s">
        <v>581</v>
      </c>
      <c r="X16" t="str">
        <f t="shared" si="4"/>
        <v>BOU-PAI015</v>
      </c>
    </row>
    <row r="17" spans="1:24">
      <c r="A17" s="323" t="s">
        <v>314</v>
      </c>
      <c r="B17" s="4">
        <v>2.2999999999999998</v>
      </c>
      <c r="C17" s="4">
        <f t="shared" si="0"/>
        <v>2.1734999999999998</v>
      </c>
      <c r="F17" s="21" t="s">
        <v>331</v>
      </c>
      <c r="G17" s="21">
        <v>1</v>
      </c>
      <c r="H17" s="21" t="s">
        <v>133</v>
      </c>
      <c r="I17" s="21" t="s">
        <v>274</v>
      </c>
      <c r="J17" s="21">
        <v>2</v>
      </c>
      <c r="K17" s="21" t="s">
        <v>121</v>
      </c>
      <c r="L17" s="21"/>
      <c r="M17" s="21" t="s">
        <v>314</v>
      </c>
      <c r="N17" s="23" t="str">
        <f t="shared" si="1"/>
        <v>2,30 €</v>
      </c>
      <c r="O17">
        <v>16</v>
      </c>
      <c r="P17" s="2">
        <v>1</v>
      </c>
      <c r="Q17" s="2">
        <v>1</v>
      </c>
      <c r="R17" t="str">
        <f t="shared" si="2"/>
        <v>CCFFFF</v>
      </c>
      <c r="S17" s="323" t="s">
        <v>274</v>
      </c>
      <c r="T17" t="s">
        <v>241</v>
      </c>
      <c r="V17" s="6" t="str">
        <f t="shared" si="3"/>
        <v>2,30 €</v>
      </c>
      <c r="W17" s="6" t="s">
        <v>582</v>
      </c>
      <c r="X17" t="str">
        <f t="shared" si="4"/>
        <v>BOU-PAI016</v>
      </c>
    </row>
    <row r="18" spans="1:24">
      <c r="A18" s="323" t="s">
        <v>315</v>
      </c>
      <c r="B18" s="4">
        <v>2.6</v>
      </c>
      <c r="C18" s="4">
        <f t="shared" si="0"/>
        <v>2.4569999999999999</v>
      </c>
      <c r="D18">
        <v>300</v>
      </c>
      <c r="E18" s="4">
        <v>8.66</v>
      </c>
      <c r="F18" s="21" t="s">
        <v>331</v>
      </c>
      <c r="G18" s="21">
        <v>1</v>
      </c>
      <c r="H18" s="21" t="s">
        <v>133</v>
      </c>
      <c r="I18" s="21" t="s">
        <v>274</v>
      </c>
      <c r="J18" s="21">
        <v>2</v>
      </c>
      <c r="K18" s="21" t="s">
        <v>121</v>
      </c>
      <c r="L18" s="21"/>
      <c r="M18" s="21" t="s">
        <v>315</v>
      </c>
      <c r="N18" s="23" t="str">
        <f t="shared" si="1"/>
        <v>2,60 €</v>
      </c>
      <c r="O18">
        <v>17</v>
      </c>
      <c r="P18" s="2">
        <v>1</v>
      </c>
      <c r="Q18" s="2">
        <v>1</v>
      </c>
      <c r="R18" t="str">
        <f t="shared" si="2"/>
        <v>CCFFFF</v>
      </c>
      <c r="S18" s="323" t="s">
        <v>274</v>
      </c>
      <c r="T18" t="s">
        <v>244</v>
      </c>
      <c r="V18" s="6" t="str">
        <f t="shared" si="3"/>
        <v>2,60 €</v>
      </c>
      <c r="W18" s="6" t="s">
        <v>1104</v>
      </c>
      <c r="X18" t="str">
        <f t="shared" si="4"/>
        <v>BOU-PAI017</v>
      </c>
    </row>
    <row r="19" spans="1:24">
      <c r="A19" s="323" t="s">
        <v>316</v>
      </c>
      <c r="B19" s="4">
        <v>2.85</v>
      </c>
      <c r="C19" s="4">
        <f t="shared" si="0"/>
        <v>2.6932499999999999</v>
      </c>
      <c r="D19">
        <v>300</v>
      </c>
      <c r="E19" s="4">
        <v>9.5</v>
      </c>
      <c r="F19" s="21" t="s">
        <v>331</v>
      </c>
      <c r="G19" s="21">
        <v>1</v>
      </c>
      <c r="H19" s="21" t="s">
        <v>133</v>
      </c>
      <c r="I19" s="21" t="s">
        <v>274</v>
      </c>
      <c r="J19" s="21">
        <v>2</v>
      </c>
      <c r="K19" s="21" t="s">
        <v>121</v>
      </c>
      <c r="L19" s="21"/>
      <c r="M19" s="21" t="s">
        <v>316</v>
      </c>
      <c r="N19" s="23" t="str">
        <f t="shared" si="1"/>
        <v>2,85 €</v>
      </c>
      <c r="O19">
        <v>18</v>
      </c>
      <c r="P19" s="2">
        <v>1</v>
      </c>
      <c r="Q19" s="2">
        <v>1</v>
      </c>
      <c r="R19" t="str">
        <f t="shared" si="2"/>
        <v>CCFFFF</v>
      </c>
      <c r="S19" s="323" t="s">
        <v>274</v>
      </c>
      <c r="T19" t="s">
        <v>245</v>
      </c>
      <c r="V19" s="6" t="str">
        <f t="shared" si="3"/>
        <v>2,85 €</v>
      </c>
      <c r="W19" s="6" t="s">
        <v>583</v>
      </c>
      <c r="X19" t="str">
        <f t="shared" si="4"/>
        <v>BOU-PAI018</v>
      </c>
    </row>
    <row r="20" spans="1:24">
      <c r="A20" s="323" t="s">
        <v>317</v>
      </c>
      <c r="B20" s="4">
        <v>1.6</v>
      </c>
      <c r="C20" s="4">
        <f t="shared" si="0"/>
        <v>1.512</v>
      </c>
      <c r="D20">
        <v>300</v>
      </c>
      <c r="E20" s="4">
        <v>5.33</v>
      </c>
      <c r="F20" s="21" t="s">
        <v>331</v>
      </c>
      <c r="G20" s="21">
        <v>1</v>
      </c>
      <c r="H20" s="21" t="s">
        <v>133</v>
      </c>
      <c r="I20" s="21" t="s">
        <v>274</v>
      </c>
      <c r="J20" s="21">
        <v>2</v>
      </c>
      <c r="K20" s="21" t="s">
        <v>121</v>
      </c>
      <c r="L20" s="21"/>
      <c r="M20" s="21" t="s">
        <v>317</v>
      </c>
      <c r="N20" s="23" t="str">
        <f t="shared" si="1"/>
        <v>1,60 €</v>
      </c>
      <c r="O20">
        <v>19</v>
      </c>
      <c r="P20" s="2">
        <v>1</v>
      </c>
      <c r="Q20" s="2">
        <v>1</v>
      </c>
      <c r="R20" t="str">
        <f t="shared" si="2"/>
        <v>CCFFFF</v>
      </c>
      <c r="S20" s="323" t="s">
        <v>274</v>
      </c>
      <c r="T20" t="s">
        <v>242</v>
      </c>
      <c r="V20" s="6" t="str">
        <f t="shared" si="3"/>
        <v>1,60 €</v>
      </c>
      <c r="W20" s="6" t="s">
        <v>584</v>
      </c>
      <c r="X20" t="str">
        <f t="shared" si="4"/>
        <v>BOU-PAI019</v>
      </c>
    </row>
    <row r="21" spans="1:24">
      <c r="A21" s="323" t="s">
        <v>318</v>
      </c>
      <c r="B21" s="4">
        <v>2.2999999999999998</v>
      </c>
      <c r="C21" s="4">
        <f t="shared" si="0"/>
        <v>2.1734999999999998</v>
      </c>
      <c r="D21">
        <v>300</v>
      </c>
      <c r="E21" s="4">
        <v>7.66</v>
      </c>
      <c r="F21" s="21" t="s">
        <v>331</v>
      </c>
      <c r="G21" s="21">
        <v>1</v>
      </c>
      <c r="H21" s="21" t="s">
        <v>133</v>
      </c>
      <c r="I21" s="21" t="s">
        <v>274</v>
      </c>
      <c r="J21" s="21">
        <v>2</v>
      </c>
      <c r="K21" s="21" t="s">
        <v>121</v>
      </c>
      <c r="L21" s="21"/>
      <c r="M21" s="21" t="s">
        <v>318</v>
      </c>
      <c r="N21" s="23" t="str">
        <f t="shared" si="1"/>
        <v>2,30 €</v>
      </c>
      <c r="O21">
        <v>20</v>
      </c>
      <c r="P21" s="2">
        <v>1</v>
      </c>
      <c r="Q21" s="2">
        <v>1</v>
      </c>
      <c r="R21" t="str">
        <f t="shared" si="2"/>
        <v>CCFFFF</v>
      </c>
      <c r="S21" s="323" t="s">
        <v>274</v>
      </c>
      <c r="T21" t="s">
        <v>238</v>
      </c>
      <c r="V21" s="6" t="str">
        <f t="shared" si="3"/>
        <v>2,30 €</v>
      </c>
      <c r="W21" s="6" t="s">
        <v>585</v>
      </c>
      <c r="X21" t="str">
        <f t="shared" si="4"/>
        <v>BOU-PAI020</v>
      </c>
    </row>
    <row r="22" spans="1:24">
      <c r="A22" s="323" t="s">
        <v>319</v>
      </c>
      <c r="B22" s="4">
        <v>2.6</v>
      </c>
      <c r="C22" s="4">
        <f t="shared" si="0"/>
        <v>2.4569999999999999</v>
      </c>
      <c r="D22">
        <v>480</v>
      </c>
      <c r="E22" s="4">
        <v>5.41</v>
      </c>
      <c r="F22" s="21" t="s">
        <v>331</v>
      </c>
      <c r="G22" s="21">
        <v>1</v>
      </c>
      <c r="H22" s="21" t="s">
        <v>133</v>
      </c>
      <c r="I22" s="21" t="s">
        <v>274</v>
      </c>
      <c r="J22" s="21">
        <v>2</v>
      </c>
      <c r="K22" s="21" t="s">
        <v>121</v>
      </c>
      <c r="L22" s="21"/>
      <c r="M22" s="21" t="s">
        <v>319</v>
      </c>
      <c r="N22" s="23" t="str">
        <f t="shared" si="1"/>
        <v>2,60 €</v>
      </c>
      <c r="O22">
        <v>21</v>
      </c>
      <c r="P22" s="2">
        <v>1</v>
      </c>
      <c r="Q22" s="2">
        <v>1</v>
      </c>
      <c r="R22" t="str">
        <f t="shared" si="2"/>
        <v>CCFFFF</v>
      </c>
      <c r="S22" s="323" t="s">
        <v>274</v>
      </c>
      <c r="T22" t="s">
        <v>243</v>
      </c>
      <c r="V22" s="6" t="str">
        <f t="shared" si="3"/>
        <v>2,60 €</v>
      </c>
      <c r="W22" s="6" t="s">
        <v>586</v>
      </c>
      <c r="X22" t="str">
        <f t="shared" si="4"/>
        <v>BOU-PAI021</v>
      </c>
    </row>
    <row r="23" spans="1:24">
      <c r="A23" s="323" t="s">
        <v>640</v>
      </c>
      <c r="B23" s="4">
        <v>1.2</v>
      </c>
      <c r="C23" s="4">
        <f t="shared" si="0"/>
        <v>1.1339999999999999</v>
      </c>
      <c r="D23">
        <v>480</v>
      </c>
      <c r="E23" s="4">
        <v>5.41</v>
      </c>
      <c r="F23" s="21" t="s">
        <v>331</v>
      </c>
      <c r="G23" s="21">
        <v>1</v>
      </c>
      <c r="H23" s="21" t="s">
        <v>133</v>
      </c>
      <c r="I23" s="21" t="s">
        <v>274</v>
      </c>
      <c r="J23" s="21">
        <v>2</v>
      </c>
      <c r="K23" s="21" t="s">
        <v>121</v>
      </c>
      <c r="L23" s="21"/>
      <c r="M23" s="21" t="s">
        <v>640</v>
      </c>
      <c r="N23" s="23" t="str">
        <f t="shared" si="1"/>
        <v>1,20 €</v>
      </c>
      <c r="O23">
        <v>22</v>
      </c>
      <c r="P23" s="2">
        <v>0</v>
      </c>
      <c r="Q23" s="2">
        <v>1</v>
      </c>
      <c r="R23" t="str">
        <f t="shared" si="2"/>
        <v>CCFFFF</v>
      </c>
      <c r="S23" s="323" t="s">
        <v>274</v>
      </c>
      <c r="T23" t="s">
        <v>640</v>
      </c>
      <c r="V23" s="6" t="str">
        <f t="shared" si="3"/>
        <v>1,20 €</v>
      </c>
      <c r="W23" s="6" t="s">
        <v>641</v>
      </c>
      <c r="X23" t="str">
        <f t="shared" si="4"/>
        <v>BOU-PAI022</v>
      </c>
    </row>
    <row r="24" spans="1:24">
      <c r="A24" s="323" t="s">
        <v>900</v>
      </c>
      <c r="B24" s="4">
        <v>2.8</v>
      </c>
      <c r="C24" s="4">
        <f t="shared" si="0"/>
        <v>2.6459999999999999</v>
      </c>
      <c r="D24">
        <v>300</v>
      </c>
      <c r="E24" s="4">
        <v>9.33</v>
      </c>
      <c r="F24" s="21" t="s">
        <v>331</v>
      </c>
      <c r="G24" s="21">
        <v>1</v>
      </c>
      <c r="H24" s="21" t="s">
        <v>133</v>
      </c>
      <c r="I24" s="21" t="s">
        <v>274</v>
      </c>
      <c r="J24" s="21">
        <v>2</v>
      </c>
      <c r="K24" s="21" t="s">
        <v>121</v>
      </c>
      <c r="L24" s="21"/>
      <c r="M24" s="21" t="s">
        <v>901</v>
      </c>
      <c r="N24" s="23" t="str">
        <f t="shared" si="1"/>
        <v>2,80 €</v>
      </c>
      <c r="O24">
        <v>23</v>
      </c>
      <c r="P24" s="2">
        <v>1</v>
      </c>
      <c r="Q24" s="2">
        <v>1</v>
      </c>
      <c r="R24" t="str">
        <f t="shared" si="2"/>
        <v>CCFFFF</v>
      </c>
      <c r="S24" s="323" t="s">
        <v>274</v>
      </c>
      <c r="T24" t="s">
        <v>246</v>
      </c>
      <c r="V24" s="6" t="str">
        <f t="shared" si="3"/>
        <v>2,80 €</v>
      </c>
      <c r="W24" s="6" t="s">
        <v>587</v>
      </c>
      <c r="X24" t="str">
        <f t="shared" si="4"/>
        <v>BOU-PAI023</v>
      </c>
    </row>
    <row r="25" spans="1:24">
      <c r="A25" s="323" t="s">
        <v>561</v>
      </c>
      <c r="B25" s="4">
        <v>2.8</v>
      </c>
      <c r="C25" s="4">
        <f t="shared" si="0"/>
        <v>2.6459999999999999</v>
      </c>
      <c r="F25" s="21" t="s">
        <v>331</v>
      </c>
      <c r="G25" s="21">
        <v>1</v>
      </c>
      <c r="H25" s="21" t="s">
        <v>133</v>
      </c>
      <c r="I25" s="21" t="s">
        <v>274</v>
      </c>
      <c r="J25" s="21">
        <v>2</v>
      </c>
      <c r="K25" s="21" t="s">
        <v>121</v>
      </c>
      <c r="L25" s="21"/>
      <c r="M25" s="21" t="s">
        <v>320</v>
      </c>
      <c r="N25" s="23" t="str">
        <f t="shared" si="1"/>
        <v>2,80 €</v>
      </c>
      <c r="O25">
        <v>24</v>
      </c>
      <c r="P25" s="2">
        <v>1</v>
      </c>
      <c r="Q25" s="2">
        <v>1</v>
      </c>
      <c r="R25" t="str">
        <f t="shared" si="2"/>
        <v>CCFFFF</v>
      </c>
      <c r="S25" s="323" t="s">
        <v>274</v>
      </c>
      <c r="T25" t="s">
        <v>304</v>
      </c>
      <c r="V25" s="6" t="str">
        <f t="shared" si="3"/>
        <v>2,80 €</v>
      </c>
      <c r="W25" s="6" t="s">
        <v>588</v>
      </c>
      <c r="X25" t="str">
        <f t="shared" si="4"/>
        <v>BOU-PAI024</v>
      </c>
    </row>
    <row r="26" spans="1:24">
      <c r="A26" s="323" t="s">
        <v>902</v>
      </c>
      <c r="B26" s="4">
        <v>3</v>
      </c>
      <c r="C26" s="4">
        <f t="shared" si="0"/>
        <v>2.835</v>
      </c>
      <c r="F26" s="21" t="s">
        <v>331</v>
      </c>
      <c r="G26" s="21">
        <v>1</v>
      </c>
      <c r="H26" s="21" t="s">
        <v>133</v>
      </c>
      <c r="I26" s="21" t="s">
        <v>274</v>
      </c>
      <c r="J26" s="21">
        <v>2</v>
      </c>
      <c r="K26" s="21" t="s">
        <v>121</v>
      </c>
      <c r="L26" s="21"/>
      <c r="M26" s="21" t="str">
        <f>A26</f>
        <v>Pain Nordique</v>
      </c>
      <c r="N26" s="23" t="str">
        <f t="shared" si="1"/>
        <v>3,00 €</v>
      </c>
      <c r="O26">
        <v>25</v>
      </c>
      <c r="P26" s="2">
        <v>1</v>
      </c>
      <c r="Q26" s="2">
        <v>1</v>
      </c>
      <c r="R26" t="str">
        <f t="shared" si="2"/>
        <v>CCFFFF</v>
      </c>
      <c r="S26" s="323" t="s">
        <v>274</v>
      </c>
      <c r="T26" t="str">
        <f t="shared" ref="T26:T34" si="5">A26</f>
        <v>Pain Nordique</v>
      </c>
      <c r="V26" s="6" t="str">
        <f t="shared" si="3"/>
        <v>3,00 €</v>
      </c>
      <c r="W26" s="6" t="s">
        <v>1106</v>
      </c>
      <c r="X26" t="str">
        <f t="shared" si="4"/>
        <v>BOU-PAI025</v>
      </c>
    </row>
    <row r="27" spans="1:24">
      <c r="A27" s="323" t="s">
        <v>408</v>
      </c>
      <c r="B27" s="4">
        <v>0.65</v>
      </c>
      <c r="C27" s="4">
        <f t="shared" si="0"/>
        <v>0.61424999999999996</v>
      </c>
      <c r="F27" s="21" t="s">
        <v>331</v>
      </c>
      <c r="G27" s="21">
        <v>1</v>
      </c>
      <c r="H27" s="21" t="s">
        <v>133</v>
      </c>
      <c r="I27" s="30" t="s">
        <v>305</v>
      </c>
      <c r="J27" s="30">
        <v>3</v>
      </c>
      <c r="K27" s="30" t="s">
        <v>123</v>
      </c>
      <c r="L27" s="30"/>
      <c r="M27" s="30" t="s">
        <v>910</v>
      </c>
      <c r="N27" s="31" t="str">
        <f t="shared" si="1"/>
        <v>0,65 €</v>
      </c>
      <c r="O27">
        <v>1</v>
      </c>
      <c r="P27" s="2">
        <v>1</v>
      </c>
      <c r="Q27" s="2">
        <v>1</v>
      </c>
      <c r="R27" t="str">
        <f t="shared" si="2"/>
        <v>99FFFF</v>
      </c>
      <c r="S27" s="323" t="s">
        <v>274</v>
      </c>
      <c r="T27" t="str">
        <f t="shared" si="5"/>
        <v>Les Petits Pains Nature</v>
      </c>
      <c r="V27" s="6" t="str">
        <f t="shared" si="3"/>
        <v>0,65 €</v>
      </c>
      <c r="W27" s="6" t="s">
        <v>1103</v>
      </c>
      <c r="X27" t="str">
        <f t="shared" si="4"/>
        <v>BOU-PPN001</v>
      </c>
    </row>
    <row r="28" spans="1:24">
      <c r="A28" s="323" t="s">
        <v>300</v>
      </c>
      <c r="B28" s="4">
        <v>0.65</v>
      </c>
      <c r="C28" s="4">
        <f t="shared" si="0"/>
        <v>0.61424999999999996</v>
      </c>
      <c r="F28" s="21" t="s">
        <v>331</v>
      </c>
      <c r="G28" s="21">
        <v>1</v>
      </c>
      <c r="H28" s="21" t="s">
        <v>133</v>
      </c>
      <c r="I28" s="30" t="s">
        <v>305</v>
      </c>
      <c r="J28" s="30">
        <v>3</v>
      </c>
      <c r="K28" s="30" t="s">
        <v>123</v>
      </c>
      <c r="L28" s="30"/>
      <c r="M28" s="30" t="str">
        <f t="shared" ref="M28:M34" si="6">A28</f>
        <v>Petits Pains Maïs-Chocolat</v>
      </c>
      <c r="N28" s="31" t="str">
        <f t="shared" si="1"/>
        <v>0,65 €</v>
      </c>
      <c r="O28">
        <v>2</v>
      </c>
      <c r="P28" s="2">
        <v>1</v>
      </c>
      <c r="Q28" s="2">
        <v>1</v>
      </c>
      <c r="R28" t="str">
        <f t="shared" si="2"/>
        <v>99FFFF</v>
      </c>
      <c r="S28" s="323" t="s">
        <v>274</v>
      </c>
      <c r="T28" t="str">
        <f t="shared" si="5"/>
        <v>Petits Pains Maïs-Chocolat</v>
      </c>
      <c r="V28" s="6" t="str">
        <f t="shared" si="3"/>
        <v>0,65 €</v>
      </c>
      <c r="W28" s="6" t="s">
        <v>589</v>
      </c>
      <c r="X28" t="str">
        <f t="shared" si="4"/>
        <v>BOU-PPN002</v>
      </c>
    </row>
    <row r="29" spans="1:24">
      <c r="A29" s="323" t="s">
        <v>89</v>
      </c>
      <c r="B29" s="4">
        <v>1.5</v>
      </c>
      <c r="C29" s="4">
        <f t="shared" si="0"/>
        <v>1.4175</v>
      </c>
      <c r="F29" s="21" t="s">
        <v>331</v>
      </c>
      <c r="G29" s="21">
        <v>1</v>
      </c>
      <c r="H29" s="21" t="s">
        <v>133</v>
      </c>
      <c r="I29" s="30" t="s">
        <v>305</v>
      </c>
      <c r="J29" s="30">
        <v>3</v>
      </c>
      <c r="K29" s="30" t="s">
        <v>123</v>
      </c>
      <c r="L29" s="30"/>
      <c r="M29" s="30" t="str">
        <f t="shared" si="6"/>
        <v>Petits Pains Aromatisés</v>
      </c>
      <c r="N29" s="31" t="str">
        <f t="shared" si="1"/>
        <v>1,50 €</v>
      </c>
      <c r="O29">
        <v>3</v>
      </c>
      <c r="P29" s="2">
        <v>1</v>
      </c>
      <c r="Q29" s="2">
        <v>1</v>
      </c>
      <c r="R29" t="str">
        <f t="shared" si="2"/>
        <v>99FFFF</v>
      </c>
      <c r="S29" s="323" t="s">
        <v>274</v>
      </c>
      <c r="T29" t="str">
        <f t="shared" si="5"/>
        <v>Petits Pains Aromatisés</v>
      </c>
      <c r="V29" s="6" t="str">
        <f t="shared" si="3"/>
        <v>1,50 €</v>
      </c>
      <c r="W29" s="6" t="s">
        <v>590</v>
      </c>
      <c r="X29" t="str">
        <f t="shared" si="4"/>
        <v>BOU-PPN003</v>
      </c>
    </row>
    <row r="30" spans="1:24">
      <c r="A30" s="323" t="s">
        <v>840</v>
      </c>
      <c r="B30" s="4">
        <v>0</v>
      </c>
      <c r="C30" s="4">
        <f t="shared" si="0"/>
        <v>0</v>
      </c>
      <c r="F30" s="21" t="s">
        <v>331</v>
      </c>
      <c r="G30" s="21">
        <v>1</v>
      </c>
      <c r="H30" s="21" t="s">
        <v>133</v>
      </c>
      <c r="I30" s="303" t="s">
        <v>306</v>
      </c>
      <c r="J30" s="303">
        <v>4</v>
      </c>
      <c r="K30" s="303" t="s">
        <v>124</v>
      </c>
      <c r="L30" s="303"/>
      <c r="M30" s="303" t="str">
        <f t="shared" si="6"/>
        <v>Divers Boulangerie</v>
      </c>
      <c r="N30" s="304" t="str">
        <f t="shared" si="1"/>
        <v>0,00 €</v>
      </c>
      <c r="O30">
        <v>1</v>
      </c>
      <c r="P30" s="302">
        <v>1</v>
      </c>
      <c r="Q30" s="302">
        <v>0</v>
      </c>
      <c r="R30" t="str">
        <f t="shared" si="2"/>
        <v>DBDCF2</v>
      </c>
      <c r="T30" t="str">
        <f t="shared" si="5"/>
        <v>Divers Boulangerie</v>
      </c>
      <c r="V30" s="6" t="str">
        <f t="shared" si="3"/>
        <v>0,00 €</v>
      </c>
      <c r="X30" t="str">
        <f t="shared" si="4"/>
        <v>BOU-DIV001</v>
      </c>
    </row>
    <row r="31" spans="1:24">
      <c r="A31" s="323" t="s">
        <v>387</v>
      </c>
      <c r="B31" s="4">
        <v>1.05</v>
      </c>
      <c r="C31" s="4">
        <v>1</v>
      </c>
      <c r="F31" s="20" t="s">
        <v>275</v>
      </c>
      <c r="G31" s="20">
        <v>2</v>
      </c>
      <c r="H31" s="20" t="s">
        <v>125</v>
      </c>
      <c r="I31" s="20" t="s">
        <v>275</v>
      </c>
      <c r="J31" s="20">
        <v>1</v>
      </c>
      <c r="K31" s="20" t="s">
        <v>125</v>
      </c>
      <c r="L31" s="20"/>
      <c r="M31" s="20" t="str">
        <f t="shared" si="6"/>
        <v>Croissant</v>
      </c>
      <c r="N31" s="25" t="str">
        <f t="shared" si="1"/>
        <v>1,05 €</v>
      </c>
      <c r="O31">
        <v>1</v>
      </c>
      <c r="P31" s="2">
        <v>1</v>
      </c>
      <c r="Q31" s="2">
        <v>1</v>
      </c>
      <c r="R31" t="str">
        <f t="shared" si="2"/>
        <v>CCFFCC</v>
      </c>
      <c r="S31" s="323" t="s">
        <v>273</v>
      </c>
      <c r="T31" t="str">
        <f t="shared" si="5"/>
        <v>Croissant</v>
      </c>
      <c r="V31" s="6" t="str">
        <f t="shared" si="3"/>
        <v>1,05 €</v>
      </c>
      <c r="W31" s="6" t="s">
        <v>508</v>
      </c>
      <c r="X31" t="str">
        <f t="shared" si="4"/>
        <v>VIE-VIE001</v>
      </c>
    </row>
    <row r="32" spans="1:24">
      <c r="A32" s="323" t="s">
        <v>284</v>
      </c>
      <c r="B32" s="4">
        <v>1</v>
      </c>
      <c r="C32" s="4">
        <f>B32</f>
        <v>1</v>
      </c>
      <c r="F32" s="20" t="s">
        <v>275</v>
      </c>
      <c r="G32" s="20">
        <v>2</v>
      </c>
      <c r="H32" s="20" t="s">
        <v>125</v>
      </c>
      <c r="I32" s="20" t="s">
        <v>275</v>
      </c>
      <c r="J32" s="20">
        <v>1</v>
      </c>
      <c r="K32" s="20" t="s">
        <v>125</v>
      </c>
      <c r="L32" s="20"/>
      <c r="M32" s="20" t="str">
        <f t="shared" si="6"/>
        <v>Croissant Ordinaire</v>
      </c>
      <c r="N32" s="25" t="str">
        <f t="shared" si="1"/>
        <v>1,00 €</v>
      </c>
      <c r="O32">
        <v>2</v>
      </c>
      <c r="P32" s="2">
        <v>1</v>
      </c>
      <c r="Q32" s="2">
        <v>1</v>
      </c>
      <c r="R32" t="str">
        <f t="shared" si="2"/>
        <v>CCFFCC</v>
      </c>
      <c r="S32" s="323" t="s">
        <v>273</v>
      </c>
      <c r="T32" t="str">
        <f t="shared" si="5"/>
        <v>Croissant Ordinaire</v>
      </c>
      <c r="V32" s="6" t="str">
        <f t="shared" si="3"/>
        <v>1,00 €</v>
      </c>
      <c r="W32" s="6" t="s">
        <v>509</v>
      </c>
      <c r="X32" t="str">
        <f t="shared" si="4"/>
        <v>VIE-VIE002</v>
      </c>
    </row>
    <row r="33" spans="1:24">
      <c r="A33" s="323" t="s">
        <v>285</v>
      </c>
      <c r="B33" s="4">
        <v>1.5</v>
      </c>
      <c r="C33" s="4">
        <f>B33</f>
        <v>1.5</v>
      </c>
      <c r="F33" s="20" t="s">
        <v>275</v>
      </c>
      <c r="G33" s="20">
        <v>2</v>
      </c>
      <c r="H33" s="20" t="s">
        <v>125</v>
      </c>
      <c r="I33" s="20" t="s">
        <v>275</v>
      </c>
      <c r="J33" s="20">
        <v>1</v>
      </c>
      <c r="K33" s="20" t="s">
        <v>125</v>
      </c>
      <c r="L33" s="20"/>
      <c r="M33" s="20" t="str">
        <f t="shared" si="6"/>
        <v>Croissant aux Amandes</v>
      </c>
      <c r="N33" s="25" t="str">
        <f t="shared" si="1"/>
        <v>1,50 €</v>
      </c>
      <c r="O33">
        <v>3</v>
      </c>
      <c r="P33" s="2">
        <v>1</v>
      </c>
      <c r="Q33" s="2">
        <v>1</v>
      </c>
      <c r="R33" t="str">
        <f t="shared" si="2"/>
        <v>CCFFCC</v>
      </c>
      <c r="S33" s="323" t="s">
        <v>273</v>
      </c>
      <c r="T33" t="str">
        <f t="shared" si="5"/>
        <v>Croissant aux Amandes</v>
      </c>
      <c r="V33" s="6" t="str">
        <f t="shared" si="3"/>
        <v>1,50 €</v>
      </c>
      <c r="W33" s="6" t="s">
        <v>510</v>
      </c>
      <c r="X33" t="str">
        <f t="shared" si="4"/>
        <v>VIE-VIE003</v>
      </c>
    </row>
    <row r="34" spans="1:24">
      <c r="A34" s="323" t="s">
        <v>286</v>
      </c>
      <c r="B34" s="4">
        <v>1.1499999999999999</v>
      </c>
      <c r="C34" s="4">
        <v>1</v>
      </c>
      <c r="F34" s="20" t="s">
        <v>275</v>
      </c>
      <c r="G34" s="20">
        <v>2</v>
      </c>
      <c r="H34" s="20" t="s">
        <v>125</v>
      </c>
      <c r="I34" s="20" t="s">
        <v>275</v>
      </c>
      <c r="J34" s="20">
        <v>1</v>
      </c>
      <c r="K34" s="20" t="s">
        <v>125</v>
      </c>
      <c r="L34" s="20"/>
      <c r="M34" s="20" t="str">
        <f t="shared" si="6"/>
        <v>Pain au Chocolat</v>
      </c>
      <c r="N34" s="25" t="str">
        <f t="shared" si="1"/>
        <v>1,15 €</v>
      </c>
      <c r="O34">
        <v>4</v>
      </c>
      <c r="P34" s="2">
        <v>1</v>
      </c>
      <c r="Q34" s="2">
        <v>1</v>
      </c>
      <c r="R34" t="str">
        <f t="shared" si="2"/>
        <v>CCFFCC</v>
      </c>
      <c r="S34" s="323" t="s">
        <v>273</v>
      </c>
      <c r="T34" t="str">
        <f t="shared" si="5"/>
        <v>Pain au Chocolat</v>
      </c>
      <c r="V34" s="6" t="str">
        <f t="shared" si="3"/>
        <v>1,15 €</v>
      </c>
      <c r="W34" s="6" t="s">
        <v>511</v>
      </c>
      <c r="X34" t="str">
        <f t="shared" si="4"/>
        <v>VIE-VIE004</v>
      </c>
    </row>
    <row r="35" spans="1:24">
      <c r="A35" s="323" t="s">
        <v>287</v>
      </c>
      <c r="B35" s="4">
        <v>1.5</v>
      </c>
      <c r="C35" s="4">
        <f t="shared" ref="C35:C46" si="7">B35</f>
        <v>1.5</v>
      </c>
      <c r="F35" s="20" t="s">
        <v>275</v>
      </c>
      <c r="G35" s="20">
        <v>2</v>
      </c>
      <c r="H35" s="20" t="s">
        <v>125</v>
      </c>
      <c r="I35" s="20" t="s">
        <v>275</v>
      </c>
      <c r="J35" s="20">
        <v>1</v>
      </c>
      <c r="K35" s="20" t="s">
        <v>125</v>
      </c>
      <c r="L35" s="20"/>
      <c r="M35" s="20" t="s">
        <v>207</v>
      </c>
      <c r="N35" s="25" t="str">
        <f t="shared" si="1"/>
        <v>1,50 €</v>
      </c>
      <c r="O35">
        <v>5</v>
      </c>
      <c r="P35" s="2">
        <v>1</v>
      </c>
      <c r="Q35" s="2">
        <v>1</v>
      </c>
      <c r="R35" t="str">
        <f t="shared" si="2"/>
        <v>CCFFCC</v>
      </c>
      <c r="S35" s="323" t="s">
        <v>273</v>
      </c>
      <c r="T35" t="s">
        <v>287</v>
      </c>
      <c r="V35" s="6" t="str">
        <f t="shared" si="3"/>
        <v>1,50 €</v>
      </c>
      <c r="W35" s="6" t="s">
        <v>512</v>
      </c>
      <c r="X35" t="str">
        <f t="shared" si="4"/>
        <v>VIE-VIE005</v>
      </c>
    </row>
    <row r="36" spans="1:24">
      <c r="A36" s="323" t="s">
        <v>283</v>
      </c>
      <c r="B36" s="4">
        <v>1.45</v>
      </c>
      <c r="C36" s="4">
        <f t="shared" si="7"/>
        <v>1.45</v>
      </c>
      <c r="F36" s="20" t="s">
        <v>275</v>
      </c>
      <c r="G36" s="20">
        <v>2</v>
      </c>
      <c r="H36" s="20" t="s">
        <v>125</v>
      </c>
      <c r="I36" s="20" t="s">
        <v>275</v>
      </c>
      <c r="J36" s="20">
        <v>1</v>
      </c>
      <c r="K36" s="20" t="s">
        <v>125</v>
      </c>
      <c r="L36" s="20"/>
      <c r="M36" s="20" t="s">
        <v>283</v>
      </c>
      <c r="N36" s="25" t="str">
        <f t="shared" si="1"/>
        <v>1,45 €</v>
      </c>
      <c r="O36">
        <v>6</v>
      </c>
      <c r="P36" s="2">
        <v>1</v>
      </c>
      <c r="Q36" s="2">
        <v>1</v>
      </c>
      <c r="R36" t="str">
        <f t="shared" si="2"/>
        <v>CCFFCC</v>
      </c>
      <c r="S36" s="323" t="s">
        <v>273</v>
      </c>
      <c r="T36" t="str">
        <f>A36</f>
        <v>Pain aux Raisins</v>
      </c>
      <c r="V36" s="6" t="str">
        <f t="shared" si="3"/>
        <v>1,45 €</v>
      </c>
      <c r="W36" s="6" t="s">
        <v>513</v>
      </c>
      <c r="X36" t="str">
        <f t="shared" si="4"/>
        <v>VIE-VIE006</v>
      </c>
    </row>
    <row r="37" spans="1:24">
      <c r="A37" s="323" t="s">
        <v>288</v>
      </c>
      <c r="B37" s="4">
        <v>1.45</v>
      </c>
      <c r="C37" s="4">
        <f t="shared" si="7"/>
        <v>1.45</v>
      </c>
      <c r="F37" s="20" t="s">
        <v>275</v>
      </c>
      <c r="G37" s="20">
        <v>2</v>
      </c>
      <c r="H37" s="20" t="s">
        <v>125</v>
      </c>
      <c r="I37" s="20" t="s">
        <v>275</v>
      </c>
      <c r="J37" s="20">
        <v>1</v>
      </c>
      <c r="K37" s="20" t="s">
        <v>125</v>
      </c>
      <c r="L37" s="20"/>
      <c r="M37" s="20" t="str">
        <f t="shared" ref="M37:M50" si="8">A37</f>
        <v>Chausson aux Pommes</v>
      </c>
      <c r="N37" s="25" t="str">
        <f t="shared" ref="N37:N72" si="9">IF(B37&lt;&gt;"",TEXT(B37,"0,00 €"),"")</f>
        <v>1,45 €</v>
      </c>
      <c r="O37">
        <v>7</v>
      </c>
      <c r="P37" s="2">
        <v>1</v>
      </c>
      <c r="Q37" s="2">
        <v>1</v>
      </c>
      <c r="R37" t="str">
        <f t="shared" si="2"/>
        <v>CCFFCC</v>
      </c>
      <c r="S37" s="323" t="s">
        <v>273</v>
      </c>
      <c r="T37" t="str">
        <f>A37</f>
        <v>Chausson aux Pommes</v>
      </c>
      <c r="V37" s="6" t="str">
        <f t="shared" ref="V37:V72" si="10">N37</f>
        <v>1,45 €</v>
      </c>
      <c r="W37" s="6" t="s">
        <v>576</v>
      </c>
      <c r="X37" t="str">
        <f t="shared" si="4"/>
        <v>VIE-VIE007</v>
      </c>
    </row>
    <row r="38" spans="1:24">
      <c r="A38" s="323" t="s">
        <v>289</v>
      </c>
      <c r="B38" s="4">
        <v>1.2</v>
      </c>
      <c r="C38" s="4">
        <f t="shared" si="7"/>
        <v>1.2</v>
      </c>
      <c r="F38" s="20" t="s">
        <v>275</v>
      </c>
      <c r="G38" s="20">
        <v>2</v>
      </c>
      <c r="H38" s="20" t="s">
        <v>125</v>
      </c>
      <c r="I38" s="20" t="s">
        <v>275</v>
      </c>
      <c r="J38" s="20">
        <v>1</v>
      </c>
      <c r="K38" s="20" t="s">
        <v>125</v>
      </c>
      <c r="L38" s="20"/>
      <c r="M38" s="20" t="str">
        <f t="shared" si="8"/>
        <v>Viennoise Nature</v>
      </c>
      <c r="N38" s="25" t="str">
        <f t="shared" si="9"/>
        <v>1,20 €</v>
      </c>
      <c r="O38">
        <v>8</v>
      </c>
      <c r="P38" s="2">
        <v>1</v>
      </c>
      <c r="Q38" s="2">
        <v>1</v>
      </c>
      <c r="R38" t="str">
        <f t="shared" si="2"/>
        <v>CCFFCC</v>
      </c>
      <c r="S38" s="323" t="s">
        <v>273</v>
      </c>
      <c r="T38" t="str">
        <f>A38</f>
        <v>Viennoise Nature</v>
      </c>
      <c r="V38" s="6" t="str">
        <f t="shared" si="10"/>
        <v>1,20 €</v>
      </c>
      <c r="W38" s="6" t="s">
        <v>514</v>
      </c>
      <c r="X38" t="str">
        <f t="shared" si="4"/>
        <v>VIE-VIE008</v>
      </c>
    </row>
    <row r="39" spans="1:24">
      <c r="A39" s="323" t="s">
        <v>1896</v>
      </c>
      <c r="B39" s="4">
        <v>1.4</v>
      </c>
      <c r="C39" s="4">
        <f t="shared" si="7"/>
        <v>1.4</v>
      </c>
      <c r="F39" s="20" t="s">
        <v>275</v>
      </c>
      <c r="G39" s="20">
        <v>2</v>
      </c>
      <c r="H39" s="20" t="s">
        <v>125</v>
      </c>
      <c r="I39" s="20" t="s">
        <v>275</v>
      </c>
      <c r="J39" s="20">
        <v>1</v>
      </c>
      <c r="K39" s="20" t="s">
        <v>125</v>
      </c>
      <c r="L39" s="20"/>
      <c r="M39" s="20" t="str">
        <f t="shared" si="8"/>
        <v>Viennoise au Chocolat</v>
      </c>
      <c r="N39" s="25" t="str">
        <f t="shared" si="9"/>
        <v>1,40 €</v>
      </c>
      <c r="O39">
        <v>9</v>
      </c>
      <c r="P39" s="2">
        <v>1</v>
      </c>
      <c r="Q39" s="2">
        <v>1</v>
      </c>
      <c r="R39" t="str">
        <f t="shared" si="2"/>
        <v>CCFFCC</v>
      </c>
      <c r="S39" s="323" t="s">
        <v>273</v>
      </c>
      <c r="T39" t="s">
        <v>4</v>
      </c>
      <c r="V39" s="6" t="str">
        <f t="shared" si="10"/>
        <v>1,40 €</v>
      </c>
      <c r="W39" s="6" t="s">
        <v>515</v>
      </c>
      <c r="X39" t="str">
        <f t="shared" si="4"/>
        <v>VIE-VIE009</v>
      </c>
    </row>
    <row r="40" spans="1:24">
      <c r="A40" s="323" t="s">
        <v>388</v>
      </c>
      <c r="B40" s="4">
        <v>0.25</v>
      </c>
      <c r="C40" s="4">
        <f t="shared" si="7"/>
        <v>0.25</v>
      </c>
      <c r="F40" s="20" t="s">
        <v>275</v>
      </c>
      <c r="G40" s="20">
        <v>2</v>
      </c>
      <c r="H40" s="20" t="s">
        <v>125</v>
      </c>
      <c r="I40" s="20" t="s">
        <v>275</v>
      </c>
      <c r="J40" s="20">
        <v>1</v>
      </c>
      <c r="K40" s="20" t="s">
        <v>125</v>
      </c>
      <c r="L40" s="20"/>
      <c r="M40" s="20" t="str">
        <f t="shared" si="8"/>
        <v>Chouquettes</v>
      </c>
      <c r="N40" s="25" t="str">
        <f t="shared" si="9"/>
        <v>0,25 €</v>
      </c>
      <c r="O40">
        <v>10</v>
      </c>
      <c r="P40" s="2">
        <v>1</v>
      </c>
      <c r="Q40" s="2">
        <v>1</v>
      </c>
      <c r="R40" t="str">
        <f t="shared" si="2"/>
        <v>CCFFCC</v>
      </c>
      <c r="S40" s="323" t="s">
        <v>273</v>
      </c>
      <c r="T40" t="str">
        <f t="shared" ref="T40:T75" si="11">A40</f>
        <v>Chouquettes</v>
      </c>
      <c r="U40" t="s">
        <v>280</v>
      </c>
      <c r="V40" s="6" t="str">
        <f t="shared" si="10"/>
        <v>0,25 €</v>
      </c>
      <c r="W40" s="6" t="s">
        <v>516</v>
      </c>
      <c r="X40" t="str">
        <f t="shared" si="4"/>
        <v>VIE-VIE010</v>
      </c>
    </row>
    <row r="41" spans="1:24">
      <c r="A41" s="323" t="s">
        <v>291</v>
      </c>
      <c r="B41" s="4">
        <v>0.55000000000000004</v>
      </c>
      <c r="C41" s="4">
        <f t="shared" si="7"/>
        <v>0.55000000000000004</v>
      </c>
      <c r="F41" s="20" t="s">
        <v>275</v>
      </c>
      <c r="G41" s="20">
        <v>2</v>
      </c>
      <c r="H41" s="20" t="s">
        <v>125</v>
      </c>
      <c r="I41" s="20" t="s">
        <v>275</v>
      </c>
      <c r="J41" s="20">
        <v>1</v>
      </c>
      <c r="K41" s="20" t="s">
        <v>125</v>
      </c>
      <c r="L41" s="20"/>
      <c r="M41" s="20" t="str">
        <f t="shared" si="8"/>
        <v>Mini Viennoiserie</v>
      </c>
      <c r="N41" s="25" t="str">
        <f t="shared" si="9"/>
        <v>0,55 €</v>
      </c>
      <c r="O41">
        <v>11</v>
      </c>
      <c r="P41" s="2">
        <v>1</v>
      </c>
      <c r="Q41" s="2">
        <v>1</v>
      </c>
      <c r="R41" t="str">
        <f t="shared" si="2"/>
        <v>CCFFCC</v>
      </c>
      <c r="S41" s="323" t="s">
        <v>273</v>
      </c>
      <c r="T41" t="str">
        <f t="shared" si="11"/>
        <v>Mini Viennoiserie</v>
      </c>
      <c r="V41" s="6" t="str">
        <f t="shared" si="10"/>
        <v>0,55 €</v>
      </c>
      <c r="W41" s="6" t="s">
        <v>517</v>
      </c>
      <c r="X41" t="str">
        <f t="shared" si="4"/>
        <v>VIE-VIE011</v>
      </c>
    </row>
    <row r="42" spans="1:24">
      <c r="A42" s="323" t="s">
        <v>296</v>
      </c>
      <c r="B42" s="4">
        <v>1.5</v>
      </c>
      <c r="C42" s="4">
        <f t="shared" si="7"/>
        <v>1.5</v>
      </c>
      <c r="F42" s="20" t="s">
        <v>275</v>
      </c>
      <c r="G42" s="20">
        <v>2</v>
      </c>
      <c r="H42" s="20" t="s">
        <v>125</v>
      </c>
      <c r="I42" s="20" t="s">
        <v>275</v>
      </c>
      <c r="J42" s="20">
        <v>1</v>
      </c>
      <c r="K42" s="20" t="s">
        <v>125</v>
      </c>
      <c r="L42" s="20"/>
      <c r="M42" s="20" t="str">
        <f t="shared" si="8"/>
        <v>Barre Energétique</v>
      </c>
      <c r="N42" s="25" t="str">
        <f t="shared" si="9"/>
        <v>1,50 €</v>
      </c>
      <c r="O42">
        <v>12</v>
      </c>
      <c r="P42" s="2">
        <v>1</v>
      </c>
      <c r="Q42" s="2">
        <v>1</v>
      </c>
      <c r="R42" t="str">
        <f t="shared" si="2"/>
        <v>CCFFCC</v>
      </c>
      <c r="S42" s="323" t="s">
        <v>273</v>
      </c>
      <c r="T42" t="str">
        <f t="shared" si="11"/>
        <v>Barre Energétique</v>
      </c>
      <c r="V42" s="6" t="str">
        <f t="shared" si="10"/>
        <v>1,50 €</v>
      </c>
      <c r="W42" s="6" t="s">
        <v>591</v>
      </c>
      <c r="X42" t="str">
        <f t="shared" si="4"/>
        <v>VIE-VIE012</v>
      </c>
    </row>
    <row r="43" spans="1:24">
      <c r="A43" s="323" t="s">
        <v>290</v>
      </c>
      <c r="B43" s="4">
        <v>1.35</v>
      </c>
      <c r="C43" s="4">
        <f t="shared" si="7"/>
        <v>1.35</v>
      </c>
      <c r="F43" s="20" t="s">
        <v>275</v>
      </c>
      <c r="G43" s="20">
        <v>2</v>
      </c>
      <c r="H43" s="20" t="s">
        <v>125</v>
      </c>
      <c r="I43" s="20" t="s">
        <v>275</v>
      </c>
      <c r="J43" s="20">
        <v>1</v>
      </c>
      <c r="K43" s="20" t="s">
        <v>125</v>
      </c>
      <c r="L43" s="20"/>
      <c r="M43" s="20" t="str">
        <f t="shared" si="8"/>
        <v>Brioche Aromatisée</v>
      </c>
      <c r="N43" s="25" t="str">
        <f t="shared" si="9"/>
        <v>1,35 €</v>
      </c>
      <c r="O43">
        <v>13</v>
      </c>
      <c r="P43" s="2">
        <v>1</v>
      </c>
      <c r="Q43" s="2">
        <v>1</v>
      </c>
      <c r="R43" t="str">
        <f t="shared" si="2"/>
        <v>CCFFCC</v>
      </c>
      <c r="S43" s="323" t="s">
        <v>273</v>
      </c>
      <c r="T43" t="str">
        <f t="shared" si="11"/>
        <v>Brioche Aromatisée</v>
      </c>
      <c r="V43" s="6" t="str">
        <f t="shared" si="10"/>
        <v>1,35 €</v>
      </c>
      <c r="W43" s="6" t="s">
        <v>518</v>
      </c>
      <c r="X43" t="str">
        <f t="shared" si="4"/>
        <v>VIE-VIE013</v>
      </c>
    </row>
    <row r="44" spans="1:24">
      <c r="A44" s="323" t="s">
        <v>1275</v>
      </c>
      <c r="B44" s="4">
        <v>1.35</v>
      </c>
      <c r="C44" s="4">
        <f t="shared" si="7"/>
        <v>1.35</v>
      </c>
      <c r="F44" s="20" t="s">
        <v>275</v>
      </c>
      <c r="G44" s="20">
        <v>2</v>
      </c>
      <c r="H44" s="20" t="s">
        <v>125</v>
      </c>
      <c r="I44" s="20" t="s">
        <v>275</v>
      </c>
      <c r="J44" s="20">
        <v>1</v>
      </c>
      <c r="K44" s="20" t="s">
        <v>125</v>
      </c>
      <c r="L44" s="20"/>
      <c r="M44" s="20" t="s">
        <v>1277</v>
      </c>
      <c r="N44" s="25" t="str">
        <f t="shared" si="9"/>
        <v>1,35 €</v>
      </c>
      <c r="O44">
        <v>14</v>
      </c>
      <c r="P44" s="2">
        <v>1</v>
      </c>
      <c r="Q44" s="2">
        <v>1</v>
      </c>
      <c r="R44" t="str">
        <f t="shared" si="2"/>
        <v>CCFFCC</v>
      </c>
      <c r="S44" s="323" t="s">
        <v>273</v>
      </c>
      <c r="T44" t="str">
        <f t="shared" si="11"/>
        <v>Brioche Nature</v>
      </c>
      <c r="V44" s="6" t="str">
        <f t="shared" si="10"/>
        <v>1,35 €</v>
      </c>
      <c r="W44" s="6" t="s">
        <v>519</v>
      </c>
      <c r="X44" t="str">
        <f t="shared" si="4"/>
        <v>VIE-VIE014</v>
      </c>
    </row>
    <row r="45" spans="1:24">
      <c r="A45" s="323" t="s">
        <v>1276</v>
      </c>
      <c r="B45" s="4">
        <v>1.35</v>
      </c>
      <c r="C45" s="4">
        <f>B45</f>
        <v>1.35</v>
      </c>
      <c r="F45" s="20" t="s">
        <v>275</v>
      </c>
      <c r="G45" s="20">
        <v>2</v>
      </c>
      <c r="H45" s="20" t="s">
        <v>125</v>
      </c>
      <c r="I45" s="20" t="s">
        <v>275</v>
      </c>
      <c r="J45" s="20">
        <v>1</v>
      </c>
      <c r="K45" s="20" t="s">
        <v>125</v>
      </c>
      <c r="L45" s="20"/>
      <c r="M45" s="20" t="s">
        <v>1277</v>
      </c>
      <c r="N45" s="25" t="str">
        <f>IF(B45&lt;&gt;"",TEXT(B45,"0,00 €"),"")</f>
        <v>1,35 €</v>
      </c>
      <c r="O45">
        <v>15</v>
      </c>
      <c r="P45" s="379">
        <v>0</v>
      </c>
      <c r="Q45" s="379">
        <v>1</v>
      </c>
      <c r="R45" t="str">
        <f>couleurFond(I45)</f>
        <v>CCFFCC</v>
      </c>
      <c r="S45" s="323" t="s">
        <v>273</v>
      </c>
      <c r="T45" t="str">
        <f>A45</f>
        <v>Brioche au Sucre</v>
      </c>
      <c r="V45" s="6" t="str">
        <f>N45</f>
        <v>1,35 €</v>
      </c>
      <c r="X45" t="str">
        <f>H45&amp;"-"&amp;K45&amp;TEXT(O45,"000")</f>
        <v>VIE-VIE015</v>
      </c>
    </row>
    <row r="46" spans="1:24">
      <c r="A46" s="323" t="s">
        <v>294</v>
      </c>
      <c r="B46" s="4">
        <v>1.45</v>
      </c>
      <c r="C46" s="4">
        <f t="shared" si="7"/>
        <v>1.45</v>
      </c>
      <c r="F46" s="20" t="s">
        <v>275</v>
      </c>
      <c r="G46" s="20">
        <v>2</v>
      </c>
      <c r="H46" s="20" t="s">
        <v>125</v>
      </c>
      <c r="I46" s="20" t="s">
        <v>275</v>
      </c>
      <c r="J46" s="20">
        <v>1</v>
      </c>
      <c r="K46" s="20" t="s">
        <v>125</v>
      </c>
      <c r="L46" s="20"/>
      <c r="M46" s="20" t="str">
        <f t="shared" si="8"/>
        <v>Brioche Suisse</v>
      </c>
      <c r="N46" s="25" t="str">
        <f t="shared" si="9"/>
        <v>1,45 €</v>
      </c>
      <c r="O46">
        <v>16</v>
      </c>
      <c r="P46" s="2">
        <v>1</v>
      </c>
      <c r="Q46" s="2">
        <v>1</v>
      </c>
      <c r="R46" t="str">
        <f t="shared" si="2"/>
        <v>CCFFCC</v>
      </c>
      <c r="S46" s="323" t="s">
        <v>273</v>
      </c>
      <c r="T46" t="str">
        <f t="shared" si="11"/>
        <v>Brioche Suisse</v>
      </c>
      <c r="V46" s="6" t="str">
        <f t="shared" si="10"/>
        <v>1,45 €</v>
      </c>
      <c r="W46" s="6" t="s">
        <v>592</v>
      </c>
      <c r="X46" t="str">
        <f t="shared" si="4"/>
        <v>VIE-VIE016</v>
      </c>
    </row>
    <row r="47" spans="1:24">
      <c r="A47" s="323" t="s">
        <v>293</v>
      </c>
      <c r="B47" s="4">
        <v>4</v>
      </c>
      <c r="C47" s="4">
        <v>4</v>
      </c>
      <c r="F47" s="20" t="s">
        <v>275</v>
      </c>
      <c r="G47" s="20">
        <v>2</v>
      </c>
      <c r="H47" s="20" t="s">
        <v>125</v>
      </c>
      <c r="I47" s="20" t="s">
        <v>275</v>
      </c>
      <c r="J47" s="20">
        <v>1</v>
      </c>
      <c r="K47" s="20" t="s">
        <v>125</v>
      </c>
      <c r="L47" s="20"/>
      <c r="M47" s="20" t="str">
        <f t="shared" si="8"/>
        <v>Brioche Parisienne</v>
      </c>
      <c r="N47" s="25" t="str">
        <f t="shared" si="9"/>
        <v>4,00 €</v>
      </c>
      <c r="O47">
        <v>17</v>
      </c>
      <c r="P47" s="2">
        <v>1</v>
      </c>
      <c r="Q47" s="2">
        <v>1</v>
      </c>
      <c r="R47" t="str">
        <f t="shared" si="2"/>
        <v>CCFFCC</v>
      </c>
      <c r="S47" s="323" t="s">
        <v>273</v>
      </c>
      <c r="T47" t="str">
        <f t="shared" si="11"/>
        <v>Brioche Parisienne</v>
      </c>
      <c r="V47" s="6" t="str">
        <f t="shared" si="10"/>
        <v>4,00 €</v>
      </c>
      <c r="W47" s="6" t="s">
        <v>647</v>
      </c>
      <c r="X47" t="str">
        <f t="shared" si="4"/>
        <v>VIE-VIE017</v>
      </c>
    </row>
    <row r="48" spans="1:24">
      <c r="A48" s="323" t="s">
        <v>295</v>
      </c>
      <c r="B48" s="4">
        <v>0.65</v>
      </c>
      <c r="C48" s="4">
        <f t="shared" ref="C48:C84" si="12">B48</f>
        <v>0.65</v>
      </c>
      <c r="F48" s="20" t="s">
        <v>275</v>
      </c>
      <c r="G48" s="20">
        <v>2</v>
      </c>
      <c r="H48" s="20" t="s">
        <v>125</v>
      </c>
      <c r="I48" s="77" t="s">
        <v>0</v>
      </c>
      <c r="J48" s="77">
        <v>2</v>
      </c>
      <c r="K48" s="77" t="s">
        <v>1</v>
      </c>
      <c r="L48" s="77"/>
      <c r="M48" s="77" t="str">
        <f t="shared" si="8"/>
        <v>Mini Beignet</v>
      </c>
      <c r="N48" s="78" t="str">
        <f t="shared" si="9"/>
        <v>0,65 €</v>
      </c>
      <c r="O48">
        <v>1</v>
      </c>
      <c r="P48" s="2">
        <v>1</v>
      </c>
      <c r="Q48" s="2">
        <v>1</v>
      </c>
      <c r="R48" t="str">
        <f t="shared" si="2"/>
        <v>50D092</v>
      </c>
      <c r="S48" s="323" t="s">
        <v>273</v>
      </c>
      <c r="T48" t="str">
        <f t="shared" si="11"/>
        <v>Mini Beignet</v>
      </c>
      <c r="V48" s="6" t="str">
        <f t="shared" si="10"/>
        <v>0,65 €</v>
      </c>
      <c r="X48" t="str">
        <f t="shared" si="4"/>
        <v>VIE-GDV001</v>
      </c>
    </row>
    <row r="49" spans="1:24">
      <c r="A49" s="323" t="s">
        <v>399</v>
      </c>
      <c r="B49" s="4">
        <v>1.2</v>
      </c>
      <c r="C49" s="4">
        <f t="shared" si="12"/>
        <v>1.2</v>
      </c>
      <c r="F49" s="20" t="s">
        <v>275</v>
      </c>
      <c r="G49" s="20">
        <v>2</v>
      </c>
      <c r="H49" s="20" t="s">
        <v>125</v>
      </c>
      <c r="I49" s="77" t="s">
        <v>0</v>
      </c>
      <c r="J49" s="77">
        <v>2</v>
      </c>
      <c r="K49" s="77" t="s">
        <v>1</v>
      </c>
      <c r="L49" s="77"/>
      <c r="M49" s="77" t="str">
        <f t="shared" si="8"/>
        <v>Cookie</v>
      </c>
      <c r="N49" s="78" t="str">
        <f t="shared" si="9"/>
        <v>1,20 €</v>
      </c>
      <c r="O49">
        <v>2</v>
      </c>
      <c r="P49" s="2">
        <v>1</v>
      </c>
      <c r="Q49" s="2">
        <v>1</v>
      </c>
      <c r="R49" t="str">
        <f t="shared" si="2"/>
        <v>50D092</v>
      </c>
      <c r="S49" s="323" t="s">
        <v>273</v>
      </c>
      <c r="T49" t="str">
        <f t="shared" si="11"/>
        <v>Cookie</v>
      </c>
      <c r="V49" s="6" t="str">
        <f t="shared" si="10"/>
        <v>1,20 €</v>
      </c>
      <c r="X49" t="str">
        <f t="shared" si="4"/>
        <v>VIE-GDV002</v>
      </c>
    </row>
    <row r="50" spans="1:24">
      <c r="A50" s="323" t="s">
        <v>395</v>
      </c>
      <c r="B50" s="4">
        <v>2.2999999999999998</v>
      </c>
      <c r="C50" s="4">
        <f t="shared" si="12"/>
        <v>2.2999999999999998</v>
      </c>
      <c r="F50" s="20" t="s">
        <v>275</v>
      </c>
      <c r="G50" s="20">
        <v>2</v>
      </c>
      <c r="H50" s="20" t="s">
        <v>125</v>
      </c>
      <c r="I50" s="77" t="s">
        <v>0</v>
      </c>
      <c r="J50" s="77">
        <v>2</v>
      </c>
      <c r="K50" s="77" t="s">
        <v>1</v>
      </c>
      <c r="L50" s="77"/>
      <c r="M50" s="77" t="str">
        <f t="shared" si="8"/>
        <v>Brownie</v>
      </c>
      <c r="N50" s="78" t="str">
        <f t="shared" si="9"/>
        <v>2,30 €</v>
      </c>
      <c r="O50">
        <v>3</v>
      </c>
      <c r="P50" s="2">
        <v>1</v>
      </c>
      <c r="Q50" s="2">
        <v>1</v>
      </c>
      <c r="R50" t="str">
        <f t="shared" si="2"/>
        <v>50D092</v>
      </c>
      <c r="S50" s="323" t="s">
        <v>273</v>
      </c>
      <c r="T50" t="str">
        <f t="shared" si="11"/>
        <v>Brownie</v>
      </c>
      <c r="V50" s="6" t="str">
        <f t="shared" si="10"/>
        <v>2,30 €</v>
      </c>
      <c r="W50" s="6" t="s">
        <v>1134</v>
      </c>
      <c r="X50" t="str">
        <f t="shared" si="4"/>
        <v>VIE-GDV003</v>
      </c>
    </row>
    <row r="51" spans="1:24">
      <c r="A51" s="323" t="s">
        <v>391</v>
      </c>
      <c r="B51" s="4">
        <v>2.2999999999999998</v>
      </c>
      <c r="C51" s="4">
        <f t="shared" si="12"/>
        <v>2.2999999999999998</v>
      </c>
      <c r="F51" s="20" t="s">
        <v>275</v>
      </c>
      <c r="G51" s="20">
        <v>2</v>
      </c>
      <c r="H51" s="20" t="s">
        <v>125</v>
      </c>
      <c r="I51" s="77" t="s">
        <v>0</v>
      </c>
      <c r="J51" s="77">
        <v>2</v>
      </c>
      <c r="K51" s="77" t="s">
        <v>1</v>
      </c>
      <c r="L51" s="77"/>
      <c r="M51" s="77" t="s">
        <v>3</v>
      </c>
      <c r="N51" s="78" t="str">
        <f t="shared" si="9"/>
        <v>2,30 €</v>
      </c>
      <c r="O51">
        <v>4</v>
      </c>
      <c r="P51" s="2">
        <v>1</v>
      </c>
      <c r="Q51" s="2">
        <v>1</v>
      </c>
      <c r="R51" t="str">
        <f t="shared" si="2"/>
        <v>50D092</v>
      </c>
      <c r="S51" s="323" t="s">
        <v>273</v>
      </c>
      <c r="T51" t="str">
        <f t="shared" si="11"/>
        <v>Muffin Caramel</v>
      </c>
      <c r="V51" s="6" t="str">
        <f t="shared" si="10"/>
        <v>2,30 €</v>
      </c>
      <c r="W51" s="6" t="s">
        <v>575</v>
      </c>
      <c r="X51" t="str">
        <f t="shared" si="4"/>
        <v>VIE-GDV004</v>
      </c>
    </row>
    <row r="52" spans="1:24">
      <c r="A52" s="323" t="s">
        <v>390</v>
      </c>
      <c r="B52" s="4">
        <v>2.2999999999999998</v>
      </c>
      <c r="C52" s="4">
        <f t="shared" si="12"/>
        <v>2.2999999999999998</v>
      </c>
      <c r="F52" s="20" t="s">
        <v>275</v>
      </c>
      <c r="G52" s="20">
        <v>2</v>
      </c>
      <c r="H52" s="20" t="s">
        <v>125</v>
      </c>
      <c r="I52" s="77" t="s">
        <v>0</v>
      </c>
      <c r="J52" s="77">
        <v>2</v>
      </c>
      <c r="K52" s="77" t="s">
        <v>1</v>
      </c>
      <c r="L52" s="77"/>
      <c r="M52" s="77" t="s">
        <v>3</v>
      </c>
      <c r="N52" s="78" t="str">
        <f t="shared" si="9"/>
        <v>2,30 €</v>
      </c>
      <c r="O52">
        <v>5</v>
      </c>
      <c r="P52" s="2">
        <v>0</v>
      </c>
      <c r="Q52" s="2">
        <v>1</v>
      </c>
      <c r="R52" t="str">
        <f t="shared" si="2"/>
        <v>50D092</v>
      </c>
      <c r="S52" s="323" t="s">
        <v>273</v>
      </c>
      <c r="T52" t="str">
        <f t="shared" si="11"/>
        <v>Muffin Chocolat</v>
      </c>
      <c r="V52" s="6" t="str">
        <f t="shared" si="10"/>
        <v>2,30 €</v>
      </c>
      <c r="X52" t="str">
        <f t="shared" si="4"/>
        <v>VIE-GDV005</v>
      </c>
    </row>
    <row r="53" spans="1:24">
      <c r="A53" s="323" t="s">
        <v>392</v>
      </c>
      <c r="B53" s="4">
        <v>2.2999999999999998</v>
      </c>
      <c r="C53" s="4">
        <f t="shared" si="12"/>
        <v>2.2999999999999998</v>
      </c>
      <c r="F53" s="20" t="s">
        <v>275</v>
      </c>
      <c r="G53" s="20">
        <v>2</v>
      </c>
      <c r="H53" s="20" t="s">
        <v>125</v>
      </c>
      <c r="I53" s="77" t="s">
        <v>0</v>
      </c>
      <c r="J53" s="77">
        <v>2</v>
      </c>
      <c r="K53" s="77" t="s">
        <v>1</v>
      </c>
      <c r="L53" s="77"/>
      <c r="M53" s="77" t="s">
        <v>3</v>
      </c>
      <c r="N53" s="78" t="str">
        <f t="shared" si="9"/>
        <v>2,30 €</v>
      </c>
      <c r="O53">
        <v>6</v>
      </c>
      <c r="P53" s="2">
        <v>0</v>
      </c>
      <c r="Q53" s="2">
        <v>1</v>
      </c>
      <c r="R53" t="str">
        <f t="shared" si="2"/>
        <v>50D092</v>
      </c>
      <c r="S53" s="323" t="s">
        <v>273</v>
      </c>
      <c r="T53" t="str">
        <f t="shared" si="11"/>
        <v>Muffin Myrtille</v>
      </c>
      <c r="V53" s="6" t="str">
        <f t="shared" si="10"/>
        <v>2,30 €</v>
      </c>
      <c r="X53" t="str">
        <f t="shared" si="4"/>
        <v>VIE-GDV006</v>
      </c>
    </row>
    <row r="54" spans="1:24">
      <c r="A54" s="323" t="s">
        <v>389</v>
      </c>
      <c r="B54" s="4">
        <v>3.9</v>
      </c>
      <c r="C54" s="4">
        <f t="shared" si="12"/>
        <v>3.9</v>
      </c>
      <c r="F54" s="20" t="s">
        <v>275</v>
      </c>
      <c r="G54" s="20">
        <v>2</v>
      </c>
      <c r="H54" s="20" t="s">
        <v>125</v>
      </c>
      <c r="I54" s="77" t="s">
        <v>0</v>
      </c>
      <c r="J54" s="77">
        <v>2</v>
      </c>
      <c r="K54" s="77" t="s">
        <v>1</v>
      </c>
      <c r="L54" s="77"/>
      <c r="M54" s="77" t="str">
        <f>A54</f>
        <v>Caramel ou Nougat</v>
      </c>
      <c r="N54" s="78" t="str">
        <f t="shared" si="9"/>
        <v>3,90 €</v>
      </c>
      <c r="O54">
        <v>7</v>
      </c>
      <c r="P54" s="2">
        <v>1</v>
      </c>
      <c r="Q54" s="2">
        <v>1</v>
      </c>
      <c r="R54" t="str">
        <f t="shared" si="2"/>
        <v>50D092</v>
      </c>
      <c r="S54" s="323" t="s">
        <v>273</v>
      </c>
      <c r="T54" t="str">
        <f t="shared" si="11"/>
        <v>Caramel ou Nougat</v>
      </c>
      <c r="V54" s="6" t="str">
        <f t="shared" si="10"/>
        <v>3,90 €</v>
      </c>
      <c r="X54" t="str">
        <f t="shared" si="4"/>
        <v>VIE-GDV007</v>
      </c>
    </row>
    <row r="55" spans="1:24">
      <c r="A55" s="323" t="s">
        <v>397</v>
      </c>
      <c r="B55" s="4">
        <v>2</v>
      </c>
      <c r="C55" s="4">
        <f t="shared" si="12"/>
        <v>2</v>
      </c>
      <c r="F55" s="20" t="s">
        <v>275</v>
      </c>
      <c r="G55" s="20">
        <v>2</v>
      </c>
      <c r="H55" s="20" t="s">
        <v>125</v>
      </c>
      <c r="I55" s="77" t="s">
        <v>0</v>
      </c>
      <c r="J55" s="77">
        <v>2</v>
      </c>
      <c r="K55" s="77" t="s">
        <v>1</v>
      </c>
      <c r="L55" s="77"/>
      <c r="M55" s="77" t="str">
        <f>A55</f>
        <v>Cannelé</v>
      </c>
      <c r="N55" s="78" t="str">
        <f t="shared" si="9"/>
        <v>2,00 €</v>
      </c>
      <c r="O55">
        <v>8</v>
      </c>
      <c r="P55" s="2">
        <v>1</v>
      </c>
      <c r="Q55" s="2">
        <v>1</v>
      </c>
      <c r="R55" t="str">
        <f t="shared" si="2"/>
        <v>50D092</v>
      </c>
      <c r="S55" s="323" t="s">
        <v>273</v>
      </c>
      <c r="T55" t="str">
        <f t="shared" si="11"/>
        <v>Cannelé</v>
      </c>
      <c r="V55" s="6" t="str">
        <f t="shared" si="10"/>
        <v>2,00 €</v>
      </c>
      <c r="X55" t="str">
        <f t="shared" si="4"/>
        <v>VIE-GDV008</v>
      </c>
    </row>
    <row r="56" spans="1:24">
      <c r="A56" s="323" t="s">
        <v>394</v>
      </c>
      <c r="B56" s="4">
        <v>2.2999999999999998</v>
      </c>
      <c r="C56" s="4">
        <f t="shared" si="12"/>
        <v>2.2999999999999998</v>
      </c>
      <c r="F56" s="20" t="s">
        <v>275</v>
      </c>
      <c r="G56" s="20">
        <v>2</v>
      </c>
      <c r="H56" s="20" t="s">
        <v>125</v>
      </c>
      <c r="I56" s="77" t="s">
        <v>0</v>
      </c>
      <c r="J56" s="77">
        <v>2</v>
      </c>
      <c r="K56" s="77" t="s">
        <v>1</v>
      </c>
      <c r="L56" s="77"/>
      <c r="M56" s="77" t="str">
        <f>A56</f>
        <v>Fondant Chocolat</v>
      </c>
      <c r="N56" s="78" t="str">
        <f t="shared" si="9"/>
        <v>2,30 €</v>
      </c>
      <c r="O56">
        <v>9</v>
      </c>
      <c r="P56" s="2">
        <v>1</v>
      </c>
      <c r="Q56" s="2">
        <v>1</v>
      </c>
      <c r="R56" t="str">
        <f t="shared" si="2"/>
        <v>50D092</v>
      </c>
      <c r="S56" s="323" t="s">
        <v>273</v>
      </c>
      <c r="T56" t="str">
        <f t="shared" si="11"/>
        <v>Fondant Chocolat</v>
      </c>
      <c r="V56" s="6" t="str">
        <f t="shared" si="10"/>
        <v>2,30 €</v>
      </c>
      <c r="X56" t="str">
        <f t="shared" si="4"/>
        <v>VIE-GDV009</v>
      </c>
    </row>
    <row r="57" spans="1:24">
      <c r="A57" s="323" t="s">
        <v>299</v>
      </c>
      <c r="B57" s="4">
        <v>2.5</v>
      </c>
      <c r="C57" s="4">
        <f t="shared" si="12"/>
        <v>2.5</v>
      </c>
      <c r="F57" s="20" t="s">
        <v>275</v>
      </c>
      <c r="G57" s="20">
        <v>2</v>
      </c>
      <c r="H57" s="20" t="s">
        <v>125</v>
      </c>
      <c r="I57" s="77" t="s">
        <v>0</v>
      </c>
      <c r="J57" s="77">
        <v>2</v>
      </c>
      <c r="K57" s="77" t="s">
        <v>1</v>
      </c>
      <c r="L57" s="77"/>
      <c r="M57" s="77" t="s">
        <v>2</v>
      </c>
      <c r="N57" s="78" t="str">
        <f t="shared" si="9"/>
        <v>2,50 €</v>
      </c>
      <c r="O57">
        <v>10</v>
      </c>
      <c r="P57" s="2">
        <v>1</v>
      </c>
      <c r="Q57" s="2">
        <v>1</v>
      </c>
      <c r="R57" t="str">
        <f t="shared" si="2"/>
        <v>50D092</v>
      </c>
      <c r="S57" s="323" t="s">
        <v>273</v>
      </c>
      <c r="T57" t="str">
        <f t="shared" si="11"/>
        <v>Financier Chocolat</v>
      </c>
      <c r="V57" s="6" t="str">
        <f t="shared" si="10"/>
        <v>2,50 €</v>
      </c>
      <c r="X57" t="str">
        <f t="shared" si="4"/>
        <v>VIE-GDV010</v>
      </c>
    </row>
    <row r="58" spans="1:24">
      <c r="A58" s="323" t="s">
        <v>297</v>
      </c>
      <c r="B58" s="4">
        <v>2.5</v>
      </c>
      <c r="C58" s="4">
        <f t="shared" si="12"/>
        <v>2.5</v>
      </c>
      <c r="F58" s="20" t="s">
        <v>275</v>
      </c>
      <c r="G58" s="20">
        <v>2</v>
      </c>
      <c r="H58" s="20" t="s">
        <v>125</v>
      </c>
      <c r="I58" s="77" t="s">
        <v>0</v>
      </c>
      <c r="J58" s="77">
        <v>2</v>
      </c>
      <c r="K58" s="77" t="s">
        <v>1</v>
      </c>
      <c r="L58" s="77"/>
      <c r="M58" s="77" t="s">
        <v>2</v>
      </c>
      <c r="N58" s="78" t="str">
        <f t="shared" si="9"/>
        <v>2,50 €</v>
      </c>
      <c r="O58">
        <v>11</v>
      </c>
      <c r="P58" s="2">
        <v>0</v>
      </c>
      <c r="Q58" s="2">
        <v>1</v>
      </c>
      <c r="R58" t="str">
        <f t="shared" si="2"/>
        <v>50D092</v>
      </c>
      <c r="S58" s="323" t="s">
        <v>273</v>
      </c>
      <c r="T58" t="str">
        <f t="shared" si="11"/>
        <v>Financier Framboise</v>
      </c>
      <c r="V58" s="6" t="str">
        <f t="shared" si="10"/>
        <v>2,50 €</v>
      </c>
      <c r="X58" t="str">
        <f t="shared" si="4"/>
        <v>VIE-GDV011</v>
      </c>
    </row>
    <row r="59" spans="1:24">
      <c r="A59" s="323" t="s">
        <v>298</v>
      </c>
      <c r="B59" s="4">
        <v>2.5</v>
      </c>
      <c r="C59" s="4">
        <f t="shared" si="12"/>
        <v>2.5</v>
      </c>
      <c r="F59" s="20" t="s">
        <v>275</v>
      </c>
      <c r="G59" s="20">
        <v>2</v>
      </c>
      <c r="H59" s="20" t="s">
        <v>125</v>
      </c>
      <c r="I59" s="77" t="s">
        <v>0</v>
      </c>
      <c r="J59" s="77">
        <v>2</v>
      </c>
      <c r="K59" s="77" t="s">
        <v>1</v>
      </c>
      <c r="L59" s="77"/>
      <c r="M59" s="77" t="s">
        <v>2</v>
      </c>
      <c r="N59" s="78" t="str">
        <f t="shared" si="9"/>
        <v>2,50 €</v>
      </c>
      <c r="O59">
        <v>12</v>
      </c>
      <c r="P59" s="2">
        <v>0</v>
      </c>
      <c r="Q59" s="2">
        <v>1</v>
      </c>
      <c r="R59" t="str">
        <f t="shared" si="2"/>
        <v>50D092</v>
      </c>
      <c r="S59" s="323" t="s">
        <v>273</v>
      </c>
      <c r="T59" t="str">
        <f t="shared" si="11"/>
        <v>Financier Pistache</v>
      </c>
      <c r="V59" s="6" t="str">
        <f t="shared" si="10"/>
        <v>2,50 €</v>
      </c>
      <c r="X59" t="str">
        <f t="shared" si="4"/>
        <v>VIE-GDV012</v>
      </c>
    </row>
    <row r="60" spans="1:24">
      <c r="A60" s="323" t="s">
        <v>11</v>
      </c>
      <c r="B60" s="4">
        <v>4.9000000000000004</v>
      </c>
      <c r="C60" s="4">
        <f t="shared" si="12"/>
        <v>4.9000000000000004</v>
      </c>
      <c r="F60" s="20" t="s">
        <v>275</v>
      </c>
      <c r="G60" s="20">
        <v>2</v>
      </c>
      <c r="H60" s="20" t="s">
        <v>125</v>
      </c>
      <c r="I60" s="77" t="s">
        <v>0</v>
      </c>
      <c r="J60" s="77">
        <v>2</v>
      </c>
      <c r="K60" s="77" t="s">
        <v>1</v>
      </c>
      <c r="L60" s="77"/>
      <c r="M60" s="77" t="str">
        <f t="shared" ref="M60:M76" si="13">A60</f>
        <v>Mini Financier 150g</v>
      </c>
      <c r="N60" s="78" t="str">
        <f t="shared" si="9"/>
        <v>4,90 €</v>
      </c>
      <c r="O60">
        <v>13</v>
      </c>
      <c r="P60" s="2">
        <v>1</v>
      </c>
      <c r="Q60" s="2">
        <v>1</v>
      </c>
      <c r="R60" t="str">
        <f t="shared" si="2"/>
        <v>50D092</v>
      </c>
      <c r="S60" s="323" t="s">
        <v>273</v>
      </c>
      <c r="T60" t="s">
        <v>1270</v>
      </c>
      <c r="U60" t="s">
        <v>1271</v>
      </c>
      <c r="V60" s="6" t="str">
        <f t="shared" si="10"/>
        <v>4,90 €</v>
      </c>
      <c r="X60" t="str">
        <f t="shared" si="4"/>
        <v>VIE-GDV013</v>
      </c>
    </row>
    <row r="61" spans="1:24">
      <c r="A61" s="323" t="s">
        <v>12</v>
      </c>
      <c r="B61" s="4">
        <v>8.9</v>
      </c>
      <c r="C61" s="4">
        <f t="shared" si="12"/>
        <v>8.9</v>
      </c>
      <c r="F61" s="20" t="s">
        <v>275</v>
      </c>
      <c r="G61" s="20">
        <v>2</v>
      </c>
      <c r="H61" s="20" t="s">
        <v>125</v>
      </c>
      <c r="I61" s="77" t="s">
        <v>0</v>
      </c>
      <c r="J61" s="77">
        <v>2</v>
      </c>
      <c r="K61" s="77" t="s">
        <v>1</v>
      </c>
      <c r="L61" s="77"/>
      <c r="M61" s="77" t="str">
        <f t="shared" si="13"/>
        <v>Mini Financier 300g</v>
      </c>
      <c r="N61" s="78" t="str">
        <f t="shared" si="9"/>
        <v>8,90 €</v>
      </c>
      <c r="O61">
        <v>14</v>
      </c>
      <c r="P61" s="2">
        <v>1</v>
      </c>
      <c r="Q61" s="2">
        <v>1</v>
      </c>
      <c r="R61" t="str">
        <f t="shared" si="2"/>
        <v>50D092</v>
      </c>
      <c r="S61" s="323" t="s">
        <v>273</v>
      </c>
      <c r="T61" t="s">
        <v>1270</v>
      </c>
      <c r="U61" t="s">
        <v>1272</v>
      </c>
      <c r="V61" s="6" t="str">
        <f t="shared" si="10"/>
        <v>8,90 €</v>
      </c>
      <c r="X61" t="str">
        <f t="shared" si="4"/>
        <v>VIE-GDV014</v>
      </c>
    </row>
    <row r="62" spans="1:24">
      <c r="A62" s="323" t="s">
        <v>398</v>
      </c>
      <c r="B62" s="4">
        <v>8</v>
      </c>
      <c r="C62" s="4">
        <f t="shared" si="12"/>
        <v>8</v>
      </c>
      <c r="F62" s="20" t="s">
        <v>275</v>
      </c>
      <c r="G62" s="20">
        <v>2</v>
      </c>
      <c r="H62" s="20" t="s">
        <v>125</v>
      </c>
      <c r="I62" s="77" t="s">
        <v>0</v>
      </c>
      <c r="J62" s="77">
        <v>2</v>
      </c>
      <c r="K62" s="77" t="s">
        <v>1</v>
      </c>
      <c r="L62" s="77"/>
      <c r="M62" s="77" t="str">
        <f t="shared" si="13"/>
        <v>Cake</v>
      </c>
      <c r="N62" s="78" t="str">
        <f t="shared" si="9"/>
        <v>8,00 €</v>
      </c>
      <c r="O62">
        <v>15</v>
      </c>
      <c r="P62" s="2">
        <v>1</v>
      </c>
      <c r="Q62" s="2">
        <v>1</v>
      </c>
      <c r="R62" t="str">
        <f t="shared" si="2"/>
        <v>50D092</v>
      </c>
      <c r="S62" s="323" t="s">
        <v>273</v>
      </c>
      <c r="T62" t="str">
        <f t="shared" si="11"/>
        <v>Cake</v>
      </c>
      <c r="V62" s="6" t="str">
        <f t="shared" si="10"/>
        <v>8,00 €</v>
      </c>
      <c r="W62" s="6" t="s">
        <v>1133</v>
      </c>
      <c r="X62" t="str">
        <f t="shared" si="4"/>
        <v>VIE-GDV015</v>
      </c>
    </row>
    <row r="63" spans="1:24">
      <c r="A63" s="323" t="s">
        <v>396</v>
      </c>
      <c r="B63" s="4">
        <v>2</v>
      </c>
      <c r="C63" s="4">
        <f>B63</f>
        <v>2</v>
      </c>
      <c r="F63" s="20" t="s">
        <v>275</v>
      </c>
      <c r="G63" s="20">
        <v>2</v>
      </c>
      <c r="H63" s="20" t="s">
        <v>125</v>
      </c>
      <c r="I63" s="77" t="s">
        <v>0</v>
      </c>
      <c r="J63" s="77">
        <v>2</v>
      </c>
      <c r="K63" s="77" t="s">
        <v>1</v>
      </c>
      <c r="L63" s="77"/>
      <c r="M63" s="77" t="str">
        <f>A63</f>
        <v>Palmier</v>
      </c>
      <c r="N63" s="78" t="str">
        <f>IF(B63&lt;&gt;"",TEXT(B63,"0,00 €"),"")</f>
        <v>2,00 €</v>
      </c>
      <c r="O63">
        <v>16</v>
      </c>
      <c r="P63" s="306">
        <v>1</v>
      </c>
      <c r="Q63" s="306">
        <v>1</v>
      </c>
      <c r="R63" t="str">
        <f t="shared" si="2"/>
        <v>50D092</v>
      </c>
      <c r="S63" s="323" t="s">
        <v>273</v>
      </c>
      <c r="T63" t="str">
        <f>A63</f>
        <v>Palmier</v>
      </c>
      <c r="V63" s="6" t="str">
        <f>N63</f>
        <v>2,00 €</v>
      </c>
      <c r="X63" t="str">
        <f t="shared" si="4"/>
        <v>VIE-GDV016</v>
      </c>
    </row>
    <row r="64" spans="1:24">
      <c r="A64" s="323" t="s">
        <v>2133</v>
      </c>
      <c r="B64" s="4">
        <v>4.5</v>
      </c>
      <c r="C64" s="4">
        <f t="shared" ref="C64:C69" si="14">B64</f>
        <v>4.5</v>
      </c>
      <c r="F64" s="20" t="s">
        <v>275</v>
      </c>
      <c r="G64" s="20">
        <v>2</v>
      </c>
      <c r="H64" s="20" t="s">
        <v>125</v>
      </c>
      <c r="I64" s="77" t="s">
        <v>0</v>
      </c>
      <c r="J64" s="77">
        <v>2</v>
      </c>
      <c r="K64" s="77" t="s">
        <v>1</v>
      </c>
      <c r="L64" s="77"/>
      <c r="M64" s="77" t="str">
        <f t="shared" ref="M64:M69" si="15">A64</f>
        <v>Macaron Crème Pistache</v>
      </c>
      <c r="N64" s="78" t="str">
        <f t="shared" ref="N64:N69" si="16">IF(B64&lt;&gt;"",TEXT(B64,"0,00 €"),"")</f>
        <v>4,50 €</v>
      </c>
      <c r="O64">
        <v>17</v>
      </c>
      <c r="P64" s="392">
        <v>1</v>
      </c>
      <c r="Q64" s="392">
        <v>1</v>
      </c>
      <c r="R64" t="str">
        <f t="shared" ref="R64:R69" si="17">couleurFond(I64)</f>
        <v>50D092</v>
      </c>
      <c r="S64" s="323" t="s">
        <v>273</v>
      </c>
      <c r="T64" t="str">
        <f t="shared" ref="T64:T69" si="18">A64</f>
        <v>Macaron Crème Pistache</v>
      </c>
      <c r="V64" s="6" t="str">
        <f t="shared" ref="V64:V69" si="19">N64</f>
        <v>4,50 €</v>
      </c>
      <c r="X64" t="str">
        <f t="shared" ref="X64:X69" si="20">H64&amp;"-"&amp;K64&amp;TEXT(O64,"000")</f>
        <v>VIE-GDV017</v>
      </c>
    </row>
    <row r="65" spans="1:26">
      <c r="A65" s="382" t="s">
        <v>2176</v>
      </c>
      <c r="B65" s="4">
        <v>0.5</v>
      </c>
      <c r="C65" s="4">
        <f t="shared" si="14"/>
        <v>0.5</v>
      </c>
      <c r="D65" t="s">
        <v>2173</v>
      </c>
      <c r="F65" s="20" t="s">
        <v>275</v>
      </c>
      <c r="G65" s="20">
        <v>2</v>
      </c>
      <c r="H65" s="20" t="s">
        <v>125</v>
      </c>
      <c r="I65" s="77" t="s">
        <v>0</v>
      </c>
      <c r="J65" s="77">
        <v>2</v>
      </c>
      <c r="K65" s="77" t="s">
        <v>1</v>
      </c>
      <c r="L65" s="77"/>
      <c r="M65" s="77" t="str">
        <f t="shared" si="15"/>
        <v>Œufs Fourrés</v>
      </c>
      <c r="N65" s="78" t="str">
        <f t="shared" si="16"/>
        <v>0,50 €</v>
      </c>
      <c r="O65">
        <v>18</v>
      </c>
      <c r="P65" s="394">
        <v>1</v>
      </c>
      <c r="Q65" s="394">
        <v>1</v>
      </c>
      <c r="R65" t="str">
        <f t="shared" si="17"/>
        <v>50D092</v>
      </c>
      <c r="S65" s="323" t="s">
        <v>907</v>
      </c>
      <c r="T65" t="str">
        <f t="shared" si="18"/>
        <v>Œufs Fourrés</v>
      </c>
      <c r="U65" t="s">
        <v>2181</v>
      </c>
      <c r="V65" s="6" t="str">
        <f t="shared" si="19"/>
        <v>0,50 €</v>
      </c>
      <c r="X65" t="str">
        <f t="shared" si="20"/>
        <v>VIE-GDV018</v>
      </c>
      <c r="Z65">
        <v>1</v>
      </c>
    </row>
    <row r="66" spans="1:26">
      <c r="A66" s="382" t="s">
        <v>2177</v>
      </c>
      <c r="B66" s="4">
        <v>10.5</v>
      </c>
      <c r="C66" s="4">
        <f>B66</f>
        <v>10.5</v>
      </c>
      <c r="D66" t="s">
        <v>2173</v>
      </c>
      <c r="F66" s="20" t="s">
        <v>275</v>
      </c>
      <c r="G66" s="20">
        <v>2</v>
      </c>
      <c r="H66" s="20" t="s">
        <v>125</v>
      </c>
      <c r="I66" s="77" t="s">
        <v>0</v>
      </c>
      <c r="J66" s="77">
        <v>2</v>
      </c>
      <c r="K66" s="77" t="s">
        <v>1</v>
      </c>
      <c r="L66" s="77"/>
      <c r="M66" s="77" t="str">
        <f>A66</f>
        <v>Œuf, Cloche et Poule</v>
      </c>
      <c r="N66" s="78" t="str">
        <f>IF(B66&lt;&gt;"",TEXT(B66,"0,00 €"),"")</f>
        <v>10,50 €</v>
      </c>
      <c r="O66">
        <v>18</v>
      </c>
      <c r="P66" s="394">
        <v>1</v>
      </c>
      <c r="Q66" s="394">
        <v>1</v>
      </c>
      <c r="R66" t="str">
        <f>couleurFond(I66)</f>
        <v>50D092</v>
      </c>
      <c r="S66" s="323" t="s">
        <v>907</v>
      </c>
      <c r="T66" t="str">
        <f>A66</f>
        <v>Œuf, Cloche et Poule</v>
      </c>
      <c r="U66" t="s">
        <v>2180</v>
      </c>
      <c r="V66" s="6" t="str">
        <f>N66</f>
        <v>10,50 €</v>
      </c>
      <c r="X66" t="str">
        <f>H66&amp;"-"&amp;K66&amp;TEXT(O66,"000")</f>
        <v>VIE-GDV018</v>
      </c>
      <c r="Z66">
        <v>1</v>
      </c>
    </row>
    <row r="67" spans="1:26">
      <c r="A67" s="382" t="s">
        <v>2178</v>
      </c>
      <c r="B67" s="4">
        <v>12</v>
      </c>
      <c r="C67" s="4">
        <f>B67</f>
        <v>12</v>
      </c>
      <c r="D67" t="s">
        <v>2173</v>
      </c>
      <c r="F67" s="20" t="s">
        <v>275</v>
      </c>
      <c r="G67" s="20">
        <v>2</v>
      </c>
      <c r="H67" s="20" t="s">
        <v>125</v>
      </c>
      <c r="I67" s="77" t="s">
        <v>0</v>
      </c>
      <c r="J67" s="77">
        <v>2</v>
      </c>
      <c r="K67" s="77" t="s">
        <v>1</v>
      </c>
      <c r="L67" s="77"/>
      <c r="M67" s="77" t="str">
        <f>A67</f>
        <v>Panpan</v>
      </c>
      <c r="N67" s="78" t="str">
        <f>IF(B67&lt;&gt;"",TEXT(B67,"0,00 €"),"")</f>
        <v>12,00 €</v>
      </c>
      <c r="O67">
        <v>18</v>
      </c>
      <c r="P67" s="394">
        <v>1</v>
      </c>
      <c r="Q67" s="394">
        <v>1</v>
      </c>
      <c r="R67" t="str">
        <f>couleurFond(I67)</f>
        <v>50D092</v>
      </c>
      <c r="S67" s="323" t="s">
        <v>907</v>
      </c>
      <c r="T67" t="str">
        <f>A67</f>
        <v>Panpan</v>
      </c>
      <c r="U67" t="s">
        <v>2179</v>
      </c>
      <c r="V67" s="6" t="str">
        <f>N67</f>
        <v>12,00 €</v>
      </c>
      <c r="X67" t="str">
        <f>H67&amp;"-"&amp;K67&amp;TEXT(O67,"000")</f>
        <v>VIE-GDV018</v>
      </c>
      <c r="Z67">
        <v>1</v>
      </c>
    </row>
    <row r="68" spans="1:26">
      <c r="A68" s="382" t="s">
        <v>2172</v>
      </c>
      <c r="B68" s="4">
        <v>8.5</v>
      </c>
      <c r="C68" s="4">
        <f>B68</f>
        <v>8.5</v>
      </c>
      <c r="D68" t="s">
        <v>2173</v>
      </c>
      <c r="F68" s="20" t="s">
        <v>275</v>
      </c>
      <c r="G68" s="20">
        <v>2</v>
      </c>
      <c r="H68" s="20" t="s">
        <v>125</v>
      </c>
      <c r="I68" s="77" t="s">
        <v>0</v>
      </c>
      <c r="J68" s="77">
        <v>2</v>
      </c>
      <c r="K68" s="77" t="s">
        <v>1</v>
      </c>
      <c r="L68" s="77"/>
      <c r="M68" s="77" t="str">
        <f>A68</f>
        <v>Sucette Lollipop Lait</v>
      </c>
      <c r="N68" s="78" t="str">
        <f>IF(B68&lt;&gt;"",TEXT(B68,"0,00 €"),"")</f>
        <v>8,50 €</v>
      </c>
      <c r="O68">
        <v>18</v>
      </c>
      <c r="P68" s="394">
        <v>1</v>
      </c>
      <c r="Q68" s="394">
        <v>1</v>
      </c>
      <c r="R68" t="str">
        <f>couleurFond(I68)</f>
        <v>50D092</v>
      </c>
      <c r="S68" s="323" t="s">
        <v>273</v>
      </c>
      <c r="T68" t="str">
        <f>A68</f>
        <v>Sucette Lollipop Lait</v>
      </c>
      <c r="V68" s="6" t="str">
        <f>N68</f>
        <v>8,50 €</v>
      </c>
      <c r="X68" t="str">
        <f>H68&amp;"-"&amp;K68&amp;TEXT(O68,"000")</f>
        <v>VIE-GDV018</v>
      </c>
      <c r="Z68">
        <v>1</v>
      </c>
    </row>
    <row r="69" spans="1:26">
      <c r="A69" s="382" t="s">
        <v>2174</v>
      </c>
      <c r="B69" s="4">
        <v>2</v>
      </c>
      <c r="C69" s="4">
        <f t="shared" si="14"/>
        <v>2</v>
      </c>
      <c r="D69" t="s">
        <v>2175</v>
      </c>
      <c r="F69" s="20" t="s">
        <v>275</v>
      </c>
      <c r="G69" s="20">
        <v>2</v>
      </c>
      <c r="H69" s="20" t="s">
        <v>125</v>
      </c>
      <c r="I69" s="77" t="s">
        <v>0</v>
      </c>
      <c r="J69" s="77">
        <v>2</v>
      </c>
      <c r="K69" s="77" t="s">
        <v>1</v>
      </c>
      <c r="L69" s="77"/>
      <c r="M69" s="77" t="str">
        <f t="shared" si="15"/>
        <v>Sucette Poussin</v>
      </c>
      <c r="N69" s="78" t="str">
        <f t="shared" si="16"/>
        <v>2,00 €</v>
      </c>
      <c r="O69">
        <v>19</v>
      </c>
      <c r="P69" s="394">
        <v>1</v>
      </c>
      <c r="Q69" s="394">
        <v>1</v>
      </c>
      <c r="R69" t="str">
        <f t="shared" si="17"/>
        <v>50D092</v>
      </c>
      <c r="S69" s="323" t="s">
        <v>273</v>
      </c>
      <c r="T69" t="str">
        <f t="shared" si="18"/>
        <v>Sucette Poussin</v>
      </c>
      <c r="V69" s="6" t="str">
        <f t="shared" si="19"/>
        <v>2,00 €</v>
      </c>
      <c r="X69" t="str">
        <f t="shared" si="20"/>
        <v>VIE-GDV019</v>
      </c>
      <c r="Z69">
        <v>1</v>
      </c>
    </row>
    <row r="70" spans="1:26">
      <c r="A70" s="323" t="s">
        <v>903</v>
      </c>
      <c r="B70" s="4">
        <v>1.5</v>
      </c>
      <c r="C70" s="4">
        <f t="shared" si="12"/>
        <v>1.5</v>
      </c>
      <c r="F70" s="20" t="s">
        <v>275</v>
      </c>
      <c r="G70" s="20">
        <v>2</v>
      </c>
      <c r="H70" s="20" t="s">
        <v>125</v>
      </c>
      <c r="I70" s="77" t="s">
        <v>0</v>
      </c>
      <c r="J70" s="77">
        <v>2</v>
      </c>
      <c r="K70" s="77" t="s">
        <v>1</v>
      </c>
      <c r="L70" s="77"/>
      <c r="M70" s="77" t="str">
        <f t="shared" si="13"/>
        <v>Sachet Bonbons</v>
      </c>
      <c r="N70" s="78" t="str">
        <f t="shared" si="9"/>
        <v>1,50 €</v>
      </c>
      <c r="O70">
        <v>20</v>
      </c>
      <c r="P70" s="2">
        <v>1</v>
      </c>
      <c r="Q70" s="2">
        <v>1</v>
      </c>
      <c r="R70" t="str">
        <f t="shared" si="2"/>
        <v>50D092</v>
      </c>
      <c r="S70" s="323" t="s">
        <v>273</v>
      </c>
      <c r="T70" t="str">
        <f t="shared" si="11"/>
        <v>Sachet Bonbons</v>
      </c>
      <c r="V70" s="6" t="str">
        <f t="shared" si="10"/>
        <v>1,50 €</v>
      </c>
      <c r="X70" t="str">
        <f t="shared" si="4"/>
        <v>VIE-GDV020</v>
      </c>
    </row>
    <row r="71" spans="1:26">
      <c r="A71" s="323" t="s">
        <v>841</v>
      </c>
      <c r="B71" s="4">
        <v>0</v>
      </c>
      <c r="C71" s="4">
        <f t="shared" si="12"/>
        <v>0</v>
      </c>
      <c r="F71" s="20" t="s">
        <v>275</v>
      </c>
      <c r="G71" s="20">
        <v>2</v>
      </c>
      <c r="H71" s="20" t="s">
        <v>125</v>
      </c>
      <c r="I71" s="303" t="s">
        <v>306</v>
      </c>
      <c r="J71" s="303">
        <v>3</v>
      </c>
      <c r="K71" s="303" t="s">
        <v>124</v>
      </c>
      <c r="L71" s="303"/>
      <c r="M71" s="303" t="str">
        <f t="shared" si="13"/>
        <v>Divers Viennoiserie</v>
      </c>
      <c r="N71" s="304" t="str">
        <f t="shared" si="9"/>
        <v>0,00 €</v>
      </c>
      <c r="O71">
        <v>1</v>
      </c>
      <c r="P71" s="302">
        <v>1</v>
      </c>
      <c r="Q71" s="302">
        <v>0</v>
      </c>
      <c r="R71" t="str">
        <f t="shared" si="2"/>
        <v>DBDCF2</v>
      </c>
      <c r="T71" t="str">
        <f t="shared" si="11"/>
        <v>Divers Viennoiserie</v>
      </c>
      <c r="V71" s="6" t="str">
        <f t="shared" si="10"/>
        <v>0,00 €</v>
      </c>
      <c r="X71" t="str">
        <f t="shared" si="4"/>
        <v>VIE-DIV001</v>
      </c>
    </row>
    <row r="72" spans="1:26">
      <c r="A72" s="323" t="s">
        <v>5</v>
      </c>
      <c r="B72" s="4">
        <v>2.4</v>
      </c>
      <c r="C72" s="4">
        <f t="shared" si="12"/>
        <v>2.4</v>
      </c>
      <c r="F72" s="1" t="s">
        <v>380</v>
      </c>
      <c r="G72" s="1">
        <v>3</v>
      </c>
      <c r="H72" s="1" t="s">
        <v>126</v>
      </c>
      <c r="I72" s="5" t="s">
        <v>380</v>
      </c>
      <c r="J72" s="5">
        <v>1</v>
      </c>
      <c r="K72" s="5" t="s">
        <v>126</v>
      </c>
      <c r="L72" s="5"/>
      <c r="M72" s="5" t="str">
        <f t="shared" si="13"/>
        <v>Amandine</v>
      </c>
      <c r="N72" s="24" t="str">
        <f t="shared" si="9"/>
        <v>2,40 €</v>
      </c>
      <c r="O72">
        <v>1</v>
      </c>
      <c r="P72" s="2">
        <v>1</v>
      </c>
      <c r="Q72" s="2">
        <v>1</v>
      </c>
      <c r="R72" t="str">
        <f t="shared" si="2"/>
        <v>FFCC99</v>
      </c>
      <c r="S72" s="323" t="s">
        <v>273</v>
      </c>
      <c r="T72" t="str">
        <f t="shared" si="11"/>
        <v>Amandine</v>
      </c>
      <c r="V72" s="6" t="str">
        <f t="shared" si="10"/>
        <v>2,40 €</v>
      </c>
      <c r="X72" t="str">
        <f t="shared" si="4"/>
        <v>PAT-PAT001</v>
      </c>
    </row>
    <row r="73" spans="1:26">
      <c r="A73" s="323" t="s">
        <v>235</v>
      </c>
      <c r="B73" s="4">
        <v>2.5</v>
      </c>
      <c r="C73" s="4">
        <f t="shared" si="12"/>
        <v>2.5</v>
      </c>
      <c r="F73" s="1" t="s">
        <v>380</v>
      </c>
      <c r="G73" s="1">
        <v>3</v>
      </c>
      <c r="H73" s="1" t="s">
        <v>126</v>
      </c>
      <c r="I73" s="5" t="s">
        <v>380</v>
      </c>
      <c r="J73" s="5">
        <v>1</v>
      </c>
      <c r="K73" s="5" t="s">
        <v>126</v>
      </c>
      <c r="L73" s="5"/>
      <c r="M73" s="5" t="str">
        <f t="shared" si="13"/>
        <v>Amandine Poire</v>
      </c>
      <c r="N73" s="24" t="str">
        <f t="shared" ref="N73:N112" si="21">IF(B73&lt;&gt;"",TEXT(B73,"0,00 €"),"")</f>
        <v>2,50 €</v>
      </c>
      <c r="O73">
        <v>2</v>
      </c>
      <c r="P73" s="2">
        <v>1</v>
      </c>
      <c r="Q73" s="2">
        <v>1</v>
      </c>
      <c r="R73" t="str">
        <f t="shared" si="2"/>
        <v>FFCC99</v>
      </c>
      <c r="S73" s="323" t="s">
        <v>273</v>
      </c>
      <c r="T73" t="str">
        <f t="shared" si="11"/>
        <v>Amandine Poire</v>
      </c>
      <c r="V73" s="6" t="str">
        <f t="shared" ref="V73:V112" si="22">N73</f>
        <v>2,50 €</v>
      </c>
      <c r="X73" t="str">
        <f t="shared" si="4"/>
        <v>PAT-PAT002</v>
      </c>
    </row>
    <row r="74" spans="1:26">
      <c r="A74" s="323" t="s">
        <v>2131</v>
      </c>
      <c r="B74" s="4">
        <v>3.9</v>
      </c>
      <c r="C74" s="4">
        <f t="shared" si="12"/>
        <v>3.9</v>
      </c>
      <c r="F74" s="1" t="s">
        <v>380</v>
      </c>
      <c r="G74" s="1">
        <v>3</v>
      </c>
      <c r="H74" s="1" t="s">
        <v>126</v>
      </c>
      <c r="I74" s="5" t="s">
        <v>380</v>
      </c>
      <c r="J74" s="5">
        <v>1</v>
      </c>
      <c r="K74" s="5" t="s">
        <v>126</v>
      </c>
      <c r="L74" s="5"/>
      <c r="M74" s="5" t="s">
        <v>413</v>
      </c>
      <c r="N74" s="24" t="str">
        <f t="shared" si="21"/>
        <v>3,90 €</v>
      </c>
      <c r="O74">
        <v>3</v>
      </c>
      <c r="P74" s="2">
        <v>1</v>
      </c>
      <c r="Q74" s="2">
        <v>1</v>
      </c>
      <c r="R74" t="str">
        <f t="shared" si="2"/>
        <v>FFCC99</v>
      </c>
      <c r="S74" s="323" t="s">
        <v>273</v>
      </c>
      <c r="T74" t="str">
        <f t="shared" si="11"/>
        <v>Baba au Rhum Maison</v>
      </c>
      <c r="V74" s="6" t="str">
        <f t="shared" si="22"/>
        <v>3,90 €</v>
      </c>
      <c r="X74" t="str">
        <f t="shared" si="4"/>
        <v>PAT-PAT003</v>
      </c>
    </row>
    <row r="75" spans="1:26">
      <c r="A75" s="323" t="s">
        <v>234</v>
      </c>
      <c r="B75" s="4">
        <v>2.4</v>
      </c>
      <c r="C75" s="4">
        <f t="shared" si="12"/>
        <v>2.4</v>
      </c>
      <c r="F75" s="1" t="s">
        <v>380</v>
      </c>
      <c r="G75" s="1">
        <v>3</v>
      </c>
      <c r="H75" s="1" t="s">
        <v>126</v>
      </c>
      <c r="I75" s="5" t="s">
        <v>380</v>
      </c>
      <c r="J75" s="5">
        <v>1</v>
      </c>
      <c r="K75" s="5" t="s">
        <v>126</v>
      </c>
      <c r="L75" s="5"/>
      <c r="M75" s="5" t="str">
        <f t="shared" si="13"/>
        <v>Duchesse</v>
      </c>
      <c r="N75" s="24" t="str">
        <f t="shared" si="21"/>
        <v>2,40 €</v>
      </c>
      <c r="O75">
        <v>4</v>
      </c>
      <c r="P75" s="2">
        <v>1</v>
      </c>
      <c r="Q75" s="2">
        <v>1</v>
      </c>
      <c r="R75" t="str">
        <f t="shared" si="2"/>
        <v>FFCC99</v>
      </c>
      <c r="S75" s="323" t="s">
        <v>273</v>
      </c>
      <c r="T75" t="str">
        <f t="shared" si="11"/>
        <v>Duchesse</v>
      </c>
      <c r="V75" s="6" t="str">
        <f t="shared" si="22"/>
        <v>2,40 €</v>
      </c>
      <c r="X75" t="str">
        <f t="shared" si="4"/>
        <v>PAT-PAT004</v>
      </c>
    </row>
    <row r="76" spans="1:26">
      <c r="A76" s="323" t="s">
        <v>230</v>
      </c>
      <c r="B76" s="4">
        <v>4.5</v>
      </c>
      <c r="C76" s="4">
        <f t="shared" si="12"/>
        <v>4.5</v>
      </c>
      <c r="F76" s="1" t="s">
        <v>380</v>
      </c>
      <c r="G76" s="1">
        <v>3</v>
      </c>
      <c r="H76" s="1" t="s">
        <v>126</v>
      </c>
      <c r="I76" s="5" t="s">
        <v>380</v>
      </c>
      <c r="J76" s="5">
        <v>1</v>
      </c>
      <c r="K76" s="5" t="s">
        <v>126</v>
      </c>
      <c r="L76" s="5"/>
      <c r="M76" s="5" t="str">
        <f t="shared" si="13"/>
        <v>Courchevel</v>
      </c>
      <c r="N76" s="24" t="str">
        <f t="shared" si="21"/>
        <v>4,50 €</v>
      </c>
      <c r="O76">
        <v>5</v>
      </c>
      <c r="P76" s="2">
        <v>1</v>
      </c>
      <c r="Q76" s="2">
        <v>1</v>
      </c>
      <c r="R76" t="str">
        <f t="shared" si="2"/>
        <v>FFCC99</v>
      </c>
      <c r="S76" s="323" t="s">
        <v>273</v>
      </c>
      <c r="T76" t="str">
        <f t="shared" ref="T76:T115" si="23">A76</f>
        <v>Courchevel</v>
      </c>
      <c r="V76" s="6" t="str">
        <f t="shared" si="22"/>
        <v>4,50 €</v>
      </c>
      <c r="X76" t="str">
        <f t="shared" ref="X76:X94" si="24">H76&amp;"-"&amp;K76&amp;TEXT(O76,"000")</f>
        <v>PAT-PAT005</v>
      </c>
    </row>
    <row r="77" spans="1:26">
      <c r="A77" s="323" t="s">
        <v>422</v>
      </c>
      <c r="B77" s="4">
        <v>2.8</v>
      </c>
      <c r="C77" s="4">
        <f>B77</f>
        <v>2.8</v>
      </c>
      <c r="F77" s="1" t="s">
        <v>380</v>
      </c>
      <c r="G77" s="1">
        <v>3</v>
      </c>
      <c r="H77" s="1" t="s">
        <v>126</v>
      </c>
      <c r="I77" s="5" t="s">
        <v>380</v>
      </c>
      <c r="J77" s="5">
        <v>1</v>
      </c>
      <c r="K77" s="5" t="s">
        <v>126</v>
      </c>
      <c r="L77" s="5"/>
      <c r="M77" s="5" t="s">
        <v>203</v>
      </c>
      <c r="N77" s="24" t="str">
        <f>IF(B77&lt;&gt;"",TEXT(B77,"0,00 €"),"")</f>
        <v>2,80 €</v>
      </c>
      <c r="O77">
        <v>6</v>
      </c>
      <c r="P77" s="2">
        <v>1</v>
      </c>
      <c r="Q77" s="2">
        <v>1</v>
      </c>
      <c r="R77" t="str">
        <f t="shared" ref="R77:R182" si="25">couleurFond(I77)</f>
        <v>FFCC99</v>
      </c>
      <c r="S77" s="323" t="s">
        <v>273</v>
      </c>
      <c r="T77" t="str">
        <f>A77</f>
        <v>Eclair Chocolat</v>
      </c>
      <c r="V77" s="6" t="str">
        <f>N77</f>
        <v>2,80 €</v>
      </c>
      <c r="X77" t="str">
        <f t="shared" si="24"/>
        <v>PAT-PAT006</v>
      </c>
    </row>
    <row r="78" spans="1:26">
      <c r="A78" s="323" t="s">
        <v>421</v>
      </c>
      <c r="B78" s="4">
        <v>2.5</v>
      </c>
      <c r="C78" s="4">
        <f t="shared" si="12"/>
        <v>2.5</v>
      </c>
      <c r="F78" s="1" t="s">
        <v>380</v>
      </c>
      <c r="G78" s="1">
        <v>3</v>
      </c>
      <c r="H78" s="1" t="s">
        <v>126</v>
      </c>
      <c r="I78" s="5" t="s">
        <v>380</v>
      </c>
      <c r="J78" s="5">
        <v>1</v>
      </c>
      <c r="K78" s="5" t="s">
        <v>126</v>
      </c>
      <c r="L78" s="5"/>
      <c r="M78" s="5" t="s">
        <v>203</v>
      </c>
      <c r="N78" s="24" t="str">
        <f t="shared" si="21"/>
        <v>2,50 €</v>
      </c>
      <c r="O78">
        <v>7</v>
      </c>
      <c r="P78" s="2">
        <v>0</v>
      </c>
      <c r="Q78" s="2">
        <v>1</v>
      </c>
      <c r="R78" t="str">
        <f t="shared" si="25"/>
        <v>FFCC99</v>
      </c>
      <c r="S78" s="323" t="s">
        <v>273</v>
      </c>
      <c r="T78" t="str">
        <f t="shared" si="23"/>
        <v>Eclair Café</v>
      </c>
      <c r="V78" s="6" t="str">
        <f t="shared" si="22"/>
        <v>2,50 €</v>
      </c>
      <c r="X78" t="str">
        <f t="shared" si="24"/>
        <v>PAT-PAT007</v>
      </c>
    </row>
    <row r="79" spans="1:26">
      <c r="A79" s="323" t="s">
        <v>264</v>
      </c>
      <c r="B79" s="4">
        <v>2.7</v>
      </c>
      <c r="C79" s="4">
        <f>B79</f>
        <v>2.7</v>
      </c>
      <c r="F79" s="1" t="s">
        <v>380</v>
      </c>
      <c r="G79" s="1">
        <v>3</v>
      </c>
      <c r="H79" s="1" t="s">
        <v>126</v>
      </c>
      <c r="I79" s="5" t="s">
        <v>380</v>
      </c>
      <c r="J79" s="5">
        <v>1</v>
      </c>
      <c r="K79" s="5" t="s">
        <v>126</v>
      </c>
      <c r="L79" s="5"/>
      <c r="M79" s="5" t="s">
        <v>913</v>
      </c>
      <c r="N79" s="24" t="str">
        <f>IF(B79&lt;&gt;"",TEXT(B79,"0,00 €"),"")</f>
        <v>2,70 €</v>
      </c>
      <c r="O79">
        <v>8</v>
      </c>
      <c r="P79" s="2">
        <v>1</v>
      </c>
      <c r="Q79" s="2">
        <v>1</v>
      </c>
      <c r="R79" t="str">
        <f t="shared" si="25"/>
        <v>FFCC99</v>
      </c>
      <c r="S79" s="323" t="s">
        <v>273</v>
      </c>
      <c r="T79" t="str">
        <f>A79</f>
        <v>Eclair Caramel Beurre Salé</v>
      </c>
      <c r="V79" s="6" t="str">
        <f>N79</f>
        <v>2,70 €</v>
      </c>
      <c r="X79" t="str">
        <f t="shared" si="24"/>
        <v>PAT-PAT008</v>
      </c>
    </row>
    <row r="80" spans="1:26">
      <c r="A80" s="323" t="s">
        <v>237</v>
      </c>
      <c r="B80" s="4">
        <v>2.7</v>
      </c>
      <c r="C80" s="4">
        <f t="shared" si="12"/>
        <v>2.7</v>
      </c>
      <c r="F80" s="1" t="s">
        <v>380</v>
      </c>
      <c r="G80" s="1">
        <v>3</v>
      </c>
      <c r="H80" s="1" t="s">
        <v>126</v>
      </c>
      <c r="I80" s="5" t="s">
        <v>380</v>
      </c>
      <c r="J80" s="5">
        <v>1</v>
      </c>
      <c r="K80" s="5" t="s">
        <v>126</v>
      </c>
      <c r="L80" s="5"/>
      <c r="M80" s="5" t="s">
        <v>913</v>
      </c>
      <c r="N80" s="24" t="str">
        <f t="shared" si="21"/>
        <v>2,70 €</v>
      </c>
      <c r="O80">
        <v>9</v>
      </c>
      <c r="P80" s="2">
        <v>0</v>
      </c>
      <c r="Q80" s="2">
        <v>1</v>
      </c>
      <c r="R80" t="str">
        <f t="shared" si="25"/>
        <v>FFCC99</v>
      </c>
      <c r="S80" s="323" t="s">
        <v>273</v>
      </c>
      <c r="T80" t="str">
        <f t="shared" si="23"/>
        <v>Eclair Spéculoos</v>
      </c>
      <c r="V80" s="6" t="str">
        <f t="shared" si="22"/>
        <v>2,70 €</v>
      </c>
      <c r="X80" t="str">
        <f t="shared" si="24"/>
        <v>PAT-PAT009</v>
      </c>
    </row>
    <row r="81" spans="1:24">
      <c r="A81" s="323" t="s">
        <v>2132</v>
      </c>
      <c r="B81" s="4">
        <v>3.2</v>
      </c>
      <c r="C81" s="4">
        <f>B81</f>
        <v>3.2</v>
      </c>
      <c r="F81" s="1" t="s">
        <v>380</v>
      </c>
      <c r="G81" s="1">
        <v>3</v>
      </c>
      <c r="H81" s="1" t="s">
        <v>126</v>
      </c>
      <c r="I81" s="5" t="s">
        <v>380</v>
      </c>
      <c r="J81" s="5">
        <v>1</v>
      </c>
      <c r="K81" s="5" t="s">
        <v>126</v>
      </c>
      <c r="L81" s="5"/>
      <c r="M81" s="5" t="s">
        <v>2132</v>
      </c>
      <c r="N81" s="24" t="str">
        <f>IF(B81&lt;&gt;"",TEXT(B81,"0,00 €"),"")</f>
        <v>3,20 €</v>
      </c>
      <c r="O81">
        <v>10</v>
      </c>
      <c r="P81" s="392">
        <v>1</v>
      </c>
      <c r="Q81" s="392">
        <v>1</v>
      </c>
      <c r="R81" t="str">
        <f>couleurFond(I81)</f>
        <v>FFCC99</v>
      </c>
      <c r="S81" s="323" t="s">
        <v>273</v>
      </c>
      <c r="T81" t="str">
        <f>A81</f>
        <v>Eclair Framboise</v>
      </c>
      <c r="V81" s="6" t="str">
        <f>N81</f>
        <v>3,20 €</v>
      </c>
      <c r="X81" t="str">
        <f t="shared" si="24"/>
        <v>PAT-PAT010</v>
      </c>
    </row>
    <row r="82" spans="1:24">
      <c r="A82" s="323" t="s">
        <v>419</v>
      </c>
      <c r="B82" s="4">
        <v>3.9</v>
      </c>
      <c r="C82" s="4">
        <f t="shared" si="12"/>
        <v>3.9</v>
      </c>
      <c r="F82" s="1" t="s">
        <v>380</v>
      </c>
      <c r="G82" s="1">
        <v>3</v>
      </c>
      <c r="H82" s="1" t="s">
        <v>126</v>
      </c>
      <c r="I82" s="5" t="s">
        <v>380</v>
      </c>
      <c r="J82" s="5">
        <v>1</v>
      </c>
      <c r="K82" s="5" t="s">
        <v>126</v>
      </c>
      <c r="L82" s="5"/>
      <c r="M82" s="5" t="str">
        <f t="shared" ref="M82:M89" si="26">A82</f>
        <v>Emeraude</v>
      </c>
      <c r="N82" s="24" t="str">
        <f t="shared" si="21"/>
        <v>3,90 €</v>
      </c>
      <c r="O82">
        <v>11</v>
      </c>
      <c r="P82" s="2">
        <v>1</v>
      </c>
      <c r="Q82" s="2">
        <v>1</v>
      </c>
      <c r="R82" t="str">
        <f t="shared" si="25"/>
        <v>FFCC99</v>
      </c>
      <c r="S82" s="323" t="s">
        <v>273</v>
      </c>
      <c r="T82" t="str">
        <f t="shared" si="23"/>
        <v>Emeraude</v>
      </c>
      <c r="V82" s="6" t="str">
        <f t="shared" si="22"/>
        <v>3,90 €</v>
      </c>
      <c r="X82" t="str">
        <f t="shared" si="24"/>
        <v>PAT-PAT011</v>
      </c>
    </row>
    <row r="83" spans="1:24">
      <c r="A83" s="323" t="s">
        <v>414</v>
      </c>
      <c r="B83" s="4">
        <v>2.2999999999999998</v>
      </c>
      <c r="C83" s="4">
        <f t="shared" si="12"/>
        <v>2.2999999999999998</v>
      </c>
      <c r="F83" s="1" t="s">
        <v>380</v>
      </c>
      <c r="G83" s="1">
        <v>3</v>
      </c>
      <c r="H83" s="1" t="s">
        <v>126</v>
      </c>
      <c r="I83" s="5" t="s">
        <v>380</v>
      </c>
      <c r="J83" s="5">
        <v>1</v>
      </c>
      <c r="K83" s="5" t="s">
        <v>126</v>
      </c>
      <c r="L83" s="5"/>
      <c r="M83" s="5" t="str">
        <f t="shared" si="26"/>
        <v>Flan Maison</v>
      </c>
      <c r="N83" s="24" t="str">
        <f t="shared" si="21"/>
        <v>2,30 €</v>
      </c>
      <c r="O83">
        <v>12</v>
      </c>
      <c r="P83" s="2">
        <v>1</v>
      </c>
      <c r="Q83" s="2">
        <v>1</v>
      </c>
      <c r="R83" t="str">
        <f t="shared" si="25"/>
        <v>FFCC99</v>
      </c>
      <c r="S83" s="323" t="s">
        <v>273</v>
      </c>
      <c r="T83" t="str">
        <f t="shared" si="23"/>
        <v>Flan Maison</v>
      </c>
      <c r="V83" s="6" t="str">
        <f t="shared" si="22"/>
        <v>2,30 €</v>
      </c>
      <c r="W83" s="6" t="s">
        <v>574</v>
      </c>
      <c r="X83" t="str">
        <f t="shared" si="24"/>
        <v>PAT-PAT012</v>
      </c>
    </row>
    <row r="84" spans="1:24">
      <c r="A84" s="323" t="s">
        <v>416</v>
      </c>
      <c r="B84" s="4">
        <v>2.5</v>
      </c>
      <c r="C84" s="4">
        <f t="shared" si="12"/>
        <v>2.5</v>
      </c>
      <c r="F84" s="1" t="s">
        <v>380</v>
      </c>
      <c r="G84" s="1">
        <v>3</v>
      </c>
      <c r="H84" s="1" t="s">
        <v>126</v>
      </c>
      <c r="I84" s="5" t="s">
        <v>380</v>
      </c>
      <c r="J84" s="5">
        <v>1</v>
      </c>
      <c r="K84" s="5" t="s">
        <v>126</v>
      </c>
      <c r="L84" s="5"/>
      <c r="M84" s="5" t="str">
        <f t="shared" si="26"/>
        <v>Flans Spéciaux</v>
      </c>
      <c r="N84" s="24" t="str">
        <f t="shared" si="21"/>
        <v>2,50 €</v>
      </c>
      <c r="O84">
        <v>13</v>
      </c>
      <c r="P84" s="2">
        <v>1</v>
      </c>
      <c r="Q84" s="2">
        <v>1</v>
      </c>
      <c r="R84" t="str">
        <f t="shared" si="25"/>
        <v>FFCC99</v>
      </c>
      <c r="S84" s="323" t="s">
        <v>273</v>
      </c>
      <c r="T84" t="str">
        <f t="shared" si="23"/>
        <v>Flans Spéciaux</v>
      </c>
      <c r="V84" s="6" t="str">
        <f t="shared" si="22"/>
        <v>2,50 €</v>
      </c>
      <c r="X84" t="str">
        <f t="shared" si="24"/>
        <v>PAT-PAT013</v>
      </c>
    </row>
    <row r="85" spans="1:24">
      <c r="A85" s="323" t="s">
        <v>423</v>
      </c>
      <c r="B85" s="4">
        <v>4.5</v>
      </c>
      <c r="C85" s="4">
        <f t="shared" ref="C85:C94" si="27">B85</f>
        <v>4.5</v>
      </c>
      <c r="F85" s="1" t="s">
        <v>380</v>
      </c>
      <c r="G85" s="1">
        <v>3</v>
      </c>
      <c r="H85" s="1" t="s">
        <v>126</v>
      </c>
      <c r="I85" s="5" t="s">
        <v>380</v>
      </c>
      <c r="J85" s="5">
        <v>1</v>
      </c>
      <c r="K85" s="5" t="s">
        <v>126</v>
      </c>
      <c r="L85" s="5"/>
      <c r="M85" s="5" t="str">
        <f t="shared" si="26"/>
        <v>Fraisier</v>
      </c>
      <c r="N85" s="24" t="str">
        <f t="shared" si="21"/>
        <v>4,50 €</v>
      </c>
      <c r="O85">
        <v>14</v>
      </c>
      <c r="P85" s="2">
        <v>1</v>
      </c>
      <c r="Q85" s="2">
        <v>1</v>
      </c>
      <c r="R85" t="str">
        <f t="shared" si="25"/>
        <v>FFCC99</v>
      </c>
      <c r="S85" s="323" t="s">
        <v>273</v>
      </c>
      <c r="T85" t="str">
        <f t="shared" si="23"/>
        <v>Fraisier</v>
      </c>
      <c r="V85" s="6" t="str">
        <f t="shared" si="22"/>
        <v>4,50 €</v>
      </c>
      <c r="X85" t="str">
        <f t="shared" si="24"/>
        <v>PAT-PAT014</v>
      </c>
    </row>
    <row r="86" spans="1:24">
      <c r="A86" s="323" t="s">
        <v>420</v>
      </c>
      <c r="B86" s="4">
        <v>3.9</v>
      </c>
      <c r="C86" s="4">
        <f t="shared" si="27"/>
        <v>3.9</v>
      </c>
      <c r="F86" s="1" t="s">
        <v>380</v>
      </c>
      <c r="G86" s="1">
        <v>3</v>
      </c>
      <c r="H86" s="1" t="s">
        <v>126</v>
      </c>
      <c r="I86" s="5" t="s">
        <v>380</v>
      </c>
      <c r="J86" s="5">
        <v>1</v>
      </c>
      <c r="K86" s="5" t="s">
        <v>126</v>
      </c>
      <c r="L86" s="5"/>
      <c r="M86" s="5" t="str">
        <f t="shared" si="26"/>
        <v>Gianduneige</v>
      </c>
      <c r="N86" s="24" t="str">
        <f t="shared" si="21"/>
        <v>3,90 €</v>
      </c>
      <c r="O86">
        <v>15</v>
      </c>
      <c r="P86" s="2">
        <v>1</v>
      </c>
      <c r="Q86" s="2">
        <v>1</v>
      </c>
      <c r="R86" t="str">
        <f t="shared" si="25"/>
        <v>FFCC99</v>
      </c>
      <c r="S86" s="323" t="s">
        <v>273</v>
      </c>
      <c r="T86" t="str">
        <f t="shared" si="23"/>
        <v>Gianduneige</v>
      </c>
      <c r="V86" s="6" t="str">
        <f t="shared" si="22"/>
        <v>3,90 €</v>
      </c>
      <c r="X86" t="str">
        <f t="shared" si="24"/>
        <v>PAT-PAT015</v>
      </c>
    </row>
    <row r="87" spans="1:24">
      <c r="A87" s="323" t="s">
        <v>233</v>
      </c>
      <c r="B87" s="4">
        <v>3.9</v>
      </c>
      <c r="C87" s="4">
        <f t="shared" si="27"/>
        <v>3.9</v>
      </c>
      <c r="F87" s="1" t="s">
        <v>380</v>
      </c>
      <c r="G87" s="1">
        <v>3</v>
      </c>
      <c r="H87" s="1" t="s">
        <v>126</v>
      </c>
      <c r="I87" s="5" t="s">
        <v>380</v>
      </c>
      <c r="J87" s="5">
        <v>1</v>
      </c>
      <c r="K87" s="5" t="s">
        <v>126</v>
      </c>
      <c r="L87" s="5"/>
      <c r="M87" s="5" t="str">
        <f t="shared" si="26"/>
        <v>Millefeuille</v>
      </c>
      <c r="N87" s="24" t="str">
        <f t="shared" si="21"/>
        <v>3,90 €</v>
      </c>
      <c r="O87">
        <v>16</v>
      </c>
      <c r="P87" s="2">
        <v>1</v>
      </c>
      <c r="Q87" s="2">
        <v>1</v>
      </c>
      <c r="R87" t="str">
        <f t="shared" si="25"/>
        <v>FFCC99</v>
      </c>
      <c r="S87" s="323" t="s">
        <v>273</v>
      </c>
      <c r="T87" t="str">
        <f t="shared" si="23"/>
        <v>Millefeuille</v>
      </c>
      <c r="V87" s="6" t="str">
        <f t="shared" si="22"/>
        <v>3,90 €</v>
      </c>
      <c r="X87" t="str">
        <f t="shared" si="24"/>
        <v>PAT-PAT016</v>
      </c>
    </row>
    <row r="88" spans="1:24">
      <c r="A88" s="323" t="s">
        <v>236</v>
      </c>
      <c r="B88" s="4">
        <v>3.9</v>
      </c>
      <c r="C88" s="4">
        <f t="shared" si="27"/>
        <v>3.9</v>
      </c>
      <c r="F88" s="1" t="s">
        <v>380</v>
      </c>
      <c r="G88" s="1">
        <v>3</v>
      </c>
      <c r="H88" s="1" t="s">
        <v>126</v>
      </c>
      <c r="I88" s="5" t="s">
        <v>380</v>
      </c>
      <c r="J88" s="5">
        <v>1</v>
      </c>
      <c r="K88" s="5" t="s">
        <v>126</v>
      </c>
      <c r="L88" s="5"/>
      <c r="M88" s="5" t="str">
        <f t="shared" si="26"/>
        <v>Noisetier</v>
      </c>
      <c r="N88" s="24" t="str">
        <f t="shared" si="21"/>
        <v>3,90 €</v>
      </c>
      <c r="O88">
        <v>17</v>
      </c>
      <c r="P88" s="2">
        <v>1</v>
      </c>
      <c r="Q88" s="2">
        <v>1</v>
      </c>
      <c r="R88" t="str">
        <f t="shared" si="25"/>
        <v>FFCC99</v>
      </c>
      <c r="S88" s="323" t="s">
        <v>273</v>
      </c>
      <c r="T88" t="str">
        <f t="shared" si="23"/>
        <v>Noisetier</v>
      </c>
      <c r="V88" s="6" t="str">
        <f t="shared" si="22"/>
        <v>3,90 €</v>
      </c>
      <c r="X88" t="str">
        <f t="shared" si="24"/>
        <v>PAT-PAT017</v>
      </c>
    </row>
    <row r="89" spans="1:24">
      <c r="A89" s="323" t="s">
        <v>269</v>
      </c>
      <c r="B89" s="15">
        <v>3.5</v>
      </c>
      <c r="C89" s="4">
        <f t="shared" si="27"/>
        <v>3.5</v>
      </c>
      <c r="F89" s="1" t="s">
        <v>380</v>
      </c>
      <c r="G89" s="1">
        <v>3</v>
      </c>
      <c r="H89" s="1" t="s">
        <v>126</v>
      </c>
      <c r="I89" s="5" t="s">
        <v>380</v>
      </c>
      <c r="J89" s="5">
        <v>1</v>
      </c>
      <c r="K89" s="5" t="s">
        <v>126</v>
      </c>
      <c r="L89" s="5"/>
      <c r="M89" s="5" t="str">
        <f t="shared" si="26"/>
        <v>Paris-Brest</v>
      </c>
      <c r="N89" s="24" t="str">
        <f t="shared" si="21"/>
        <v>3,50 €</v>
      </c>
      <c r="O89">
        <v>18</v>
      </c>
      <c r="P89" s="2">
        <v>1</v>
      </c>
      <c r="Q89" s="2">
        <v>1</v>
      </c>
      <c r="R89" t="str">
        <f t="shared" si="25"/>
        <v>FFCC99</v>
      </c>
      <c r="S89" s="323" t="s">
        <v>273</v>
      </c>
      <c r="T89" t="str">
        <f t="shared" si="23"/>
        <v>Paris-Brest</v>
      </c>
      <c r="V89" s="6" t="str">
        <f t="shared" si="22"/>
        <v>3,50 €</v>
      </c>
      <c r="X89" t="str">
        <f t="shared" si="24"/>
        <v>PAT-PAT018</v>
      </c>
    </row>
    <row r="90" spans="1:24">
      <c r="A90" s="323" t="s">
        <v>411</v>
      </c>
      <c r="B90" s="4">
        <v>3.2</v>
      </c>
      <c r="C90" s="4">
        <f t="shared" si="27"/>
        <v>3.2</v>
      </c>
      <c r="F90" s="1" t="s">
        <v>380</v>
      </c>
      <c r="G90" s="1">
        <v>3</v>
      </c>
      <c r="H90" s="1" t="s">
        <v>126</v>
      </c>
      <c r="I90" s="5" t="s">
        <v>380</v>
      </c>
      <c r="J90" s="5">
        <v>1</v>
      </c>
      <c r="K90" s="5" t="s">
        <v>126</v>
      </c>
      <c r="L90" s="5"/>
      <c r="M90" s="5" t="s">
        <v>202</v>
      </c>
      <c r="N90" s="24" t="str">
        <f t="shared" si="21"/>
        <v>3,20 €</v>
      </c>
      <c r="O90">
        <v>19</v>
      </c>
      <c r="P90" s="2">
        <v>1</v>
      </c>
      <c r="Q90" s="2">
        <v>1</v>
      </c>
      <c r="R90" t="str">
        <f t="shared" si="25"/>
        <v>FFCC99</v>
      </c>
      <c r="S90" s="323" t="s">
        <v>273</v>
      </c>
      <c r="T90" t="str">
        <f t="shared" si="23"/>
        <v>Religieuse Café</v>
      </c>
      <c r="V90" s="6" t="str">
        <f t="shared" si="22"/>
        <v>3,20 €</v>
      </c>
      <c r="X90" t="str">
        <f t="shared" si="24"/>
        <v>PAT-PAT019</v>
      </c>
    </row>
    <row r="91" spans="1:24">
      <c r="A91" s="323" t="s">
        <v>231</v>
      </c>
      <c r="B91" s="4">
        <v>3.2</v>
      </c>
      <c r="C91" s="4">
        <f t="shared" si="27"/>
        <v>3.2</v>
      </c>
      <c r="F91" s="1" t="s">
        <v>380</v>
      </c>
      <c r="G91" s="1">
        <v>3</v>
      </c>
      <c r="H91" s="1" t="s">
        <v>126</v>
      </c>
      <c r="I91" s="5" t="s">
        <v>380</v>
      </c>
      <c r="J91" s="5">
        <v>1</v>
      </c>
      <c r="K91" s="5" t="s">
        <v>126</v>
      </c>
      <c r="L91" s="5"/>
      <c r="M91" s="5" t="s">
        <v>202</v>
      </c>
      <c r="N91" s="24" t="str">
        <f t="shared" si="21"/>
        <v>3,20 €</v>
      </c>
      <c r="O91">
        <v>20</v>
      </c>
      <c r="P91" s="2">
        <v>0</v>
      </c>
      <c r="Q91" s="2">
        <v>1</v>
      </c>
      <c r="R91" t="str">
        <f t="shared" si="25"/>
        <v>FFCC99</v>
      </c>
      <c r="S91" s="323" t="s">
        <v>273</v>
      </c>
      <c r="T91" t="str">
        <f t="shared" si="23"/>
        <v>Religieuse Chocolat</v>
      </c>
      <c r="V91" s="6" t="str">
        <f t="shared" si="22"/>
        <v>3,20 €</v>
      </c>
      <c r="X91" t="str">
        <f t="shared" si="24"/>
        <v>PAT-PAT020</v>
      </c>
    </row>
    <row r="92" spans="1:24">
      <c r="A92" s="323" t="s">
        <v>417</v>
      </c>
      <c r="B92" s="4">
        <v>3.9</v>
      </c>
      <c r="C92" s="4">
        <f t="shared" si="27"/>
        <v>3.9</v>
      </c>
      <c r="F92" s="1" t="s">
        <v>380</v>
      </c>
      <c r="G92" s="1">
        <v>3</v>
      </c>
      <c r="H92" s="1" t="s">
        <v>126</v>
      </c>
      <c r="I92" s="5" t="s">
        <v>380</v>
      </c>
      <c r="J92" s="5">
        <v>1</v>
      </c>
      <c r="K92" s="5" t="s">
        <v>126</v>
      </c>
      <c r="L92" s="5"/>
      <c r="M92" s="5" t="str">
        <f>A92</f>
        <v>Richelieu</v>
      </c>
      <c r="N92" s="24" t="str">
        <f t="shared" si="21"/>
        <v>3,90 €</v>
      </c>
      <c r="O92">
        <v>21</v>
      </c>
      <c r="P92" s="2">
        <v>1</v>
      </c>
      <c r="Q92" s="2">
        <v>1</v>
      </c>
      <c r="R92" t="str">
        <f t="shared" si="25"/>
        <v>FFCC99</v>
      </c>
      <c r="S92" s="323" t="s">
        <v>273</v>
      </c>
      <c r="T92" t="str">
        <f t="shared" si="23"/>
        <v>Richelieu</v>
      </c>
      <c r="V92" s="6" t="str">
        <f t="shared" si="22"/>
        <v>3,90 €</v>
      </c>
      <c r="X92" t="str">
        <f t="shared" si="24"/>
        <v>PAT-PAT021</v>
      </c>
    </row>
    <row r="93" spans="1:24">
      <c r="A93" s="323" t="s">
        <v>412</v>
      </c>
      <c r="B93" s="4">
        <v>4.5</v>
      </c>
      <c r="C93" s="4">
        <f t="shared" si="27"/>
        <v>4.5</v>
      </c>
      <c r="F93" s="1" t="s">
        <v>380</v>
      </c>
      <c r="G93" s="1">
        <v>3</v>
      </c>
      <c r="H93" s="1" t="s">
        <v>126</v>
      </c>
      <c r="I93" s="5" t="s">
        <v>380</v>
      </c>
      <c r="J93" s="5">
        <v>1</v>
      </c>
      <c r="K93" s="5" t="s">
        <v>126</v>
      </c>
      <c r="L93" s="5"/>
      <c r="M93" s="5" t="str">
        <f>A93</f>
        <v>Saint Honoré</v>
      </c>
      <c r="N93" s="24" t="str">
        <f t="shared" si="21"/>
        <v>4,50 €</v>
      </c>
      <c r="O93">
        <v>22</v>
      </c>
      <c r="P93" s="2">
        <v>1</v>
      </c>
      <c r="Q93" s="2">
        <v>1</v>
      </c>
      <c r="R93" t="str">
        <f t="shared" si="25"/>
        <v>FFCC99</v>
      </c>
      <c r="S93" s="323" t="s">
        <v>273</v>
      </c>
      <c r="T93" t="str">
        <f t="shared" si="23"/>
        <v>Saint Honoré</v>
      </c>
      <c r="V93" s="6" t="str">
        <f t="shared" si="22"/>
        <v>4,50 €</v>
      </c>
      <c r="X93" t="str">
        <f t="shared" si="24"/>
        <v>PAT-PAT022</v>
      </c>
    </row>
    <row r="94" spans="1:24">
      <c r="A94" s="323" t="s">
        <v>6</v>
      </c>
      <c r="B94" s="16">
        <v>2.5</v>
      </c>
      <c r="C94" s="4">
        <f t="shared" si="27"/>
        <v>2.5</v>
      </c>
      <c r="F94" s="1" t="s">
        <v>380</v>
      </c>
      <c r="G94" s="1">
        <v>3</v>
      </c>
      <c r="H94" s="1" t="s">
        <v>126</v>
      </c>
      <c r="I94" s="5" t="s">
        <v>380</v>
      </c>
      <c r="J94" s="5">
        <v>1</v>
      </c>
      <c r="K94" s="5" t="s">
        <v>126</v>
      </c>
      <c r="L94" s="5"/>
      <c r="M94" s="5" t="str">
        <f>A94</f>
        <v>Clafoutis</v>
      </c>
      <c r="N94" s="24" t="str">
        <f>IF(B94&lt;&gt;"",TEXT(B94,"0,00 €"),"")</f>
        <v>2,50 €</v>
      </c>
      <c r="O94">
        <v>23</v>
      </c>
      <c r="P94" s="2">
        <v>1</v>
      </c>
      <c r="Q94" s="2">
        <v>1</v>
      </c>
      <c r="R94" t="str">
        <f t="shared" si="25"/>
        <v>FFCC99</v>
      </c>
      <c r="S94" s="323" t="s">
        <v>273</v>
      </c>
      <c r="T94" t="str">
        <f>A94</f>
        <v>Clafoutis</v>
      </c>
      <c r="V94" s="6" t="str">
        <f>N94</f>
        <v>2,50 €</v>
      </c>
      <c r="X94" t="str">
        <f t="shared" si="24"/>
        <v>PAT-PAT023</v>
      </c>
    </row>
    <row r="95" spans="1:24">
      <c r="A95" s="323" t="s">
        <v>1433</v>
      </c>
      <c r="B95" s="16">
        <v>3.7</v>
      </c>
      <c r="C95" s="4">
        <f t="shared" ref="C95:C103" si="28">B95</f>
        <v>3.7</v>
      </c>
      <c r="F95" s="1" t="s">
        <v>380</v>
      </c>
      <c r="G95" s="1">
        <v>3</v>
      </c>
      <c r="H95" s="1" t="s">
        <v>126</v>
      </c>
      <c r="I95" s="5" t="s">
        <v>380</v>
      </c>
      <c r="J95" s="5">
        <v>1</v>
      </c>
      <c r="K95" s="5" t="s">
        <v>126</v>
      </c>
      <c r="L95" s="5"/>
      <c r="M95" s="5" t="s">
        <v>1442</v>
      </c>
      <c r="N95" s="24" t="str">
        <f t="shared" ref="N95:N103" si="29">IF(B95&lt;&gt;"",TEXT(B95,"0,00 €"),"")</f>
        <v>3,70 €</v>
      </c>
      <c r="O95">
        <v>24</v>
      </c>
      <c r="P95" s="383">
        <v>1</v>
      </c>
      <c r="Q95" s="383">
        <v>1</v>
      </c>
      <c r="R95" t="str">
        <f t="shared" si="25"/>
        <v>FFCC99</v>
      </c>
      <c r="S95" s="323" t="s">
        <v>273</v>
      </c>
      <c r="T95" t="str">
        <f t="shared" ref="T95:T103" si="30">A95</f>
        <v>Bûchette Café</v>
      </c>
      <c r="V95" s="6" t="str">
        <f t="shared" ref="V95:V103" si="31">N95</f>
        <v>3,70 €</v>
      </c>
      <c r="X95" t="str">
        <f t="shared" ref="X95:X103" si="32">H95&amp;"-"&amp;K95&amp;TEXT(O95,"000")</f>
        <v>PAT-PAT024</v>
      </c>
    </row>
    <row r="96" spans="1:24">
      <c r="A96" s="323" t="s">
        <v>1434</v>
      </c>
      <c r="B96" s="16">
        <v>3.7</v>
      </c>
      <c r="C96" s="4">
        <f t="shared" si="28"/>
        <v>3.7</v>
      </c>
      <c r="F96" s="1" t="s">
        <v>380</v>
      </c>
      <c r="G96" s="1">
        <v>3</v>
      </c>
      <c r="H96" s="1" t="s">
        <v>126</v>
      </c>
      <c r="I96" s="5" t="s">
        <v>380</v>
      </c>
      <c r="J96" s="5">
        <v>1</v>
      </c>
      <c r="K96" s="5" t="s">
        <v>126</v>
      </c>
      <c r="L96" s="5"/>
      <c r="M96" s="5" t="s">
        <v>1442</v>
      </c>
      <c r="N96" s="24" t="str">
        <f t="shared" si="29"/>
        <v>3,70 €</v>
      </c>
      <c r="O96">
        <v>25</v>
      </c>
      <c r="P96" s="383">
        <v>0</v>
      </c>
      <c r="Q96" s="383">
        <v>1</v>
      </c>
      <c r="R96" t="str">
        <f t="shared" si="25"/>
        <v>FFCC99</v>
      </c>
      <c r="S96" s="323" t="s">
        <v>273</v>
      </c>
      <c r="T96" t="str">
        <f t="shared" si="30"/>
        <v>Bûchette Chocolat</v>
      </c>
      <c r="V96" s="6" t="str">
        <f t="shared" si="31"/>
        <v>3,70 €</v>
      </c>
      <c r="X96" t="str">
        <f t="shared" si="32"/>
        <v>PAT-PAT025</v>
      </c>
    </row>
    <row r="97" spans="1:24">
      <c r="A97" s="323" t="s">
        <v>1435</v>
      </c>
      <c r="B97" s="16">
        <v>3.7</v>
      </c>
      <c r="C97" s="4">
        <f t="shared" si="28"/>
        <v>3.7</v>
      </c>
      <c r="F97" s="1" t="s">
        <v>380</v>
      </c>
      <c r="G97" s="1">
        <v>3</v>
      </c>
      <c r="H97" s="1" t="s">
        <v>126</v>
      </c>
      <c r="I97" s="5" t="s">
        <v>380</v>
      </c>
      <c r="J97" s="5">
        <v>1</v>
      </c>
      <c r="K97" s="5" t="s">
        <v>126</v>
      </c>
      <c r="L97" s="5"/>
      <c r="M97" s="5" t="s">
        <v>1442</v>
      </c>
      <c r="N97" s="24" t="str">
        <f t="shared" si="29"/>
        <v>3,70 €</v>
      </c>
      <c r="O97">
        <v>26</v>
      </c>
      <c r="P97" s="383">
        <v>0</v>
      </c>
      <c r="Q97" s="383">
        <v>1</v>
      </c>
      <c r="R97" t="str">
        <f t="shared" si="25"/>
        <v>FFCC99</v>
      </c>
      <c r="S97" s="323" t="s">
        <v>273</v>
      </c>
      <c r="T97" t="str">
        <f t="shared" si="30"/>
        <v>Bûchette Spéculos</v>
      </c>
      <c r="V97" s="6" t="str">
        <f t="shared" si="31"/>
        <v>3,70 €</v>
      </c>
      <c r="X97" t="str">
        <f t="shared" si="32"/>
        <v>PAT-PAT026</v>
      </c>
    </row>
    <row r="98" spans="1:24">
      <c r="A98" s="323" t="s">
        <v>1436</v>
      </c>
      <c r="B98" s="16">
        <v>3.7</v>
      </c>
      <c r="C98" s="4">
        <f t="shared" si="28"/>
        <v>3.7</v>
      </c>
      <c r="F98" s="1" t="s">
        <v>380</v>
      </c>
      <c r="G98" s="1">
        <v>3</v>
      </c>
      <c r="H98" s="1" t="s">
        <v>126</v>
      </c>
      <c r="I98" s="5" t="s">
        <v>380</v>
      </c>
      <c r="J98" s="5">
        <v>1</v>
      </c>
      <c r="K98" s="5" t="s">
        <v>126</v>
      </c>
      <c r="L98" s="5"/>
      <c r="M98" s="5" t="s">
        <v>1442</v>
      </c>
      <c r="N98" s="24" t="str">
        <f t="shared" si="29"/>
        <v>3,70 €</v>
      </c>
      <c r="O98">
        <v>27</v>
      </c>
      <c r="P98" s="383">
        <v>0</v>
      </c>
      <c r="Q98" s="383">
        <v>1</v>
      </c>
      <c r="R98" t="str">
        <f t="shared" si="25"/>
        <v>FFCC99</v>
      </c>
      <c r="S98" s="323" t="s">
        <v>273</v>
      </c>
      <c r="T98" t="str">
        <f t="shared" si="30"/>
        <v>Bûchette Praline</v>
      </c>
      <c r="V98" s="6" t="str">
        <f t="shared" si="31"/>
        <v>3,70 €</v>
      </c>
      <c r="X98" t="str">
        <f t="shared" si="32"/>
        <v>PAT-PAT027</v>
      </c>
    </row>
    <row r="99" spans="1:24">
      <c r="A99" s="323" t="s">
        <v>1437</v>
      </c>
      <c r="B99" s="16">
        <v>4.0999999999999996</v>
      </c>
      <c r="C99" s="4">
        <f t="shared" si="28"/>
        <v>4.0999999999999996</v>
      </c>
      <c r="F99" s="1" t="s">
        <v>380</v>
      </c>
      <c r="G99" s="1">
        <v>3</v>
      </c>
      <c r="H99" s="1" t="s">
        <v>126</v>
      </c>
      <c r="I99" s="5" t="s">
        <v>380</v>
      </c>
      <c r="J99" s="5">
        <v>1</v>
      </c>
      <c r="K99" s="5" t="s">
        <v>126</v>
      </c>
      <c r="L99" s="5"/>
      <c r="M99" s="5" t="s">
        <v>1443</v>
      </c>
      <c r="N99" s="24" t="str">
        <f t="shared" si="29"/>
        <v>4,10 €</v>
      </c>
      <c r="O99">
        <v>28</v>
      </c>
      <c r="P99" s="383">
        <v>1</v>
      </c>
      <c r="Q99" s="383">
        <v>1</v>
      </c>
      <c r="R99" t="str">
        <f t="shared" si="25"/>
        <v>FFCC99</v>
      </c>
      <c r="S99" s="323" t="s">
        <v>273</v>
      </c>
      <c r="T99" t="str">
        <f t="shared" si="30"/>
        <v>Bûchette Baiser de Margot</v>
      </c>
      <c r="V99" s="6" t="str">
        <f t="shared" si="31"/>
        <v>4,10 €</v>
      </c>
      <c r="X99" t="str">
        <f t="shared" si="32"/>
        <v>PAT-PAT028</v>
      </c>
    </row>
    <row r="100" spans="1:24">
      <c r="A100" s="323" t="s">
        <v>1438</v>
      </c>
      <c r="B100" s="16">
        <v>4.0999999999999996</v>
      </c>
      <c r="C100" s="4">
        <f t="shared" si="28"/>
        <v>4.0999999999999996</v>
      </c>
      <c r="F100" s="1" t="s">
        <v>380</v>
      </c>
      <c r="G100" s="1">
        <v>3</v>
      </c>
      <c r="H100" s="1" t="s">
        <v>126</v>
      </c>
      <c r="I100" s="5" t="s">
        <v>380</v>
      </c>
      <c r="J100" s="5">
        <v>1</v>
      </c>
      <c r="K100" s="5" t="s">
        <v>126</v>
      </c>
      <c r="L100" s="5"/>
      <c r="M100" s="5" t="s">
        <v>1443</v>
      </c>
      <c r="N100" s="24" t="str">
        <f t="shared" si="29"/>
        <v>4,10 €</v>
      </c>
      <c r="O100">
        <v>29</v>
      </c>
      <c r="P100" s="383">
        <v>0</v>
      </c>
      <c r="Q100" s="383">
        <v>1</v>
      </c>
      <c r="R100" t="str">
        <f t="shared" si="25"/>
        <v>FFCC99</v>
      </c>
      <c r="S100" s="323" t="s">
        <v>273</v>
      </c>
      <c r="T100" t="str">
        <f t="shared" si="30"/>
        <v>Bûchette Gianduneige</v>
      </c>
      <c r="V100" s="6" t="str">
        <f t="shared" si="31"/>
        <v>4,10 €</v>
      </c>
      <c r="X100" t="str">
        <f t="shared" si="32"/>
        <v>PAT-PAT029</v>
      </c>
    </row>
    <row r="101" spans="1:24">
      <c r="A101" s="323" t="s">
        <v>1439</v>
      </c>
      <c r="B101" s="16">
        <v>4.0999999999999996</v>
      </c>
      <c r="C101" s="4">
        <f t="shared" si="28"/>
        <v>4.0999999999999996</v>
      </c>
      <c r="F101" s="1" t="s">
        <v>380</v>
      </c>
      <c r="G101" s="1">
        <v>3</v>
      </c>
      <c r="H101" s="1" t="s">
        <v>126</v>
      </c>
      <c r="I101" s="5" t="s">
        <v>380</v>
      </c>
      <c r="J101" s="5">
        <v>1</v>
      </c>
      <c r="K101" s="5" t="s">
        <v>126</v>
      </c>
      <c r="L101" s="5"/>
      <c r="M101" s="5" t="s">
        <v>1443</v>
      </c>
      <c r="N101" s="24" t="str">
        <f t="shared" si="29"/>
        <v>4,10 €</v>
      </c>
      <c r="O101">
        <v>30</v>
      </c>
      <c r="P101" s="383">
        <v>0</v>
      </c>
      <c r="Q101" s="383">
        <v>1</v>
      </c>
      <c r="R101" t="str">
        <f t="shared" si="25"/>
        <v>FFCC99</v>
      </c>
      <c r="S101" s="323" t="s">
        <v>273</v>
      </c>
      <c r="T101" t="str">
        <f t="shared" si="30"/>
        <v>Bûchette Richeulieu</v>
      </c>
      <c r="V101" s="6" t="str">
        <f t="shared" si="31"/>
        <v>4,10 €</v>
      </c>
      <c r="X101" t="str">
        <f t="shared" si="32"/>
        <v>PAT-PAT030</v>
      </c>
    </row>
    <row r="102" spans="1:24">
      <c r="A102" s="323" t="s">
        <v>1440</v>
      </c>
      <c r="B102" s="16">
        <v>4.0999999999999996</v>
      </c>
      <c r="C102" s="4">
        <f t="shared" si="28"/>
        <v>4.0999999999999996</v>
      </c>
      <c r="F102" s="1" t="s">
        <v>380</v>
      </c>
      <c r="G102" s="1">
        <v>3</v>
      </c>
      <c r="H102" s="1" t="s">
        <v>126</v>
      </c>
      <c r="I102" s="5" t="s">
        <v>380</v>
      </c>
      <c r="J102" s="5">
        <v>1</v>
      </c>
      <c r="K102" s="5" t="s">
        <v>126</v>
      </c>
      <c r="L102" s="5"/>
      <c r="M102" s="5" t="s">
        <v>1443</v>
      </c>
      <c r="N102" s="24" t="str">
        <f t="shared" si="29"/>
        <v>4,10 €</v>
      </c>
      <c r="O102">
        <v>31</v>
      </c>
      <c r="P102" s="383">
        <v>0</v>
      </c>
      <c r="Q102" s="383">
        <v>1</v>
      </c>
      <c r="R102" t="str">
        <f t="shared" si="25"/>
        <v>FFCC99</v>
      </c>
      <c r="S102" s="323" t="s">
        <v>273</v>
      </c>
      <c r="T102" t="str">
        <f t="shared" si="30"/>
        <v>Bûchette Ecureuil</v>
      </c>
      <c r="V102" s="6" t="str">
        <f t="shared" si="31"/>
        <v>4,10 €</v>
      </c>
      <c r="X102" t="str">
        <f t="shared" si="32"/>
        <v>PAT-PAT031</v>
      </c>
    </row>
    <row r="103" spans="1:24">
      <c r="A103" s="323" t="s">
        <v>1441</v>
      </c>
      <c r="B103" s="16">
        <v>4.0999999999999996</v>
      </c>
      <c r="C103" s="4">
        <f t="shared" si="28"/>
        <v>4.0999999999999996</v>
      </c>
      <c r="F103" s="1" t="s">
        <v>380</v>
      </c>
      <c r="G103" s="1">
        <v>3</v>
      </c>
      <c r="H103" s="1" t="s">
        <v>126</v>
      </c>
      <c r="I103" s="5" t="s">
        <v>380</v>
      </c>
      <c r="J103" s="5">
        <v>1</v>
      </c>
      <c r="K103" s="5" t="s">
        <v>126</v>
      </c>
      <c r="L103" s="5"/>
      <c r="M103" s="5" t="s">
        <v>1443</v>
      </c>
      <c r="N103" s="24" t="str">
        <f t="shared" si="29"/>
        <v>4,10 €</v>
      </c>
      <c r="O103">
        <v>32</v>
      </c>
      <c r="P103" s="383">
        <v>0</v>
      </c>
      <c r="Q103" s="383">
        <v>1</v>
      </c>
      <c r="R103" t="str">
        <f t="shared" si="25"/>
        <v>FFCC99</v>
      </c>
      <c r="S103" s="323" t="s">
        <v>273</v>
      </c>
      <c r="T103" t="str">
        <f t="shared" si="30"/>
        <v>Bûchette Passion-Framboise</v>
      </c>
      <c r="V103" s="6" t="str">
        <f t="shared" si="31"/>
        <v>4,10 €</v>
      </c>
      <c r="X103" t="str">
        <f t="shared" si="32"/>
        <v>PAT-PAT032</v>
      </c>
    </row>
    <row r="104" spans="1:24">
      <c r="A104" s="323" t="s">
        <v>201</v>
      </c>
      <c r="B104" s="4">
        <v>2.8</v>
      </c>
      <c r="C104" s="4">
        <f t="shared" ref="C104:C127" si="33">B104</f>
        <v>2.8</v>
      </c>
      <c r="F104" s="1" t="s">
        <v>380</v>
      </c>
      <c r="G104" s="1">
        <v>3</v>
      </c>
      <c r="H104" s="1" t="s">
        <v>126</v>
      </c>
      <c r="I104" s="62" t="s">
        <v>42</v>
      </c>
      <c r="J104" s="62">
        <v>2</v>
      </c>
      <c r="K104" s="62" t="s">
        <v>41</v>
      </c>
      <c r="L104" s="62"/>
      <c r="M104" s="62" t="s">
        <v>201</v>
      </c>
      <c r="N104" s="66" t="str">
        <f t="shared" si="21"/>
        <v>2,80 €</v>
      </c>
      <c r="O104">
        <v>1</v>
      </c>
      <c r="P104" s="2">
        <v>1</v>
      </c>
      <c r="Q104" s="2">
        <v>1</v>
      </c>
      <c r="R104" t="str">
        <f t="shared" si="25"/>
        <v>E2B48D</v>
      </c>
      <c r="S104" s="323" t="s">
        <v>273</v>
      </c>
      <c r="T104" t="str">
        <f t="shared" si="23"/>
        <v>Tarte fine</v>
      </c>
      <c r="V104" s="6" t="str">
        <f t="shared" si="22"/>
        <v>2,80 €</v>
      </c>
      <c r="W104" s="6" t="s">
        <v>573</v>
      </c>
      <c r="X104" t="str">
        <f t="shared" ref="X104:X129" si="34">H104&amp;"-"&amp;K104&amp;TEXT(O104,"000")</f>
        <v>PAT-TRT001</v>
      </c>
    </row>
    <row r="105" spans="1:24" s="323" customFormat="1">
      <c r="A105" s="14" t="s">
        <v>266</v>
      </c>
      <c r="B105" s="322">
        <v>2.8</v>
      </c>
      <c r="C105" s="322">
        <f t="shared" si="33"/>
        <v>2.8</v>
      </c>
      <c r="E105" s="322"/>
      <c r="F105" s="324" t="s">
        <v>380</v>
      </c>
      <c r="G105" s="324">
        <v>3</v>
      </c>
      <c r="H105" s="324" t="s">
        <v>126</v>
      </c>
      <c r="I105" s="325" t="s">
        <v>42</v>
      </c>
      <c r="J105" s="325">
        <v>2</v>
      </c>
      <c r="K105" s="325" t="s">
        <v>41</v>
      </c>
      <c r="L105" s="325"/>
      <c r="M105" s="325" t="s">
        <v>201</v>
      </c>
      <c r="N105" s="326" t="str">
        <f t="shared" si="21"/>
        <v>2,80 €</v>
      </c>
      <c r="O105" s="323">
        <v>2</v>
      </c>
      <c r="P105" s="327">
        <v>0</v>
      </c>
      <c r="Q105" s="327">
        <v>1</v>
      </c>
      <c r="R105" t="str">
        <f t="shared" si="25"/>
        <v>E2B48D</v>
      </c>
      <c r="S105" s="323" t="s">
        <v>273</v>
      </c>
      <c r="T105" s="323" t="str">
        <f t="shared" si="23"/>
        <v>Tarte fine Abricots</v>
      </c>
      <c r="V105" s="328" t="str">
        <f t="shared" si="22"/>
        <v>2,80 €</v>
      </c>
      <c r="W105" s="328"/>
      <c r="X105" s="323" t="str">
        <f t="shared" si="34"/>
        <v>PAT-TRT002</v>
      </c>
    </row>
    <row r="106" spans="1:24" s="323" customFormat="1">
      <c r="A106" s="14" t="s">
        <v>268</v>
      </c>
      <c r="B106" s="322">
        <v>2.8</v>
      </c>
      <c r="C106" s="322">
        <f t="shared" si="33"/>
        <v>2.8</v>
      </c>
      <c r="E106" s="322"/>
      <c r="F106" s="324" t="s">
        <v>380</v>
      </c>
      <c r="G106" s="324">
        <v>3</v>
      </c>
      <c r="H106" s="324" t="s">
        <v>126</v>
      </c>
      <c r="I106" s="325" t="s">
        <v>42</v>
      </c>
      <c r="J106" s="325">
        <v>2</v>
      </c>
      <c r="K106" s="325" t="s">
        <v>41</v>
      </c>
      <c r="L106" s="325"/>
      <c r="M106" s="325" t="s">
        <v>201</v>
      </c>
      <c r="N106" s="326" t="str">
        <f t="shared" si="21"/>
        <v>2,80 €</v>
      </c>
      <c r="O106" s="323">
        <v>3</v>
      </c>
      <c r="P106" s="327">
        <v>0</v>
      </c>
      <c r="Q106" s="327">
        <v>1</v>
      </c>
      <c r="R106" t="str">
        <f t="shared" si="25"/>
        <v>E2B48D</v>
      </c>
      <c r="S106" s="323" t="s">
        <v>273</v>
      </c>
      <c r="T106" s="323" t="str">
        <f t="shared" si="23"/>
        <v>Tarte fine Mirabelles</v>
      </c>
      <c r="V106" s="328" t="str">
        <f t="shared" si="22"/>
        <v>2,80 €</v>
      </c>
      <c r="W106" s="328"/>
      <c r="X106" s="323" t="str">
        <f t="shared" si="34"/>
        <v>PAT-TRT003</v>
      </c>
    </row>
    <row r="107" spans="1:24" s="323" customFormat="1">
      <c r="A107" s="14" t="s">
        <v>267</v>
      </c>
      <c r="B107" s="322">
        <v>2.8</v>
      </c>
      <c r="C107" s="322">
        <f t="shared" si="33"/>
        <v>2.8</v>
      </c>
      <c r="E107" s="322"/>
      <c r="F107" s="324" t="s">
        <v>380</v>
      </c>
      <c r="G107" s="324">
        <v>3</v>
      </c>
      <c r="H107" s="324" t="s">
        <v>126</v>
      </c>
      <c r="I107" s="325" t="s">
        <v>42</v>
      </c>
      <c r="J107" s="325">
        <v>2</v>
      </c>
      <c r="K107" s="325" t="s">
        <v>41</v>
      </c>
      <c r="L107" s="325"/>
      <c r="M107" s="325" t="s">
        <v>201</v>
      </c>
      <c r="N107" s="326" t="str">
        <f t="shared" si="21"/>
        <v>2,80 €</v>
      </c>
      <c r="O107" s="323">
        <v>4</v>
      </c>
      <c r="P107" s="327">
        <v>0</v>
      </c>
      <c r="Q107" s="327">
        <v>1</v>
      </c>
      <c r="R107" t="str">
        <f t="shared" si="25"/>
        <v>E2B48D</v>
      </c>
      <c r="S107" s="323" t="s">
        <v>273</v>
      </c>
      <c r="T107" s="323" t="str">
        <f t="shared" si="23"/>
        <v>Tarte fine Poires</v>
      </c>
      <c r="V107" s="328" t="str">
        <f t="shared" si="22"/>
        <v>2,80 €</v>
      </c>
      <c r="W107" s="328"/>
      <c r="X107" s="323" t="str">
        <f t="shared" si="34"/>
        <v>PAT-TRT004</v>
      </c>
    </row>
    <row r="108" spans="1:24" s="323" customFormat="1">
      <c r="A108" s="14" t="s">
        <v>265</v>
      </c>
      <c r="B108" s="322">
        <v>2.8</v>
      </c>
      <c r="C108" s="322">
        <f t="shared" si="33"/>
        <v>2.8</v>
      </c>
      <c r="E108" s="322"/>
      <c r="F108" s="324" t="s">
        <v>380</v>
      </c>
      <c r="G108" s="324">
        <v>3</v>
      </c>
      <c r="H108" s="324" t="s">
        <v>126</v>
      </c>
      <c r="I108" s="325" t="s">
        <v>42</v>
      </c>
      <c r="J108" s="325">
        <v>2</v>
      </c>
      <c r="K108" s="325" t="s">
        <v>41</v>
      </c>
      <c r="L108" s="325"/>
      <c r="M108" s="325" t="s">
        <v>201</v>
      </c>
      <c r="N108" s="326" t="str">
        <f t="shared" si="21"/>
        <v>2,80 €</v>
      </c>
      <c r="O108" s="323">
        <v>5</v>
      </c>
      <c r="P108" s="327">
        <v>0</v>
      </c>
      <c r="Q108" s="327">
        <v>1</v>
      </c>
      <c r="R108" t="str">
        <f t="shared" si="25"/>
        <v>E2B48D</v>
      </c>
      <c r="S108" s="323" t="s">
        <v>273</v>
      </c>
      <c r="T108" s="323" t="str">
        <f t="shared" si="23"/>
        <v>Tarte fine Pommes</v>
      </c>
      <c r="V108" s="328" t="str">
        <f t="shared" si="22"/>
        <v>2,80 €</v>
      </c>
      <c r="W108" s="328"/>
      <c r="X108" s="323" t="str">
        <f t="shared" si="34"/>
        <v>PAT-TRT005</v>
      </c>
    </row>
    <row r="109" spans="1:24">
      <c r="A109" s="323" t="s">
        <v>418</v>
      </c>
      <c r="B109" s="4">
        <v>2.8</v>
      </c>
      <c r="C109" s="4">
        <f t="shared" si="33"/>
        <v>2.8</v>
      </c>
      <c r="F109" s="1" t="s">
        <v>380</v>
      </c>
      <c r="G109" s="1">
        <v>3</v>
      </c>
      <c r="H109" s="1" t="s">
        <v>126</v>
      </c>
      <c r="I109" s="62" t="s">
        <v>42</v>
      </c>
      <c r="J109" s="62">
        <v>2</v>
      </c>
      <c r="K109" s="62" t="s">
        <v>41</v>
      </c>
      <c r="L109" s="62"/>
      <c r="M109" s="62" t="s">
        <v>206</v>
      </c>
      <c r="N109" s="66" t="str">
        <f t="shared" si="21"/>
        <v>2,80 €</v>
      </c>
      <c r="O109">
        <v>6</v>
      </c>
      <c r="P109" s="2">
        <v>1</v>
      </c>
      <c r="Q109" s="2">
        <v>1</v>
      </c>
      <c r="R109" t="str">
        <f t="shared" si="25"/>
        <v>E2B48D</v>
      </c>
      <c r="S109" s="323" t="s">
        <v>273</v>
      </c>
      <c r="T109" t="str">
        <f t="shared" si="23"/>
        <v>Tarte Fruits Rouges et Crumble</v>
      </c>
      <c r="V109" s="6" t="str">
        <f t="shared" si="22"/>
        <v>2,80 €</v>
      </c>
      <c r="X109" t="str">
        <f t="shared" si="34"/>
        <v>PAT-TRT006</v>
      </c>
    </row>
    <row r="110" spans="1:24">
      <c r="A110" s="323" t="s">
        <v>228</v>
      </c>
      <c r="B110" s="4">
        <v>2.5</v>
      </c>
      <c r="C110" s="4">
        <f t="shared" si="33"/>
        <v>2.5</v>
      </c>
      <c r="F110" s="1" t="s">
        <v>380</v>
      </c>
      <c r="G110" s="1">
        <v>3</v>
      </c>
      <c r="H110" s="1" t="s">
        <v>126</v>
      </c>
      <c r="I110" s="62" t="s">
        <v>42</v>
      </c>
      <c r="J110" s="62">
        <v>2</v>
      </c>
      <c r="K110" s="62" t="s">
        <v>41</v>
      </c>
      <c r="L110" s="62"/>
      <c r="M110" s="62" t="str">
        <f>A110</f>
        <v>Tartelette Chocolat</v>
      </c>
      <c r="N110" s="66" t="str">
        <f t="shared" si="21"/>
        <v>2,50 €</v>
      </c>
      <c r="O110">
        <v>7</v>
      </c>
      <c r="P110" s="2">
        <v>1</v>
      </c>
      <c r="Q110" s="2">
        <v>1</v>
      </c>
      <c r="R110" t="str">
        <f t="shared" si="25"/>
        <v>E2B48D</v>
      </c>
      <c r="S110" s="323" t="s">
        <v>273</v>
      </c>
      <c r="T110" t="str">
        <f t="shared" si="23"/>
        <v>Tartelette Chocolat</v>
      </c>
      <c r="V110" s="6" t="str">
        <f t="shared" si="22"/>
        <v>2,50 €</v>
      </c>
      <c r="X110" t="str">
        <f t="shared" si="34"/>
        <v>PAT-TRT007</v>
      </c>
    </row>
    <row r="111" spans="1:24">
      <c r="A111" s="323" t="s">
        <v>232</v>
      </c>
      <c r="B111" s="4">
        <v>3.6</v>
      </c>
      <c r="C111" s="4">
        <f t="shared" si="33"/>
        <v>3.6</v>
      </c>
      <c r="F111" s="1" t="s">
        <v>380</v>
      </c>
      <c r="G111" s="1">
        <v>3</v>
      </c>
      <c r="H111" s="1" t="s">
        <v>126</v>
      </c>
      <c r="I111" s="62" t="s">
        <v>42</v>
      </c>
      <c r="J111" s="62">
        <v>2</v>
      </c>
      <c r="K111" s="62" t="s">
        <v>41</v>
      </c>
      <c r="L111" s="62"/>
      <c r="M111" s="62" t="s">
        <v>1432</v>
      </c>
      <c r="N111" s="66" t="str">
        <f t="shared" si="21"/>
        <v>3,60 €</v>
      </c>
      <c r="O111">
        <v>8</v>
      </c>
      <c r="P111" s="2">
        <v>1</v>
      </c>
      <c r="Q111" s="2">
        <v>1</v>
      </c>
      <c r="R111" t="str">
        <f t="shared" si="25"/>
        <v>E2B48D</v>
      </c>
      <c r="S111" s="323" t="s">
        <v>273</v>
      </c>
      <c r="T111" t="str">
        <f t="shared" si="23"/>
        <v>Tartelette Citron Meringuée</v>
      </c>
      <c r="V111" s="6" t="str">
        <f t="shared" si="22"/>
        <v>3,60 €</v>
      </c>
      <c r="X111" t="str">
        <f t="shared" si="34"/>
        <v>PAT-TRT008</v>
      </c>
    </row>
    <row r="112" spans="1:24">
      <c r="A112" s="323" t="s">
        <v>415</v>
      </c>
      <c r="B112" s="4">
        <v>3.9</v>
      </c>
      <c r="C112" s="4">
        <f t="shared" si="33"/>
        <v>3.9</v>
      </c>
      <c r="F112" s="1" t="s">
        <v>380</v>
      </c>
      <c r="G112" s="1">
        <v>3</v>
      </c>
      <c r="H112" s="1" t="s">
        <v>126</v>
      </c>
      <c r="I112" s="62" t="s">
        <v>42</v>
      </c>
      <c r="J112" s="62">
        <v>2</v>
      </c>
      <c r="K112" s="62" t="s">
        <v>41</v>
      </c>
      <c r="L112" s="62"/>
      <c r="M112" s="62" t="s">
        <v>1432</v>
      </c>
      <c r="N112" s="66" t="str">
        <f t="shared" si="21"/>
        <v>3,90 €</v>
      </c>
      <c r="O112">
        <v>9</v>
      </c>
      <c r="P112" s="2">
        <v>0</v>
      </c>
      <c r="Q112" s="2">
        <v>1</v>
      </c>
      <c r="R112" t="str">
        <f t="shared" si="25"/>
        <v>E2B48D</v>
      </c>
      <c r="S112" s="323" t="s">
        <v>273</v>
      </c>
      <c r="T112" t="str">
        <f t="shared" si="23"/>
        <v>Tartelette Tatin</v>
      </c>
      <c r="V112" s="6" t="str">
        <f t="shared" si="22"/>
        <v>3,90 €</v>
      </c>
      <c r="X112" t="str">
        <f t="shared" si="34"/>
        <v>PAT-TRT009</v>
      </c>
    </row>
    <row r="113" spans="1:24">
      <c r="A113" s="323" t="s">
        <v>1430</v>
      </c>
      <c r="B113" s="4">
        <v>3</v>
      </c>
      <c r="C113" s="4">
        <f t="shared" si="33"/>
        <v>3</v>
      </c>
      <c r="F113" s="1" t="s">
        <v>380</v>
      </c>
      <c r="G113" s="1">
        <v>3</v>
      </c>
      <c r="H113" s="1" t="s">
        <v>126</v>
      </c>
      <c r="I113" s="62" t="s">
        <v>42</v>
      </c>
      <c r="J113" s="62">
        <v>2</v>
      </c>
      <c r="K113" s="62" t="s">
        <v>41</v>
      </c>
      <c r="L113" s="62"/>
      <c r="M113" s="62" t="s">
        <v>1432</v>
      </c>
      <c r="N113" s="66" t="str">
        <f t="shared" ref="N113:N127" si="35">IF(B113&lt;&gt;"",TEXT(B113,"0,00 €"),"")</f>
        <v>3,00 €</v>
      </c>
      <c r="O113">
        <v>10</v>
      </c>
      <c r="P113" s="383">
        <v>0</v>
      </c>
      <c r="Q113" s="383">
        <v>1</v>
      </c>
      <c r="R113" t="str">
        <f>couleurFond(I113)</f>
        <v>E2B48D</v>
      </c>
      <c r="S113" s="323" t="s">
        <v>273</v>
      </c>
      <c r="T113" t="str">
        <f>A113</f>
        <v>Tartelette Fraise</v>
      </c>
      <c r="V113" s="6" t="str">
        <f t="shared" ref="V113:V127" si="36">N113</f>
        <v>3,00 €</v>
      </c>
      <c r="X113" t="str">
        <f t="shared" si="34"/>
        <v>PAT-TRT010</v>
      </c>
    </row>
    <row r="114" spans="1:24">
      <c r="A114" s="323" t="s">
        <v>1431</v>
      </c>
      <c r="B114" s="4">
        <v>3.5</v>
      </c>
      <c r="C114" s="4">
        <f t="shared" si="33"/>
        <v>3.5</v>
      </c>
      <c r="F114" s="1" t="s">
        <v>380</v>
      </c>
      <c r="G114" s="1">
        <v>3</v>
      </c>
      <c r="H114" s="1" t="s">
        <v>126</v>
      </c>
      <c r="I114" s="62" t="s">
        <v>42</v>
      </c>
      <c r="J114" s="62">
        <v>2</v>
      </c>
      <c r="K114" s="62" t="s">
        <v>41</v>
      </c>
      <c r="L114" s="62"/>
      <c r="M114" s="62" t="s">
        <v>1432</v>
      </c>
      <c r="N114" s="66" t="str">
        <f t="shared" si="35"/>
        <v>3,50 €</v>
      </c>
      <c r="O114">
        <v>11</v>
      </c>
      <c r="P114" s="383">
        <v>0</v>
      </c>
      <c r="Q114" s="383">
        <v>1</v>
      </c>
      <c r="R114" t="str">
        <f>couleurFond(I114)</f>
        <v>E2B48D</v>
      </c>
      <c r="S114" s="323" t="s">
        <v>273</v>
      </c>
      <c r="T114" t="str">
        <f>A114</f>
        <v>Tartelette Framboise</v>
      </c>
      <c r="V114" s="6" t="str">
        <f t="shared" si="36"/>
        <v>3,50 €</v>
      </c>
      <c r="X114" t="str">
        <f t="shared" si="34"/>
        <v>PAT-TRT011</v>
      </c>
    </row>
    <row r="115" spans="1:24">
      <c r="A115" s="323" t="s">
        <v>229</v>
      </c>
      <c r="B115" s="4">
        <v>3.2</v>
      </c>
      <c r="C115" s="4">
        <f t="shared" si="33"/>
        <v>3.2</v>
      </c>
      <c r="F115" s="1" t="s">
        <v>380</v>
      </c>
      <c r="G115" s="1">
        <v>3</v>
      </c>
      <c r="H115" s="1" t="s">
        <v>126</v>
      </c>
      <c r="I115" s="62" t="s">
        <v>42</v>
      </c>
      <c r="J115" s="62">
        <v>2</v>
      </c>
      <c r="K115" s="62" t="s">
        <v>41</v>
      </c>
      <c r="L115" s="62"/>
      <c r="M115" s="62" t="str">
        <f>A115</f>
        <v>Tarte Automne</v>
      </c>
      <c r="N115" s="66" t="str">
        <f t="shared" si="35"/>
        <v>3,20 €</v>
      </c>
      <c r="O115">
        <v>12</v>
      </c>
      <c r="P115" s="2">
        <v>1</v>
      </c>
      <c r="Q115" s="2">
        <v>1</v>
      </c>
      <c r="R115" t="str">
        <f t="shared" si="25"/>
        <v>E2B48D</v>
      </c>
      <c r="S115" s="323" t="s">
        <v>273</v>
      </c>
      <c r="T115" t="str">
        <f t="shared" si="23"/>
        <v>Tarte Automne</v>
      </c>
      <c r="V115" s="6" t="str">
        <f t="shared" si="36"/>
        <v>3,20 €</v>
      </c>
      <c r="X115" t="str">
        <f t="shared" si="34"/>
        <v>PAT-TRT012</v>
      </c>
    </row>
    <row r="116" spans="1:24">
      <c r="A116" s="323" t="s">
        <v>1455</v>
      </c>
      <c r="B116" s="4">
        <v>16</v>
      </c>
      <c r="C116" s="4">
        <f t="shared" si="33"/>
        <v>16</v>
      </c>
      <c r="F116" s="1" t="s">
        <v>380</v>
      </c>
      <c r="G116" s="1">
        <v>3</v>
      </c>
      <c r="H116" s="1" t="s">
        <v>126</v>
      </c>
      <c r="I116" s="67" t="s">
        <v>282</v>
      </c>
      <c r="J116" s="67">
        <v>3</v>
      </c>
      <c r="K116" s="67" t="s">
        <v>127</v>
      </c>
      <c r="L116" s="67"/>
      <c r="M116" s="67" t="s">
        <v>204</v>
      </c>
      <c r="N116" s="68" t="str">
        <f t="shared" si="35"/>
        <v>16,00 €</v>
      </c>
      <c r="O116">
        <v>1</v>
      </c>
      <c r="P116" s="2">
        <v>1</v>
      </c>
      <c r="Q116" s="2">
        <v>1</v>
      </c>
      <c r="R116" t="str">
        <f t="shared" si="25"/>
        <v>D58D53</v>
      </c>
      <c r="S116" s="323" t="s">
        <v>273</v>
      </c>
      <c r="T116" t="s">
        <v>1457</v>
      </c>
      <c r="U116" t="s">
        <v>308</v>
      </c>
      <c r="V116" s="6" t="str">
        <f t="shared" si="36"/>
        <v>16,00 €</v>
      </c>
      <c r="X116" t="str">
        <f t="shared" si="34"/>
        <v>PAT-GAT001</v>
      </c>
    </row>
    <row r="117" spans="1:24">
      <c r="A117" s="323" t="s">
        <v>1456</v>
      </c>
      <c r="B117" s="4">
        <v>24</v>
      </c>
      <c r="C117" s="4">
        <f t="shared" si="33"/>
        <v>24</v>
      </c>
      <c r="F117" s="1" t="s">
        <v>380</v>
      </c>
      <c r="G117" s="1">
        <v>3</v>
      </c>
      <c r="H117" s="1" t="s">
        <v>126</v>
      </c>
      <c r="I117" s="67" t="s">
        <v>282</v>
      </c>
      <c r="J117" s="67">
        <v>3</v>
      </c>
      <c r="K117" s="67" t="s">
        <v>127</v>
      </c>
      <c r="L117" s="67"/>
      <c r="M117" s="67" t="s">
        <v>205</v>
      </c>
      <c r="N117" s="68" t="str">
        <f t="shared" si="35"/>
        <v>24,00 €</v>
      </c>
      <c r="O117">
        <v>2</v>
      </c>
      <c r="P117" s="2">
        <v>1</v>
      </c>
      <c r="Q117" s="2">
        <v>1</v>
      </c>
      <c r="R117" t="str">
        <f t="shared" si="25"/>
        <v>D58D53</v>
      </c>
      <c r="S117" s="323" t="s">
        <v>273</v>
      </c>
      <c r="T117" t="s">
        <v>1457</v>
      </c>
      <c r="U117" t="s">
        <v>309</v>
      </c>
      <c r="V117" s="6" t="str">
        <f t="shared" si="36"/>
        <v>24,00 €</v>
      </c>
      <c r="X117" t="str">
        <f t="shared" si="34"/>
        <v>PAT-GAT002</v>
      </c>
    </row>
    <row r="118" spans="1:24">
      <c r="A118" s="323" t="s">
        <v>1458</v>
      </c>
      <c r="B118" s="4">
        <v>16</v>
      </c>
      <c r="C118" s="4">
        <f t="shared" si="33"/>
        <v>16</v>
      </c>
      <c r="F118" s="1" t="s">
        <v>380</v>
      </c>
      <c r="G118" s="1">
        <v>3</v>
      </c>
      <c r="H118" s="1" t="s">
        <v>126</v>
      </c>
      <c r="I118" s="67" t="s">
        <v>282</v>
      </c>
      <c r="J118" s="67">
        <v>3</v>
      </c>
      <c r="K118" s="67" t="s">
        <v>127</v>
      </c>
      <c r="L118" s="67"/>
      <c r="M118" s="67" t="s">
        <v>204</v>
      </c>
      <c r="N118" s="68" t="str">
        <f t="shared" si="35"/>
        <v>16,00 €</v>
      </c>
      <c r="O118">
        <v>3</v>
      </c>
      <c r="P118" s="383">
        <v>0</v>
      </c>
      <c r="Q118" s="383">
        <v>1</v>
      </c>
      <c r="R118" t="str">
        <f>couleurFond(I118)</f>
        <v>D58D53</v>
      </c>
      <c r="S118" s="323" t="s">
        <v>273</v>
      </c>
      <c r="T118" t="s">
        <v>1463</v>
      </c>
      <c r="U118" t="s">
        <v>308</v>
      </c>
      <c r="V118" s="6" t="str">
        <f t="shared" si="36"/>
        <v>16,00 €</v>
      </c>
      <c r="X118" t="str">
        <f t="shared" si="34"/>
        <v>PAT-GAT003</v>
      </c>
    </row>
    <row r="119" spans="1:24">
      <c r="A119" s="323" t="s">
        <v>1459</v>
      </c>
      <c r="B119" s="4">
        <v>24</v>
      </c>
      <c r="C119" s="4">
        <f t="shared" si="33"/>
        <v>24</v>
      </c>
      <c r="F119" s="1" t="s">
        <v>380</v>
      </c>
      <c r="G119" s="1">
        <v>3</v>
      </c>
      <c r="H119" s="1" t="s">
        <v>126</v>
      </c>
      <c r="I119" s="67" t="s">
        <v>282</v>
      </c>
      <c r="J119" s="67">
        <v>3</v>
      </c>
      <c r="K119" s="67" t="s">
        <v>127</v>
      </c>
      <c r="L119" s="67"/>
      <c r="M119" s="67" t="s">
        <v>205</v>
      </c>
      <c r="N119" s="68" t="str">
        <f t="shared" si="35"/>
        <v>24,00 €</v>
      </c>
      <c r="O119">
        <v>4</v>
      </c>
      <c r="P119" s="383">
        <v>0</v>
      </c>
      <c r="Q119" s="383">
        <v>1</v>
      </c>
      <c r="R119" t="str">
        <f>couleurFond(I119)</f>
        <v>D58D53</v>
      </c>
      <c r="S119" s="323" t="s">
        <v>273</v>
      </c>
      <c r="T119" t="s">
        <v>1463</v>
      </c>
      <c r="U119" t="s">
        <v>309</v>
      </c>
      <c r="V119" s="6" t="str">
        <f t="shared" si="36"/>
        <v>24,00 €</v>
      </c>
      <c r="X119" t="str">
        <f t="shared" si="34"/>
        <v>PAT-GAT004</v>
      </c>
    </row>
    <row r="120" spans="1:24">
      <c r="A120" s="323" t="s">
        <v>1460</v>
      </c>
      <c r="B120" s="4">
        <v>16</v>
      </c>
      <c r="C120" s="4">
        <f t="shared" si="33"/>
        <v>16</v>
      </c>
      <c r="F120" s="1" t="s">
        <v>380</v>
      </c>
      <c r="G120" s="1">
        <v>3</v>
      </c>
      <c r="H120" s="1" t="s">
        <v>126</v>
      </c>
      <c r="I120" s="67" t="s">
        <v>282</v>
      </c>
      <c r="J120" s="67">
        <v>3</v>
      </c>
      <c r="K120" s="67" t="s">
        <v>127</v>
      </c>
      <c r="L120" s="67"/>
      <c r="M120" s="67" t="s">
        <v>204</v>
      </c>
      <c r="N120" s="68" t="str">
        <f t="shared" si="35"/>
        <v>16,00 €</v>
      </c>
      <c r="O120">
        <v>5</v>
      </c>
      <c r="P120" s="383">
        <v>0</v>
      </c>
      <c r="Q120" s="383">
        <v>1</v>
      </c>
      <c r="R120" t="str">
        <f>couleurFond(I120)</f>
        <v>D58D53</v>
      </c>
      <c r="S120" s="323" t="s">
        <v>273</v>
      </c>
      <c r="T120" t="s">
        <v>1462</v>
      </c>
      <c r="U120" s="385" t="s">
        <v>1492</v>
      </c>
      <c r="V120" s="6" t="str">
        <f t="shared" si="36"/>
        <v>16,00 €</v>
      </c>
      <c r="X120" t="str">
        <f t="shared" si="34"/>
        <v>PAT-GAT005</v>
      </c>
    </row>
    <row r="121" spans="1:24">
      <c r="A121" s="323" t="s">
        <v>1461</v>
      </c>
      <c r="B121" s="4">
        <v>24</v>
      </c>
      <c r="C121" s="4">
        <f t="shared" si="33"/>
        <v>24</v>
      </c>
      <c r="F121" s="1" t="s">
        <v>380</v>
      </c>
      <c r="G121" s="1">
        <v>3</v>
      </c>
      <c r="H121" s="1" t="s">
        <v>126</v>
      </c>
      <c r="I121" s="67" t="s">
        <v>282</v>
      </c>
      <c r="J121" s="67">
        <v>3</v>
      </c>
      <c r="K121" s="67" t="s">
        <v>127</v>
      </c>
      <c r="L121" s="67"/>
      <c r="M121" s="67" t="s">
        <v>205</v>
      </c>
      <c r="N121" s="68" t="str">
        <f t="shared" si="35"/>
        <v>24,00 €</v>
      </c>
      <c r="O121">
        <v>6</v>
      </c>
      <c r="P121" s="383">
        <v>0</v>
      </c>
      <c r="Q121" s="383">
        <v>1</v>
      </c>
      <c r="R121" t="str">
        <f>couleurFond(I121)</f>
        <v>D58D53</v>
      </c>
      <c r="S121" s="323" t="s">
        <v>273</v>
      </c>
      <c r="T121" t="s">
        <v>1462</v>
      </c>
      <c r="U121" s="385" t="s">
        <v>1493</v>
      </c>
      <c r="V121" s="6" t="str">
        <f t="shared" si="36"/>
        <v>24,00 €</v>
      </c>
      <c r="X121" t="str">
        <f t="shared" si="34"/>
        <v>PAT-GAT006</v>
      </c>
    </row>
    <row r="122" spans="1:24">
      <c r="A122" s="323" t="s">
        <v>165</v>
      </c>
      <c r="B122" s="4">
        <v>19</v>
      </c>
      <c r="C122" s="4">
        <f t="shared" si="33"/>
        <v>19</v>
      </c>
      <c r="F122" s="1" t="s">
        <v>380</v>
      </c>
      <c r="G122" s="1">
        <v>3</v>
      </c>
      <c r="H122" s="1" t="s">
        <v>126</v>
      </c>
      <c r="I122" s="67" t="s">
        <v>282</v>
      </c>
      <c r="J122" s="67">
        <v>3</v>
      </c>
      <c r="K122" s="67" t="s">
        <v>127</v>
      </c>
      <c r="L122" s="67"/>
      <c r="M122" s="67" t="str">
        <f t="shared" ref="M122:M129" si="37">A122</f>
        <v>Fraisier 4 pers</v>
      </c>
      <c r="N122" s="68" t="str">
        <f t="shared" si="35"/>
        <v>19,00 €</v>
      </c>
      <c r="O122">
        <v>7</v>
      </c>
      <c r="P122" s="2">
        <v>1</v>
      </c>
      <c r="Q122" s="2">
        <v>1</v>
      </c>
      <c r="R122" t="str">
        <f t="shared" si="25"/>
        <v>D58D53</v>
      </c>
      <c r="S122" s="323" t="s">
        <v>273</v>
      </c>
      <c r="T122" t="s">
        <v>423</v>
      </c>
      <c r="U122" t="s">
        <v>308</v>
      </c>
      <c r="V122" s="6" t="str">
        <f t="shared" si="36"/>
        <v>19,00 €</v>
      </c>
      <c r="X122" t="str">
        <f t="shared" si="34"/>
        <v>PAT-GAT007</v>
      </c>
    </row>
    <row r="123" spans="1:24">
      <c r="A123" s="323" t="s">
        <v>166</v>
      </c>
      <c r="B123" s="4">
        <v>28.5</v>
      </c>
      <c r="C123" s="4">
        <f t="shared" si="33"/>
        <v>28.5</v>
      </c>
      <c r="F123" s="1" t="s">
        <v>380</v>
      </c>
      <c r="G123" s="1">
        <v>3</v>
      </c>
      <c r="H123" s="1" t="s">
        <v>126</v>
      </c>
      <c r="I123" s="67" t="s">
        <v>282</v>
      </c>
      <c r="J123" s="67">
        <v>3</v>
      </c>
      <c r="K123" s="67" t="s">
        <v>127</v>
      </c>
      <c r="L123" s="67"/>
      <c r="M123" s="67" t="str">
        <f t="shared" si="37"/>
        <v>Fraisier 6 pers</v>
      </c>
      <c r="N123" s="68" t="str">
        <f t="shared" si="35"/>
        <v>28,50 €</v>
      </c>
      <c r="O123">
        <v>8</v>
      </c>
      <c r="P123" s="2">
        <v>1</v>
      </c>
      <c r="Q123" s="2">
        <v>1</v>
      </c>
      <c r="R123" t="str">
        <f t="shared" si="25"/>
        <v>D58D53</v>
      </c>
      <c r="S123" s="323" t="s">
        <v>273</v>
      </c>
      <c r="T123" t="s">
        <v>423</v>
      </c>
      <c r="U123" t="s">
        <v>309</v>
      </c>
      <c r="V123" s="6" t="str">
        <f t="shared" si="36"/>
        <v>28,50 €</v>
      </c>
      <c r="X123" t="str">
        <f t="shared" si="34"/>
        <v>PAT-GAT008</v>
      </c>
    </row>
    <row r="124" spans="1:24">
      <c r="A124" s="323" t="s">
        <v>167</v>
      </c>
      <c r="B124" s="4">
        <v>19</v>
      </c>
      <c r="C124" s="4">
        <f t="shared" si="33"/>
        <v>19</v>
      </c>
      <c r="F124" s="1" t="s">
        <v>380</v>
      </c>
      <c r="G124" s="1">
        <v>3</v>
      </c>
      <c r="H124" s="1" t="s">
        <v>126</v>
      </c>
      <c r="I124" s="67" t="s">
        <v>282</v>
      </c>
      <c r="J124" s="67">
        <v>3</v>
      </c>
      <c r="K124" s="67" t="s">
        <v>127</v>
      </c>
      <c r="L124" s="67"/>
      <c r="M124" s="67" t="str">
        <f t="shared" si="37"/>
        <v>Richelieu 4 pers</v>
      </c>
      <c r="N124" s="68" t="str">
        <f t="shared" si="35"/>
        <v>19,00 €</v>
      </c>
      <c r="O124">
        <v>9</v>
      </c>
      <c r="P124" s="2">
        <v>1</v>
      </c>
      <c r="Q124" s="2">
        <v>1</v>
      </c>
      <c r="R124" t="str">
        <f t="shared" si="25"/>
        <v>D58D53</v>
      </c>
      <c r="S124" s="323" t="s">
        <v>273</v>
      </c>
      <c r="T124" t="s">
        <v>417</v>
      </c>
      <c r="U124" t="s">
        <v>308</v>
      </c>
      <c r="V124" s="6" t="str">
        <f t="shared" si="36"/>
        <v>19,00 €</v>
      </c>
      <c r="X124" t="str">
        <f t="shared" si="34"/>
        <v>PAT-GAT009</v>
      </c>
    </row>
    <row r="125" spans="1:24">
      <c r="A125" s="323" t="s">
        <v>168</v>
      </c>
      <c r="B125" s="4">
        <v>28.5</v>
      </c>
      <c r="C125" s="4">
        <f t="shared" si="33"/>
        <v>28.5</v>
      </c>
      <c r="F125" s="1" t="s">
        <v>380</v>
      </c>
      <c r="G125" s="1">
        <v>3</v>
      </c>
      <c r="H125" s="1" t="s">
        <v>126</v>
      </c>
      <c r="I125" s="67" t="s">
        <v>282</v>
      </c>
      <c r="J125" s="67">
        <v>3</v>
      </c>
      <c r="K125" s="67" t="s">
        <v>127</v>
      </c>
      <c r="L125" s="67"/>
      <c r="M125" s="67" t="str">
        <f t="shared" si="37"/>
        <v>Richelieu 6 pers</v>
      </c>
      <c r="N125" s="68" t="str">
        <f t="shared" si="35"/>
        <v>28,50 €</v>
      </c>
      <c r="O125">
        <v>10</v>
      </c>
      <c r="P125" s="2">
        <v>1</v>
      </c>
      <c r="Q125" s="2">
        <v>1</v>
      </c>
      <c r="R125" t="str">
        <f t="shared" si="25"/>
        <v>D58D53</v>
      </c>
      <c r="S125" s="323" t="s">
        <v>273</v>
      </c>
      <c r="T125" t="s">
        <v>417</v>
      </c>
      <c r="U125" t="s">
        <v>309</v>
      </c>
      <c r="V125" s="6" t="str">
        <f t="shared" si="36"/>
        <v>28,50 €</v>
      </c>
      <c r="X125" t="str">
        <f t="shared" si="34"/>
        <v>PAT-GAT010</v>
      </c>
    </row>
    <row r="126" spans="1:24">
      <c r="A126" s="323" t="s">
        <v>163</v>
      </c>
      <c r="B126" s="4">
        <v>20</v>
      </c>
      <c r="C126" s="4">
        <f t="shared" si="33"/>
        <v>20</v>
      </c>
      <c r="F126" s="1" t="s">
        <v>380</v>
      </c>
      <c r="G126" s="1">
        <v>3</v>
      </c>
      <c r="H126" s="1" t="s">
        <v>126</v>
      </c>
      <c r="I126" s="67" t="s">
        <v>282</v>
      </c>
      <c r="J126" s="67">
        <v>3</v>
      </c>
      <c r="K126" s="67" t="s">
        <v>127</v>
      </c>
      <c r="L126" s="67"/>
      <c r="M126" s="67" t="str">
        <f t="shared" si="37"/>
        <v>Courchevel 4 pers</v>
      </c>
      <c r="N126" s="68" t="str">
        <f t="shared" si="35"/>
        <v>20,00 €</v>
      </c>
      <c r="O126">
        <v>11</v>
      </c>
      <c r="P126" s="2">
        <v>1</v>
      </c>
      <c r="Q126" s="2">
        <v>1</v>
      </c>
      <c r="R126" t="str">
        <f t="shared" si="25"/>
        <v>D58D53</v>
      </c>
      <c r="S126" s="323" t="s">
        <v>273</v>
      </c>
      <c r="T126" t="s">
        <v>230</v>
      </c>
      <c r="U126" t="s">
        <v>308</v>
      </c>
      <c r="V126" s="6" t="str">
        <f t="shared" si="36"/>
        <v>20,00 €</v>
      </c>
      <c r="X126" t="str">
        <f t="shared" si="34"/>
        <v>PAT-GAT011</v>
      </c>
    </row>
    <row r="127" spans="1:24">
      <c r="A127" s="323" t="s">
        <v>164</v>
      </c>
      <c r="B127" s="4">
        <v>29</v>
      </c>
      <c r="C127" s="4">
        <f t="shared" si="33"/>
        <v>29</v>
      </c>
      <c r="F127" s="1" t="s">
        <v>380</v>
      </c>
      <c r="G127" s="1">
        <v>3</v>
      </c>
      <c r="H127" s="1" t="s">
        <v>126</v>
      </c>
      <c r="I127" s="67" t="s">
        <v>282</v>
      </c>
      <c r="J127" s="67">
        <v>3</v>
      </c>
      <c r="K127" s="67" t="s">
        <v>127</v>
      </c>
      <c r="L127" s="67"/>
      <c r="M127" s="67" t="str">
        <f t="shared" si="37"/>
        <v>Courchevel 6 pers</v>
      </c>
      <c r="N127" s="68" t="str">
        <f t="shared" si="35"/>
        <v>29,00 €</v>
      </c>
      <c r="O127">
        <v>12</v>
      </c>
      <c r="P127" s="2">
        <v>1</v>
      </c>
      <c r="Q127" s="2">
        <v>1</v>
      </c>
      <c r="R127" t="str">
        <f t="shared" si="25"/>
        <v>D58D53</v>
      </c>
      <c r="S127" s="323" t="s">
        <v>273</v>
      </c>
      <c r="T127" t="s">
        <v>230</v>
      </c>
      <c r="U127" t="s">
        <v>309</v>
      </c>
      <c r="V127" s="6" t="str">
        <f t="shared" si="36"/>
        <v>29,00 €</v>
      </c>
      <c r="X127" t="str">
        <f t="shared" si="34"/>
        <v>PAT-GAT012</v>
      </c>
    </row>
    <row r="128" spans="1:24">
      <c r="A128" s="323" t="s">
        <v>904</v>
      </c>
      <c r="B128" s="4">
        <v>20</v>
      </c>
      <c r="C128" s="4">
        <f t="shared" ref="C128:C136" si="38">B128</f>
        <v>20</v>
      </c>
      <c r="F128" s="1" t="s">
        <v>380</v>
      </c>
      <c r="G128" s="1">
        <v>3</v>
      </c>
      <c r="H128" s="1" t="s">
        <v>126</v>
      </c>
      <c r="I128" s="67" t="s">
        <v>282</v>
      </c>
      <c r="J128" s="67">
        <v>3</v>
      </c>
      <c r="K128" s="67" t="s">
        <v>127</v>
      </c>
      <c r="L128" s="67"/>
      <c r="M128" s="67" t="str">
        <f t="shared" si="37"/>
        <v>Saint-Honoré 4 pers</v>
      </c>
      <c r="N128" s="68" t="str">
        <f t="shared" ref="N128:N136" si="39">IF(B128&lt;&gt;"",TEXT(B128,"0,00 €"),"")</f>
        <v>20,00 €</v>
      </c>
      <c r="O128">
        <v>13</v>
      </c>
      <c r="P128" s="306">
        <v>1</v>
      </c>
      <c r="Q128" s="306">
        <v>1</v>
      </c>
      <c r="R128" t="str">
        <f t="shared" si="25"/>
        <v>D58D53</v>
      </c>
      <c r="S128" s="323" t="s">
        <v>273</v>
      </c>
      <c r="T128" t="s">
        <v>272</v>
      </c>
      <c r="U128" t="s">
        <v>308</v>
      </c>
      <c r="V128" s="6" t="str">
        <f t="shared" ref="V128:V136" si="40">N128</f>
        <v>20,00 €</v>
      </c>
      <c r="X128" t="str">
        <f t="shared" si="34"/>
        <v>PAT-GAT013</v>
      </c>
    </row>
    <row r="129" spans="1:24">
      <c r="A129" s="323" t="s">
        <v>169</v>
      </c>
      <c r="B129" s="4">
        <v>29</v>
      </c>
      <c r="C129" s="4">
        <f t="shared" si="38"/>
        <v>29</v>
      </c>
      <c r="F129" s="1" t="s">
        <v>380</v>
      </c>
      <c r="G129" s="1">
        <v>3</v>
      </c>
      <c r="H129" s="1" t="s">
        <v>126</v>
      </c>
      <c r="I129" s="67" t="s">
        <v>282</v>
      </c>
      <c r="J129" s="67">
        <v>3</v>
      </c>
      <c r="K129" s="67" t="s">
        <v>127</v>
      </c>
      <c r="L129" s="67"/>
      <c r="M129" s="67" t="str">
        <f t="shared" si="37"/>
        <v>Saint-Honoré 6 pers</v>
      </c>
      <c r="N129" s="68" t="str">
        <f t="shared" si="39"/>
        <v>29,00 €</v>
      </c>
      <c r="O129">
        <v>14</v>
      </c>
      <c r="P129" s="306">
        <v>1</v>
      </c>
      <c r="Q129" s="306">
        <v>1</v>
      </c>
      <c r="R129" t="str">
        <f t="shared" si="25"/>
        <v>D58D53</v>
      </c>
      <c r="S129" s="323" t="s">
        <v>273</v>
      </c>
      <c r="T129" t="s">
        <v>272</v>
      </c>
      <c r="U129" t="s">
        <v>309</v>
      </c>
      <c r="V129" s="6" t="str">
        <f t="shared" si="40"/>
        <v>29,00 €</v>
      </c>
      <c r="X129" t="str">
        <f t="shared" si="34"/>
        <v>PAT-GAT014</v>
      </c>
    </row>
    <row r="130" spans="1:24">
      <c r="A130" s="323" t="s">
        <v>1448</v>
      </c>
      <c r="B130" s="4">
        <v>15</v>
      </c>
      <c r="C130" s="4">
        <f t="shared" si="38"/>
        <v>15</v>
      </c>
      <c r="F130" s="1" t="s">
        <v>380</v>
      </c>
      <c r="G130" s="1">
        <v>3</v>
      </c>
      <c r="H130" s="1" t="s">
        <v>126</v>
      </c>
      <c r="I130" s="67" t="s">
        <v>282</v>
      </c>
      <c r="J130" s="67">
        <v>3</v>
      </c>
      <c r="K130" s="67" t="s">
        <v>127</v>
      </c>
      <c r="L130" s="67"/>
      <c r="M130" s="67" t="s">
        <v>905</v>
      </c>
      <c r="N130" s="68" t="str">
        <f t="shared" si="39"/>
        <v>15,00 €</v>
      </c>
      <c r="O130">
        <v>15</v>
      </c>
      <c r="P130" s="383">
        <v>1</v>
      </c>
      <c r="Q130" s="383">
        <v>1</v>
      </c>
      <c r="R130" t="str">
        <f t="shared" ref="R130:R136" si="41">couleurFond(I130)</f>
        <v>D58D53</v>
      </c>
      <c r="S130" s="323" t="s">
        <v>273</v>
      </c>
      <c r="T130" t="s">
        <v>1449</v>
      </c>
      <c r="U130" s="385" t="s">
        <v>1493</v>
      </c>
      <c r="V130" s="6" t="str">
        <f t="shared" si="40"/>
        <v>15,00 €</v>
      </c>
      <c r="X130" t="str">
        <f t="shared" ref="X130:X136" si="42">H130&amp;"-"&amp;K130&amp;TEXT(O130,"000")</f>
        <v>PAT-GAT015</v>
      </c>
    </row>
    <row r="131" spans="1:24">
      <c r="A131" s="323" t="s">
        <v>1446</v>
      </c>
      <c r="B131" s="4">
        <v>15</v>
      </c>
      <c r="C131" s="4">
        <f>B131</f>
        <v>15</v>
      </c>
      <c r="F131" s="1" t="s">
        <v>380</v>
      </c>
      <c r="G131" s="1">
        <v>3</v>
      </c>
      <c r="H131" s="1" t="s">
        <v>126</v>
      </c>
      <c r="I131" s="67" t="s">
        <v>282</v>
      </c>
      <c r="J131" s="67">
        <v>3</v>
      </c>
      <c r="K131" s="67" t="s">
        <v>127</v>
      </c>
      <c r="L131" s="67"/>
      <c r="M131" s="67" t="s">
        <v>905</v>
      </c>
      <c r="N131" s="68" t="str">
        <f>IF(B131&lt;&gt;"",TEXT(B131,"0,00 €"),"")</f>
        <v>15,00 €</v>
      </c>
      <c r="O131">
        <v>16</v>
      </c>
      <c r="P131" s="383">
        <v>0</v>
      </c>
      <c r="Q131" s="383">
        <v>1</v>
      </c>
      <c r="R131" t="str">
        <f>couleurFond(I131)</f>
        <v>D58D53</v>
      </c>
      <c r="S131" s="323" t="s">
        <v>273</v>
      </c>
      <c r="T131" t="s">
        <v>1450</v>
      </c>
      <c r="U131" s="385" t="s">
        <v>1493</v>
      </c>
      <c r="V131" s="6" t="str">
        <f>N131</f>
        <v>15,00 €</v>
      </c>
      <c r="X131" t="str">
        <f>H131&amp;"-"&amp;K131&amp;TEXT(O131,"000")</f>
        <v>PAT-GAT016</v>
      </c>
    </row>
    <row r="132" spans="1:24">
      <c r="A132" s="323" t="s">
        <v>1447</v>
      </c>
      <c r="B132" s="4">
        <v>15</v>
      </c>
      <c r="C132" s="4">
        <f>B132</f>
        <v>15</v>
      </c>
      <c r="F132" s="1" t="s">
        <v>380</v>
      </c>
      <c r="G132" s="1">
        <v>3</v>
      </c>
      <c r="H132" s="1" t="s">
        <v>126</v>
      </c>
      <c r="I132" s="67" t="s">
        <v>282</v>
      </c>
      <c r="J132" s="67">
        <v>3</v>
      </c>
      <c r="K132" s="67" t="s">
        <v>127</v>
      </c>
      <c r="L132" s="67"/>
      <c r="M132" s="67" t="s">
        <v>905</v>
      </c>
      <c r="N132" s="68" t="str">
        <f>IF(B132&lt;&gt;"",TEXT(B132,"0,00 €"),"")</f>
        <v>15,00 €</v>
      </c>
      <c r="O132">
        <v>17</v>
      </c>
      <c r="P132" s="383">
        <v>0</v>
      </c>
      <c r="Q132" s="383">
        <v>1</v>
      </c>
      <c r="R132" t="str">
        <f>couleurFond(I132)</f>
        <v>D58D53</v>
      </c>
      <c r="S132" s="323" t="s">
        <v>273</v>
      </c>
      <c r="T132" t="s">
        <v>1451</v>
      </c>
      <c r="U132" s="385" t="s">
        <v>1493</v>
      </c>
      <c r="V132" s="6" t="str">
        <f>N132</f>
        <v>15,00 €</v>
      </c>
      <c r="X132" t="str">
        <f>H132&amp;"-"&amp;K132&amp;TEXT(O132,"000")</f>
        <v>PAT-GAT017</v>
      </c>
    </row>
    <row r="133" spans="1:24">
      <c r="A133" s="323" t="s">
        <v>1445</v>
      </c>
      <c r="B133" s="4">
        <v>15</v>
      </c>
      <c r="C133" s="4">
        <f>B133</f>
        <v>15</v>
      </c>
      <c r="F133" s="1" t="s">
        <v>380</v>
      </c>
      <c r="G133" s="1">
        <v>3</v>
      </c>
      <c r="H133" s="1" t="s">
        <v>126</v>
      </c>
      <c r="I133" s="67" t="s">
        <v>282</v>
      </c>
      <c r="J133" s="67">
        <v>3</v>
      </c>
      <c r="K133" s="67" t="s">
        <v>127</v>
      </c>
      <c r="L133" s="67"/>
      <c r="M133" s="67" t="s">
        <v>905</v>
      </c>
      <c r="N133" s="68" t="str">
        <f>IF(B133&lt;&gt;"",TEXT(B133,"0,00 €"),"")</f>
        <v>15,00 €</v>
      </c>
      <c r="O133">
        <v>18</v>
      </c>
      <c r="P133" s="383">
        <v>0</v>
      </c>
      <c r="Q133" s="383">
        <v>1</v>
      </c>
      <c r="R133" t="str">
        <f>couleurFond(I133)</f>
        <v>D58D53</v>
      </c>
      <c r="S133" s="323" t="s">
        <v>273</v>
      </c>
      <c r="T133" t="s">
        <v>1444</v>
      </c>
      <c r="U133" s="385" t="s">
        <v>1493</v>
      </c>
      <c r="V133" s="6" t="str">
        <f>N133</f>
        <v>15,00 €</v>
      </c>
      <c r="X133" t="str">
        <f>H133&amp;"-"&amp;K133&amp;TEXT(O133,"000")</f>
        <v>PAT-GAT018</v>
      </c>
    </row>
    <row r="134" spans="1:24">
      <c r="A134" s="323" t="s">
        <v>1395</v>
      </c>
      <c r="B134" s="4">
        <v>16</v>
      </c>
      <c r="C134" s="4">
        <f t="shared" si="38"/>
        <v>16</v>
      </c>
      <c r="F134" s="1" t="s">
        <v>380</v>
      </c>
      <c r="G134" s="1">
        <v>3</v>
      </c>
      <c r="H134" s="1" t="s">
        <v>126</v>
      </c>
      <c r="I134" s="67" t="s">
        <v>282</v>
      </c>
      <c r="J134" s="67">
        <v>3</v>
      </c>
      <c r="K134" s="67" t="s">
        <v>127</v>
      </c>
      <c r="L134" s="67"/>
      <c r="M134" s="67" t="s">
        <v>1411</v>
      </c>
      <c r="N134" s="68" t="str">
        <f t="shared" si="39"/>
        <v>16,00 €</v>
      </c>
      <c r="O134">
        <v>19</v>
      </c>
      <c r="P134" s="383">
        <v>1</v>
      </c>
      <c r="Q134" s="383">
        <v>1</v>
      </c>
      <c r="R134" t="str">
        <f t="shared" si="41"/>
        <v>D58D53</v>
      </c>
      <c r="S134" s="323" t="s">
        <v>273</v>
      </c>
      <c r="T134" t="s">
        <v>1399</v>
      </c>
      <c r="U134" t="s">
        <v>308</v>
      </c>
      <c r="V134" s="6" t="str">
        <f t="shared" si="40"/>
        <v>16,00 €</v>
      </c>
      <c r="X134" t="str">
        <f t="shared" si="42"/>
        <v>PAT-GAT019</v>
      </c>
    </row>
    <row r="135" spans="1:24">
      <c r="A135" s="323" t="s">
        <v>1397</v>
      </c>
      <c r="B135" s="4">
        <v>24</v>
      </c>
      <c r="C135" s="4">
        <f t="shared" si="38"/>
        <v>24</v>
      </c>
      <c r="F135" s="1" t="s">
        <v>380</v>
      </c>
      <c r="G135" s="1">
        <v>3</v>
      </c>
      <c r="H135" s="1" t="s">
        <v>126</v>
      </c>
      <c r="I135" s="67" t="s">
        <v>282</v>
      </c>
      <c r="J135" s="67">
        <v>3</v>
      </c>
      <c r="K135" s="67" t="s">
        <v>127</v>
      </c>
      <c r="L135" s="67"/>
      <c r="M135" s="67" t="s">
        <v>1413</v>
      </c>
      <c r="N135" s="68" t="str">
        <f t="shared" si="39"/>
        <v>24,00 €</v>
      </c>
      <c r="O135">
        <v>20</v>
      </c>
      <c r="P135" s="383">
        <v>1</v>
      </c>
      <c r="Q135" s="383">
        <v>1</v>
      </c>
      <c r="R135" t="str">
        <f t="shared" si="41"/>
        <v>D58D53</v>
      </c>
      <c r="S135" s="323" t="s">
        <v>273</v>
      </c>
      <c r="T135" t="s">
        <v>1399</v>
      </c>
      <c r="U135" t="s">
        <v>309</v>
      </c>
      <c r="V135" s="6" t="str">
        <f t="shared" si="40"/>
        <v>24,00 €</v>
      </c>
      <c r="X135" t="str">
        <f t="shared" si="42"/>
        <v>PAT-GAT020</v>
      </c>
    </row>
    <row r="136" spans="1:24">
      <c r="A136" s="323" t="s">
        <v>1396</v>
      </c>
      <c r="B136" s="4">
        <v>32</v>
      </c>
      <c r="C136" s="4">
        <f t="shared" si="38"/>
        <v>32</v>
      </c>
      <c r="F136" s="1" t="s">
        <v>380</v>
      </c>
      <c r="G136" s="1">
        <v>3</v>
      </c>
      <c r="H136" s="1" t="s">
        <v>126</v>
      </c>
      <c r="I136" s="67" t="s">
        <v>282</v>
      </c>
      <c r="J136" s="67">
        <v>3</v>
      </c>
      <c r="K136" s="67" t="s">
        <v>127</v>
      </c>
      <c r="L136" s="67"/>
      <c r="M136" s="67" t="s">
        <v>1412</v>
      </c>
      <c r="N136" s="68" t="str">
        <f t="shared" si="39"/>
        <v>32,00 €</v>
      </c>
      <c r="O136">
        <v>21</v>
      </c>
      <c r="P136" s="383">
        <v>1</v>
      </c>
      <c r="Q136" s="383">
        <v>1</v>
      </c>
      <c r="R136" t="str">
        <f t="shared" si="41"/>
        <v>D58D53</v>
      </c>
      <c r="S136" s="323" t="s">
        <v>273</v>
      </c>
      <c r="T136" t="s">
        <v>1399</v>
      </c>
      <c r="U136" t="s">
        <v>1398</v>
      </c>
      <c r="V136" s="6" t="str">
        <f t="shared" si="40"/>
        <v>32,00 €</v>
      </c>
      <c r="X136" t="str">
        <f t="shared" si="42"/>
        <v>PAT-GAT021</v>
      </c>
    </row>
    <row r="137" spans="1:24">
      <c r="A137" s="323" t="s">
        <v>1403</v>
      </c>
      <c r="B137" s="4">
        <v>16</v>
      </c>
      <c r="C137" s="4">
        <f t="shared" ref="C137:C157" si="43">B137</f>
        <v>16</v>
      </c>
      <c r="F137" s="1" t="s">
        <v>380</v>
      </c>
      <c r="G137" s="1">
        <v>3</v>
      </c>
      <c r="H137" s="1" t="s">
        <v>126</v>
      </c>
      <c r="I137" s="67" t="s">
        <v>282</v>
      </c>
      <c r="J137" s="67">
        <v>3</v>
      </c>
      <c r="K137" s="67" t="s">
        <v>127</v>
      </c>
      <c r="L137" s="67"/>
      <c r="M137" s="67" t="s">
        <v>1411</v>
      </c>
      <c r="N137" s="68" t="str">
        <f t="shared" ref="N137:N170" si="44">IF(B137&lt;&gt;"",TEXT(B137,"0,00 €"),"")</f>
        <v>16,00 €</v>
      </c>
      <c r="O137">
        <v>22</v>
      </c>
      <c r="P137" s="383">
        <v>0</v>
      </c>
      <c r="Q137" s="383">
        <v>1</v>
      </c>
      <c r="R137" t="str">
        <f t="shared" ref="R137:R154" si="45">couleurFond(I137)</f>
        <v>D58D53</v>
      </c>
      <c r="S137" s="323" t="s">
        <v>273</v>
      </c>
      <c r="T137" t="s">
        <v>1406</v>
      </c>
      <c r="U137" t="s">
        <v>308</v>
      </c>
      <c r="V137" s="6" t="str">
        <f t="shared" ref="V137:V170" si="46">N137</f>
        <v>16,00 €</v>
      </c>
      <c r="X137" t="str">
        <f t="shared" ref="X137:X170" si="47">H137&amp;"-"&amp;K137&amp;TEXT(O137,"000")</f>
        <v>PAT-GAT022</v>
      </c>
    </row>
    <row r="138" spans="1:24">
      <c r="A138" s="323" t="s">
        <v>1404</v>
      </c>
      <c r="B138" s="4">
        <v>24</v>
      </c>
      <c r="C138" s="4">
        <f t="shared" si="43"/>
        <v>24</v>
      </c>
      <c r="F138" s="1" t="s">
        <v>380</v>
      </c>
      <c r="G138" s="1">
        <v>3</v>
      </c>
      <c r="H138" s="1" t="s">
        <v>126</v>
      </c>
      <c r="I138" s="67" t="s">
        <v>282</v>
      </c>
      <c r="J138" s="67">
        <v>3</v>
      </c>
      <c r="K138" s="67" t="s">
        <v>127</v>
      </c>
      <c r="L138" s="67"/>
      <c r="M138" s="67" t="s">
        <v>1413</v>
      </c>
      <c r="N138" s="68" t="str">
        <f t="shared" si="44"/>
        <v>24,00 €</v>
      </c>
      <c r="O138">
        <v>23</v>
      </c>
      <c r="P138" s="383">
        <v>0</v>
      </c>
      <c r="Q138" s="383">
        <v>1</v>
      </c>
      <c r="R138" t="str">
        <f t="shared" si="45"/>
        <v>D58D53</v>
      </c>
      <c r="S138" s="323" t="s">
        <v>273</v>
      </c>
      <c r="T138" t="s">
        <v>1406</v>
      </c>
      <c r="U138" t="s">
        <v>309</v>
      </c>
      <c r="V138" s="6" t="str">
        <f t="shared" si="46"/>
        <v>24,00 €</v>
      </c>
      <c r="X138" t="str">
        <f t="shared" si="47"/>
        <v>PAT-GAT023</v>
      </c>
    </row>
    <row r="139" spans="1:24">
      <c r="A139" s="323" t="s">
        <v>1405</v>
      </c>
      <c r="B139" s="4">
        <v>32</v>
      </c>
      <c r="C139" s="4">
        <f t="shared" si="43"/>
        <v>32</v>
      </c>
      <c r="F139" s="1" t="s">
        <v>380</v>
      </c>
      <c r="G139" s="1">
        <v>3</v>
      </c>
      <c r="H139" s="1" t="s">
        <v>126</v>
      </c>
      <c r="I139" s="67" t="s">
        <v>282</v>
      </c>
      <c r="J139" s="67">
        <v>3</v>
      </c>
      <c r="K139" s="67" t="s">
        <v>127</v>
      </c>
      <c r="L139" s="67"/>
      <c r="M139" s="67" t="s">
        <v>1412</v>
      </c>
      <c r="N139" s="68" t="str">
        <f t="shared" si="44"/>
        <v>32,00 €</v>
      </c>
      <c r="O139">
        <v>24</v>
      </c>
      <c r="P139" s="383">
        <v>0</v>
      </c>
      <c r="Q139" s="383">
        <v>1</v>
      </c>
      <c r="R139" t="str">
        <f t="shared" si="45"/>
        <v>D58D53</v>
      </c>
      <c r="S139" s="323" t="s">
        <v>273</v>
      </c>
      <c r="T139" t="s">
        <v>1406</v>
      </c>
      <c r="U139" t="s">
        <v>1398</v>
      </c>
      <c r="V139" s="6" t="str">
        <f t="shared" si="46"/>
        <v>32,00 €</v>
      </c>
      <c r="X139" t="str">
        <f t="shared" si="47"/>
        <v>PAT-GAT024</v>
      </c>
    </row>
    <row r="140" spans="1:24">
      <c r="A140" s="323" t="s">
        <v>1407</v>
      </c>
      <c r="B140" s="4">
        <v>19</v>
      </c>
      <c r="C140" s="4">
        <f t="shared" si="43"/>
        <v>19</v>
      </c>
      <c r="F140" s="1" t="s">
        <v>380</v>
      </c>
      <c r="G140" s="1">
        <v>3</v>
      </c>
      <c r="H140" s="1" t="s">
        <v>126</v>
      </c>
      <c r="I140" s="67" t="s">
        <v>282</v>
      </c>
      <c r="J140" s="67">
        <v>3</v>
      </c>
      <c r="K140" s="67" t="s">
        <v>127</v>
      </c>
      <c r="L140" s="67"/>
      <c r="M140" s="67" t="s">
        <v>1400</v>
      </c>
      <c r="N140" s="68" t="str">
        <f t="shared" si="44"/>
        <v>19,00 €</v>
      </c>
      <c r="O140">
        <v>25</v>
      </c>
      <c r="P140" s="383">
        <v>1</v>
      </c>
      <c r="Q140" s="383">
        <v>1</v>
      </c>
      <c r="R140" t="str">
        <f t="shared" si="45"/>
        <v>D58D53</v>
      </c>
      <c r="S140" s="323" t="s">
        <v>273</v>
      </c>
      <c r="T140" t="s">
        <v>1410</v>
      </c>
      <c r="U140" t="s">
        <v>308</v>
      </c>
      <c r="V140" s="6" t="str">
        <f t="shared" si="46"/>
        <v>19,00 €</v>
      </c>
      <c r="X140" t="str">
        <f t="shared" si="47"/>
        <v>PAT-GAT025</v>
      </c>
    </row>
    <row r="141" spans="1:24">
      <c r="A141" s="323" t="s">
        <v>1409</v>
      </c>
      <c r="B141" s="4">
        <v>28</v>
      </c>
      <c r="C141" s="4">
        <f t="shared" si="43"/>
        <v>28</v>
      </c>
      <c r="F141" s="1" t="s">
        <v>380</v>
      </c>
      <c r="G141" s="1">
        <v>3</v>
      </c>
      <c r="H141" s="1" t="s">
        <v>126</v>
      </c>
      <c r="I141" s="67" t="s">
        <v>282</v>
      </c>
      <c r="J141" s="67">
        <v>3</v>
      </c>
      <c r="K141" s="67" t="s">
        <v>127</v>
      </c>
      <c r="L141" s="67"/>
      <c r="M141" s="67" t="s">
        <v>1401</v>
      </c>
      <c r="N141" s="68" t="str">
        <f t="shared" si="44"/>
        <v>28,00 €</v>
      </c>
      <c r="O141">
        <v>26</v>
      </c>
      <c r="P141" s="383">
        <v>1</v>
      </c>
      <c r="Q141" s="383">
        <v>1</v>
      </c>
      <c r="R141" t="str">
        <f t="shared" si="45"/>
        <v>D58D53</v>
      </c>
      <c r="S141" s="323" t="s">
        <v>273</v>
      </c>
      <c r="T141" t="s">
        <v>1410</v>
      </c>
      <c r="U141" t="s">
        <v>309</v>
      </c>
      <c r="V141" s="6" t="str">
        <f t="shared" si="46"/>
        <v>28,00 €</v>
      </c>
      <c r="X141" t="str">
        <f t="shared" si="47"/>
        <v>PAT-GAT026</v>
      </c>
    </row>
    <row r="142" spans="1:24">
      <c r="A142" s="323" t="s">
        <v>1408</v>
      </c>
      <c r="B142" s="4">
        <v>38</v>
      </c>
      <c r="C142" s="4">
        <f t="shared" si="43"/>
        <v>38</v>
      </c>
      <c r="F142" s="1" t="s">
        <v>380</v>
      </c>
      <c r="G142" s="1">
        <v>3</v>
      </c>
      <c r="H142" s="1" t="s">
        <v>126</v>
      </c>
      <c r="I142" s="67" t="s">
        <v>282</v>
      </c>
      <c r="J142" s="67">
        <v>3</v>
      </c>
      <c r="K142" s="67" t="s">
        <v>127</v>
      </c>
      <c r="L142" s="67"/>
      <c r="M142" s="67" t="s">
        <v>1402</v>
      </c>
      <c r="N142" s="68" t="str">
        <f t="shared" si="44"/>
        <v>38,00 €</v>
      </c>
      <c r="O142">
        <v>27</v>
      </c>
      <c r="P142" s="383">
        <v>1</v>
      </c>
      <c r="Q142" s="383">
        <v>1</v>
      </c>
      <c r="R142" t="str">
        <f t="shared" si="45"/>
        <v>D58D53</v>
      </c>
      <c r="S142" s="323" t="s">
        <v>273</v>
      </c>
      <c r="T142" t="s">
        <v>1410</v>
      </c>
      <c r="U142" t="s">
        <v>1398</v>
      </c>
      <c r="V142" s="6" t="str">
        <f t="shared" si="46"/>
        <v>38,00 €</v>
      </c>
      <c r="X142" t="str">
        <f t="shared" si="47"/>
        <v>PAT-GAT027</v>
      </c>
    </row>
    <row r="143" spans="1:24">
      <c r="A143" s="323" t="s">
        <v>1414</v>
      </c>
      <c r="B143" s="4">
        <v>19</v>
      </c>
      <c r="C143" s="4">
        <f t="shared" si="43"/>
        <v>19</v>
      </c>
      <c r="F143" s="1" t="s">
        <v>380</v>
      </c>
      <c r="G143" s="1">
        <v>3</v>
      </c>
      <c r="H143" s="1" t="s">
        <v>126</v>
      </c>
      <c r="I143" s="67" t="s">
        <v>282</v>
      </c>
      <c r="J143" s="67">
        <v>3</v>
      </c>
      <c r="K143" s="67" t="s">
        <v>127</v>
      </c>
      <c r="L143" s="67"/>
      <c r="M143" s="67" t="s">
        <v>1400</v>
      </c>
      <c r="N143" s="68" t="str">
        <f t="shared" si="44"/>
        <v>19,00 €</v>
      </c>
      <c r="O143">
        <v>28</v>
      </c>
      <c r="P143" s="383">
        <v>0</v>
      </c>
      <c r="Q143" s="383">
        <v>1</v>
      </c>
      <c r="R143" t="str">
        <f t="shared" si="45"/>
        <v>D58D53</v>
      </c>
      <c r="S143" s="323" t="s">
        <v>273</v>
      </c>
      <c r="T143" t="s">
        <v>1417</v>
      </c>
      <c r="U143" t="s">
        <v>308</v>
      </c>
      <c r="V143" s="6" t="str">
        <f t="shared" si="46"/>
        <v>19,00 €</v>
      </c>
      <c r="X143" t="str">
        <f t="shared" si="47"/>
        <v>PAT-GAT028</v>
      </c>
    </row>
    <row r="144" spans="1:24">
      <c r="A144" s="323" t="s">
        <v>1415</v>
      </c>
      <c r="B144" s="4">
        <v>28</v>
      </c>
      <c r="C144" s="4">
        <f t="shared" si="43"/>
        <v>28</v>
      </c>
      <c r="F144" s="1" t="s">
        <v>380</v>
      </c>
      <c r="G144" s="1">
        <v>3</v>
      </c>
      <c r="H144" s="1" t="s">
        <v>126</v>
      </c>
      <c r="I144" s="67" t="s">
        <v>282</v>
      </c>
      <c r="J144" s="67">
        <v>3</v>
      </c>
      <c r="K144" s="67" t="s">
        <v>127</v>
      </c>
      <c r="L144" s="67"/>
      <c r="M144" s="67" t="s">
        <v>1401</v>
      </c>
      <c r="N144" s="68" t="str">
        <f t="shared" si="44"/>
        <v>28,00 €</v>
      </c>
      <c r="O144">
        <v>29</v>
      </c>
      <c r="P144" s="383">
        <v>0</v>
      </c>
      <c r="Q144" s="383">
        <v>1</v>
      </c>
      <c r="R144" t="str">
        <f t="shared" si="45"/>
        <v>D58D53</v>
      </c>
      <c r="S144" s="323" t="s">
        <v>273</v>
      </c>
      <c r="T144" t="s">
        <v>1417</v>
      </c>
      <c r="U144" t="s">
        <v>309</v>
      </c>
      <c r="V144" s="6" t="str">
        <f t="shared" si="46"/>
        <v>28,00 €</v>
      </c>
      <c r="X144" t="str">
        <f t="shared" si="47"/>
        <v>PAT-GAT029</v>
      </c>
    </row>
    <row r="145" spans="1:24">
      <c r="A145" s="323" t="s">
        <v>1416</v>
      </c>
      <c r="B145" s="4">
        <v>38</v>
      </c>
      <c r="C145" s="4">
        <f t="shared" si="43"/>
        <v>38</v>
      </c>
      <c r="F145" s="1" t="s">
        <v>380</v>
      </c>
      <c r="G145" s="1">
        <v>3</v>
      </c>
      <c r="H145" s="1" t="s">
        <v>126</v>
      </c>
      <c r="I145" s="67" t="s">
        <v>282</v>
      </c>
      <c r="J145" s="67">
        <v>3</v>
      </c>
      <c r="K145" s="67" t="s">
        <v>127</v>
      </c>
      <c r="L145" s="67"/>
      <c r="M145" s="67" t="s">
        <v>1402</v>
      </c>
      <c r="N145" s="68" t="str">
        <f t="shared" si="44"/>
        <v>38,00 €</v>
      </c>
      <c r="O145">
        <v>30</v>
      </c>
      <c r="P145" s="383">
        <v>0</v>
      </c>
      <c r="Q145" s="383">
        <v>1</v>
      </c>
      <c r="R145" t="str">
        <f t="shared" si="45"/>
        <v>D58D53</v>
      </c>
      <c r="S145" s="323" t="s">
        <v>273</v>
      </c>
      <c r="T145" t="s">
        <v>1417</v>
      </c>
      <c r="U145" t="s">
        <v>1398</v>
      </c>
      <c r="V145" s="6" t="str">
        <f t="shared" si="46"/>
        <v>38,00 €</v>
      </c>
      <c r="X145" t="str">
        <f t="shared" si="47"/>
        <v>PAT-GAT030</v>
      </c>
    </row>
    <row r="146" spans="1:24">
      <c r="A146" s="323" t="s">
        <v>1418</v>
      </c>
      <c r="B146" s="4">
        <v>19</v>
      </c>
      <c r="C146" s="4">
        <f t="shared" si="43"/>
        <v>19</v>
      </c>
      <c r="F146" s="1" t="s">
        <v>380</v>
      </c>
      <c r="G146" s="1">
        <v>3</v>
      </c>
      <c r="H146" s="1" t="s">
        <v>126</v>
      </c>
      <c r="I146" s="67" t="s">
        <v>282</v>
      </c>
      <c r="J146" s="67">
        <v>3</v>
      </c>
      <c r="K146" s="67" t="s">
        <v>127</v>
      </c>
      <c r="L146" s="67"/>
      <c r="M146" s="67" t="s">
        <v>1400</v>
      </c>
      <c r="N146" s="68" t="str">
        <f t="shared" si="44"/>
        <v>19,00 €</v>
      </c>
      <c r="O146">
        <v>31</v>
      </c>
      <c r="P146" s="383">
        <v>0</v>
      </c>
      <c r="Q146" s="383">
        <v>1</v>
      </c>
      <c r="R146" t="str">
        <f t="shared" si="45"/>
        <v>D58D53</v>
      </c>
      <c r="S146" s="323" t="s">
        <v>273</v>
      </c>
      <c r="T146" t="s">
        <v>1421</v>
      </c>
      <c r="U146" t="s">
        <v>308</v>
      </c>
      <c r="V146" s="6" t="str">
        <f t="shared" si="46"/>
        <v>19,00 €</v>
      </c>
      <c r="X146" t="str">
        <f t="shared" si="47"/>
        <v>PAT-GAT031</v>
      </c>
    </row>
    <row r="147" spans="1:24">
      <c r="A147" s="323" t="s">
        <v>1419</v>
      </c>
      <c r="B147" s="4">
        <v>28</v>
      </c>
      <c r="C147" s="4">
        <f t="shared" si="43"/>
        <v>28</v>
      </c>
      <c r="F147" s="1" t="s">
        <v>380</v>
      </c>
      <c r="G147" s="1">
        <v>3</v>
      </c>
      <c r="H147" s="1" t="s">
        <v>126</v>
      </c>
      <c r="I147" s="67" t="s">
        <v>282</v>
      </c>
      <c r="J147" s="67">
        <v>3</v>
      </c>
      <c r="K147" s="67" t="s">
        <v>127</v>
      </c>
      <c r="L147" s="67"/>
      <c r="M147" s="67" t="s">
        <v>1401</v>
      </c>
      <c r="N147" s="68" t="str">
        <f t="shared" si="44"/>
        <v>28,00 €</v>
      </c>
      <c r="O147">
        <v>32</v>
      </c>
      <c r="P147" s="383">
        <v>0</v>
      </c>
      <c r="Q147" s="383">
        <v>1</v>
      </c>
      <c r="R147" t="str">
        <f t="shared" si="45"/>
        <v>D58D53</v>
      </c>
      <c r="S147" s="323" t="s">
        <v>273</v>
      </c>
      <c r="T147" t="s">
        <v>1421</v>
      </c>
      <c r="U147" t="s">
        <v>309</v>
      </c>
      <c r="V147" s="6" t="str">
        <f t="shared" si="46"/>
        <v>28,00 €</v>
      </c>
      <c r="X147" t="str">
        <f t="shared" si="47"/>
        <v>PAT-GAT032</v>
      </c>
    </row>
    <row r="148" spans="1:24">
      <c r="A148" s="323" t="s">
        <v>1420</v>
      </c>
      <c r="B148" s="4">
        <v>38</v>
      </c>
      <c r="C148" s="4">
        <f t="shared" si="43"/>
        <v>38</v>
      </c>
      <c r="F148" s="1" t="s">
        <v>380</v>
      </c>
      <c r="G148" s="1">
        <v>3</v>
      </c>
      <c r="H148" s="1" t="s">
        <v>126</v>
      </c>
      <c r="I148" s="67" t="s">
        <v>282</v>
      </c>
      <c r="J148" s="67">
        <v>3</v>
      </c>
      <c r="K148" s="67" t="s">
        <v>127</v>
      </c>
      <c r="L148" s="67"/>
      <c r="M148" s="67" t="s">
        <v>1402</v>
      </c>
      <c r="N148" s="68" t="str">
        <f t="shared" si="44"/>
        <v>38,00 €</v>
      </c>
      <c r="O148">
        <v>33</v>
      </c>
      <c r="P148" s="383">
        <v>0</v>
      </c>
      <c r="Q148" s="383">
        <v>1</v>
      </c>
      <c r="R148" t="str">
        <f t="shared" si="45"/>
        <v>D58D53</v>
      </c>
      <c r="S148" s="323" t="s">
        <v>273</v>
      </c>
      <c r="T148" t="s">
        <v>1421</v>
      </c>
      <c r="U148" t="s">
        <v>1398</v>
      </c>
      <c r="V148" s="6" t="str">
        <f t="shared" si="46"/>
        <v>38,00 €</v>
      </c>
      <c r="X148" t="str">
        <f t="shared" si="47"/>
        <v>PAT-GAT033</v>
      </c>
    </row>
    <row r="149" spans="1:24">
      <c r="A149" s="323" t="s">
        <v>1423</v>
      </c>
      <c r="B149" s="4">
        <v>19</v>
      </c>
      <c r="C149" s="4">
        <f t="shared" si="43"/>
        <v>19</v>
      </c>
      <c r="F149" s="1" t="s">
        <v>380</v>
      </c>
      <c r="G149" s="1">
        <v>3</v>
      </c>
      <c r="H149" s="1" t="s">
        <v>126</v>
      </c>
      <c r="I149" s="67" t="s">
        <v>282</v>
      </c>
      <c r="J149" s="67">
        <v>3</v>
      </c>
      <c r="K149" s="67" t="s">
        <v>127</v>
      </c>
      <c r="L149" s="67"/>
      <c r="M149" s="67" t="s">
        <v>1400</v>
      </c>
      <c r="N149" s="68" t="str">
        <f t="shared" si="44"/>
        <v>19,00 €</v>
      </c>
      <c r="O149">
        <v>34</v>
      </c>
      <c r="P149" s="383">
        <v>0</v>
      </c>
      <c r="Q149" s="383">
        <v>1</v>
      </c>
      <c r="R149" t="str">
        <f t="shared" si="45"/>
        <v>D58D53</v>
      </c>
      <c r="S149" s="323" t="s">
        <v>273</v>
      </c>
      <c r="T149" t="s">
        <v>1422</v>
      </c>
      <c r="U149" t="s">
        <v>308</v>
      </c>
      <c r="V149" s="6" t="str">
        <f t="shared" si="46"/>
        <v>19,00 €</v>
      </c>
      <c r="X149" t="str">
        <f t="shared" si="47"/>
        <v>PAT-GAT034</v>
      </c>
    </row>
    <row r="150" spans="1:24">
      <c r="A150" s="323" t="s">
        <v>1424</v>
      </c>
      <c r="B150" s="4">
        <v>28</v>
      </c>
      <c r="C150" s="4">
        <f t="shared" si="43"/>
        <v>28</v>
      </c>
      <c r="F150" s="1" t="s">
        <v>380</v>
      </c>
      <c r="G150" s="1">
        <v>3</v>
      </c>
      <c r="H150" s="1" t="s">
        <v>126</v>
      </c>
      <c r="I150" s="67" t="s">
        <v>282</v>
      </c>
      <c r="J150" s="67">
        <v>3</v>
      </c>
      <c r="K150" s="67" t="s">
        <v>127</v>
      </c>
      <c r="L150" s="67"/>
      <c r="M150" s="67" t="s">
        <v>1401</v>
      </c>
      <c r="N150" s="68" t="str">
        <f t="shared" si="44"/>
        <v>28,00 €</v>
      </c>
      <c r="O150">
        <v>35</v>
      </c>
      <c r="P150" s="383">
        <v>0</v>
      </c>
      <c r="Q150" s="383">
        <v>1</v>
      </c>
      <c r="R150" t="str">
        <f t="shared" si="45"/>
        <v>D58D53</v>
      </c>
      <c r="S150" s="323" t="s">
        <v>273</v>
      </c>
      <c r="T150" t="s">
        <v>1422</v>
      </c>
      <c r="U150" t="s">
        <v>309</v>
      </c>
      <c r="V150" s="6" t="str">
        <f t="shared" si="46"/>
        <v>28,00 €</v>
      </c>
      <c r="X150" t="str">
        <f t="shared" si="47"/>
        <v>PAT-GAT035</v>
      </c>
    </row>
    <row r="151" spans="1:24">
      <c r="A151" s="323" t="s">
        <v>1425</v>
      </c>
      <c r="B151" s="4">
        <v>38</v>
      </c>
      <c r="C151" s="4">
        <f t="shared" si="43"/>
        <v>38</v>
      </c>
      <c r="F151" s="1" t="s">
        <v>380</v>
      </c>
      <c r="G151" s="1">
        <v>3</v>
      </c>
      <c r="H151" s="1" t="s">
        <v>126</v>
      </c>
      <c r="I151" s="67" t="s">
        <v>282</v>
      </c>
      <c r="J151" s="67">
        <v>3</v>
      </c>
      <c r="K151" s="67" t="s">
        <v>127</v>
      </c>
      <c r="L151" s="67"/>
      <c r="M151" s="67" t="s">
        <v>1402</v>
      </c>
      <c r="N151" s="68" t="str">
        <f t="shared" si="44"/>
        <v>38,00 €</v>
      </c>
      <c r="O151">
        <v>36</v>
      </c>
      <c r="P151" s="383">
        <v>0</v>
      </c>
      <c r="Q151" s="383">
        <v>1</v>
      </c>
      <c r="R151" t="str">
        <f t="shared" si="45"/>
        <v>D58D53</v>
      </c>
      <c r="S151" s="323" t="s">
        <v>273</v>
      </c>
      <c r="T151" t="s">
        <v>1422</v>
      </c>
      <c r="U151" t="s">
        <v>1398</v>
      </c>
      <c r="V151" s="6" t="str">
        <f t="shared" si="46"/>
        <v>38,00 €</v>
      </c>
      <c r="X151" t="str">
        <f t="shared" si="47"/>
        <v>PAT-GAT036</v>
      </c>
    </row>
    <row r="152" spans="1:24">
      <c r="A152" s="323" t="s">
        <v>1426</v>
      </c>
      <c r="B152" s="4">
        <v>19</v>
      </c>
      <c r="C152" s="4">
        <f t="shared" si="43"/>
        <v>19</v>
      </c>
      <c r="F152" s="1" t="s">
        <v>380</v>
      </c>
      <c r="G152" s="1">
        <v>3</v>
      </c>
      <c r="H152" s="1" t="s">
        <v>126</v>
      </c>
      <c r="I152" s="67" t="s">
        <v>282</v>
      </c>
      <c r="J152" s="67">
        <v>3</v>
      </c>
      <c r="K152" s="67" t="s">
        <v>127</v>
      </c>
      <c r="L152" s="67"/>
      <c r="M152" s="67" t="s">
        <v>1400</v>
      </c>
      <c r="N152" s="68" t="str">
        <f t="shared" si="44"/>
        <v>19,00 €</v>
      </c>
      <c r="O152">
        <v>37</v>
      </c>
      <c r="P152" s="383">
        <v>0</v>
      </c>
      <c r="Q152" s="383">
        <v>1</v>
      </c>
      <c r="R152" t="str">
        <f t="shared" si="45"/>
        <v>D58D53</v>
      </c>
      <c r="S152" s="323" t="s">
        <v>273</v>
      </c>
      <c r="T152" t="s">
        <v>1429</v>
      </c>
      <c r="U152" s="385" t="s">
        <v>1494</v>
      </c>
      <c r="V152" s="6" t="str">
        <f t="shared" si="46"/>
        <v>19,00 €</v>
      </c>
      <c r="X152" t="str">
        <f t="shared" si="47"/>
        <v>PAT-GAT037</v>
      </c>
    </row>
    <row r="153" spans="1:24">
      <c r="A153" s="323" t="s">
        <v>1427</v>
      </c>
      <c r="B153" s="4">
        <v>28</v>
      </c>
      <c r="C153" s="4">
        <f t="shared" si="43"/>
        <v>28</v>
      </c>
      <c r="F153" s="1" t="s">
        <v>380</v>
      </c>
      <c r="G153" s="1">
        <v>3</v>
      </c>
      <c r="H153" s="1" t="s">
        <v>126</v>
      </c>
      <c r="I153" s="67" t="s">
        <v>282</v>
      </c>
      <c r="J153" s="67">
        <v>3</v>
      </c>
      <c r="K153" s="67" t="s">
        <v>127</v>
      </c>
      <c r="L153" s="67"/>
      <c r="M153" s="67" t="s">
        <v>1401</v>
      </c>
      <c r="N153" s="68" t="str">
        <f t="shared" si="44"/>
        <v>28,00 €</v>
      </c>
      <c r="O153">
        <v>38</v>
      </c>
      <c r="P153" s="383">
        <v>0</v>
      </c>
      <c r="Q153" s="383">
        <v>1</v>
      </c>
      <c r="R153" t="str">
        <f t="shared" si="45"/>
        <v>D58D53</v>
      </c>
      <c r="S153" s="323" t="s">
        <v>273</v>
      </c>
      <c r="T153" t="s">
        <v>1429</v>
      </c>
      <c r="U153" s="385" t="s">
        <v>1495</v>
      </c>
      <c r="V153" s="6" t="str">
        <f t="shared" si="46"/>
        <v>28,00 €</v>
      </c>
      <c r="X153" t="str">
        <f t="shared" si="47"/>
        <v>PAT-GAT038</v>
      </c>
    </row>
    <row r="154" spans="1:24">
      <c r="A154" s="323" t="s">
        <v>1428</v>
      </c>
      <c r="B154" s="4">
        <v>38</v>
      </c>
      <c r="C154" s="4">
        <f t="shared" si="43"/>
        <v>38</v>
      </c>
      <c r="F154" s="1" t="s">
        <v>380</v>
      </c>
      <c r="G154" s="1">
        <v>3</v>
      </c>
      <c r="H154" s="1" t="s">
        <v>126</v>
      </c>
      <c r="I154" s="67" t="s">
        <v>282</v>
      </c>
      <c r="J154" s="67">
        <v>3</v>
      </c>
      <c r="K154" s="67" t="s">
        <v>127</v>
      </c>
      <c r="L154" s="67"/>
      <c r="M154" s="67" t="s">
        <v>1402</v>
      </c>
      <c r="N154" s="68" t="str">
        <f t="shared" si="44"/>
        <v>38,00 €</v>
      </c>
      <c r="O154">
        <v>39</v>
      </c>
      <c r="P154" s="383">
        <v>0</v>
      </c>
      <c r="Q154" s="383">
        <v>1</v>
      </c>
      <c r="R154" t="str">
        <f t="shared" si="45"/>
        <v>D58D53</v>
      </c>
      <c r="S154" s="323" t="s">
        <v>273</v>
      </c>
      <c r="T154" t="s">
        <v>1429</v>
      </c>
      <c r="U154" s="386" t="s">
        <v>1496</v>
      </c>
      <c r="V154" s="6" t="str">
        <f t="shared" si="46"/>
        <v>38,00 €</v>
      </c>
      <c r="X154" t="str">
        <f t="shared" si="47"/>
        <v>PAT-GAT039</v>
      </c>
    </row>
    <row r="155" spans="1:24">
      <c r="A155" s="323" t="s">
        <v>842</v>
      </c>
      <c r="B155" s="4">
        <v>0</v>
      </c>
      <c r="C155" s="4">
        <f t="shared" si="43"/>
        <v>0</v>
      </c>
      <c r="F155" s="1" t="s">
        <v>380</v>
      </c>
      <c r="G155" s="1">
        <v>3</v>
      </c>
      <c r="H155" s="1" t="s">
        <v>126</v>
      </c>
      <c r="I155" s="303" t="s">
        <v>306</v>
      </c>
      <c r="J155" s="303">
        <v>3</v>
      </c>
      <c r="K155" s="303" t="s">
        <v>124</v>
      </c>
      <c r="L155" s="303"/>
      <c r="M155" s="303" t="str">
        <f t="shared" ref="M155:M170" si="48">A155</f>
        <v>Divers Patisserie</v>
      </c>
      <c r="N155" s="304" t="str">
        <f t="shared" si="44"/>
        <v>0,00 €</v>
      </c>
      <c r="O155">
        <v>1</v>
      </c>
      <c r="P155" s="2">
        <v>1</v>
      </c>
      <c r="Q155" s="2">
        <v>0</v>
      </c>
      <c r="R155" t="str">
        <f t="shared" si="25"/>
        <v>DBDCF2</v>
      </c>
      <c r="T155" t="str">
        <f t="shared" ref="T155:T198" si="49">A155</f>
        <v>Divers Patisserie</v>
      </c>
      <c r="V155" s="6" t="str">
        <f t="shared" si="46"/>
        <v>0,00 €</v>
      </c>
      <c r="X155" t="str">
        <f t="shared" si="47"/>
        <v>PAT-DIV001</v>
      </c>
    </row>
    <row r="156" spans="1:24">
      <c r="A156" s="323" t="s">
        <v>262</v>
      </c>
      <c r="B156" s="4">
        <v>1</v>
      </c>
      <c r="C156" s="4">
        <f t="shared" si="43"/>
        <v>1</v>
      </c>
      <c r="F156" s="5" t="s">
        <v>307</v>
      </c>
      <c r="G156" s="5">
        <v>6</v>
      </c>
      <c r="H156" s="5" t="s">
        <v>129</v>
      </c>
      <c r="I156" s="5" t="s">
        <v>307</v>
      </c>
      <c r="J156" s="5">
        <v>5</v>
      </c>
      <c r="K156" s="5" t="s">
        <v>129</v>
      </c>
      <c r="L156" s="5"/>
      <c r="M156" s="5" t="str">
        <f t="shared" si="48"/>
        <v>Cristaline</v>
      </c>
      <c r="N156" s="24" t="str">
        <f t="shared" si="44"/>
        <v>1,00 €</v>
      </c>
      <c r="O156">
        <v>1</v>
      </c>
      <c r="P156" s="2">
        <v>1</v>
      </c>
      <c r="Q156" s="2">
        <v>1</v>
      </c>
      <c r="R156" t="str">
        <f t="shared" si="25"/>
        <v>FFCC99</v>
      </c>
      <c r="S156" s="323" t="s">
        <v>273</v>
      </c>
      <c r="T156" t="str">
        <f t="shared" si="49"/>
        <v>Cristaline</v>
      </c>
      <c r="V156" s="6" t="str">
        <f t="shared" si="46"/>
        <v>1,00 €</v>
      </c>
      <c r="X156" t="str">
        <f t="shared" si="47"/>
        <v>BOI-BOI001</v>
      </c>
    </row>
    <row r="157" spans="1:24">
      <c r="A157" s="323" t="s">
        <v>261</v>
      </c>
      <c r="B157" s="4">
        <v>1.5</v>
      </c>
      <c r="C157" s="4">
        <f t="shared" si="43"/>
        <v>1.5</v>
      </c>
      <c r="F157" s="5" t="s">
        <v>307</v>
      </c>
      <c r="G157" s="5">
        <v>6</v>
      </c>
      <c r="H157" s="5" t="s">
        <v>129</v>
      </c>
      <c r="I157" s="5" t="s">
        <v>307</v>
      </c>
      <c r="J157" s="5">
        <v>5</v>
      </c>
      <c r="K157" s="5" t="s">
        <v>129</v>
      </c>
      <c r="L157" s="5"/>
      <c r="M157" s="5" t="str">
        <f t="shared" si="48"/>
        <v>Badoit</v>
      </c>
      <c r="N157" s="24" t="str">
        <f t="shared" si="44"/>
        <v>1,50 €</v>
      </c>
      <c r="O157">
        <v>2</v>
      </c>
      <c r="P157" s="2">
        <v>1</v>
      </c>
      <c r="Q157" s="2">
        <v>1</v>
      </c>
      <c r="R157" t="str">
        <f t="shared" si="25"/>
        <v>FFCC99</v>
      </c>
      <c r="S157" s="323" t="s">
        <v>273</v>
      </c>
      <c r="T157" t="str">
        <f t="shared" si="49"/>
        <v>Badoit</v>
      </c>
      <c r="V157" s="6" t="str">
        <f t="shared" si="46"/>
        <v>1,50 €</v>
      </c>
      <c r="X157" t="str">
        <f t="shared" si="47"/>
        <v>BOI-BOI002</v>
      </c>
    </row>
    <row r="158" spans="1:24">
      <c r="A158" s="323" t="s">
        <v>1273</v>
      </c>
      <c r="B158" s="4">
        <v>1.5</v>
      </c>
      <c r="C158" s="4">
        <f t="shared" ref="C158:C205" si="50">B158</f>
        <v>1.5</v>
      </c>
      <c r="F158" s="5" t="s">
        <v>307</v>
      </c>
      <c r="G158" s="5">
        <v>6</v>
      </c>
      <c r="H158" s="5" t="s">
        <v>129</v>
      </c>
      <c r="I158" s="5" t="s">
        <v>307</v>
      </c>
      <c r="J158" s="5">
        <v>5</v>
      </c>
      <c r="K158" s="5" t="s">
        <v>129</v>
      </c>
      <c r="L158" s="5"/>
      <c r="M158" s="5" t="str">
        <f t="shared" si="48"/>
        <v>Evian</v>
      </c>
      <c r="N158" s="24" t="str">
        <f t="shared" si="44"/>
        <v>1,50 €</v>
      </c>
      <c r="O158">
        <v>3</v>
      </c>
      <c r="P158" s="2">
        <v>1</v>
      </c>
      <c r="Q158" s="2">
        <v>1</v>
      </c>
      <c r="R158" t="str">
        <f t="shared" si="25"/>
        <v>FFCC99</v>
      </c>
      <c r="S158" s="323" t="s">
        <v>273</v>
      </c>
      <c r="T158" t="str">
        <f t="shared" si="49"/>
        <v>Evian</v>
      </c>
      <c r="V158" s="6" t="str">
        <f t="shared" si="46"/>
        <v>1,50 €</v>
      </c>
      <c r="W158" s="6" t="s">
        <v>566</v>
      </c>
      <c r="X158" t="str">
        <f t="shared" si="47"/>
        <v>BOI-BOI003</v>
      </c>
    </row>
    <row r="159" spans="1:24">
      <c r="A159" s="323" t="s">
        <v>258</v>
      </c>
      <c r="B159" s="4">
        <v>1.7</v>
      </c>
      <c r="C159" s="4">
        <f t="shared" si="50"/>
        <v>1.7</v>
      </c>
      <c r="F159" s="5" t="s">
        <v>307</v>
      </c>
      <c r="G159" s="5">
        <v>6</v>
      </c>
      <c r="H159" s="5" t="s">
        <v>129</v>
      </c>
      <c r="I159" s="5" t="s">
        <v>307</v>
      </c>
      <c r="J159" s="5">
        <v>5</v>
      </c>
      <c r="K159" s="5" t="s">
        <v>129</v>
      </c>
      <c r="L159" s="5"/>
      <c r="M159" s="5" t="str">
        <f t="shared" si="48"/>
        <v>Canette</v>
      </c>
      <c r="N159" s="24" t="str">
        <f t="shared" si="44"/>
        <v>1,70 €</v>
      </c>
      <c r="O159">
        <v>4</v>
      </c>
      <c r="P159" s="2">
        <v>1</v>
      </c>
      <c r="Q159" s="2">
        <v>1</v>
      </c>
      <c r="R159" t="str">
        <f t="shared" si="25"/>
        <v>FFCC99</v>
      </c>
      <c r="S159" s="323" t="s">
        <v>273</v>
      </c>
      <c r="T159" t="str">
        <f t="shared" si="49"/>
        <v>Canette</v>
      </c>
      <c r="V159" s="6" t="str">
        <f t="shared" si="46"/>
        <v>1,70 €</v>
      </c>
      <c r="X159" t="str">
        <f t="shared" si="47"/>
        <v>BOI-BOI004</v>
      </c>
    </row>
    <row r="160" spans="1:24">
      <c r="A160" s="323" t="s">
        <v>254</v>
      </c>
      <c r="B160" s="4">
        <v>1</v>
      </c>
      <c r="C160" s="4">
        <f t="shared" si="50"/>
        <v>1</v>
      </c>
      <c r="F160" s="5" t="s">
        <v>307</v>
      </c>
      <c r="G160" s="5">
        <v>6</v>
      </c>
      <c r="H160" s="5" t="s">
        <v>129</v>
      </c>
      <c r="I160" s="5" t="s">
        <v>307</v>
      </c>
      <c r="J160" s="5">
        <v>5</v>
      </c>
      <c r="K160" s="5" t="s">
        <v>129</v>
      </c>
      <c r="L160" s="5"/>
      <c r="M160" s="5" t="str">
        <f t="shared" si="48"/>
        <v>Café Expresso</v>
      </c>
      <c r="N160" s="24" t="str">
        <f t="shared" si="44"/>
        <v>1,00 €</v>
      </c>
      <c r="O160">
        <v>5</v>
      </c>
      <c r="P160" s="2">
        <v>1</v>
      </c>
      <c r="Q160" s="2">
        <v>1</v>
      </c>
      <c r="R160" t="str">
        <f t="shared" si="25"/>
        <v>FFCC99</v>
      </c>
      <c r="S160" s="323" t="s">
        <v>273</v>
      </c>
      <c r="T160" t="str">
        <f t="shared" si="49"/>
        <v>Café Expresso</v>
      </c>
      <c r="V160" s="6" t="str">
        <f t="shared" si="46"/>
        <v>1,00 €</v>
      </c>
      <c r="W160" s="6" t="s">
        <v>565</v>
      </c>
      <c r="X160" t="str">
        <f t="shared" si="47"/>
        <v>BOI-BOI005</v>
      </c>
    </row>
    <row r="161" spans="1:24">
      <c r="A161" s="323" t="s">
        <v>255</v>
      </c>
      <c r="B161" s="4">
        <v>1.2</v>
      </c>
      <c r="C161" s="4">
        <f t="shared" si="50"/>
        <v>1.2</v>
      </c>
      <c r="F161" s="5" t="s">
        <v>307</v>
      </c>
      <c r="G161" s="5">
        <v>6</v>
      </c>
      <c r="H161" s="5" t="s">
        <v>129</v>
      </c>
      <c r="I161" s="5" t="s">
        <v>307</v>
      </c>
      <c r="J161" s="5">
        <v>5</v>
      </c>
      <c r="K161" s="5" t="s">
        <v>129</v>
      </c>
      <c r="L161" s="5"/>
      <c r="M161" s="5" t="str">
        <f t="shared" si="48"/>
        <v>Café Long</v>
      </c>
      <c r="N161" s="24" t="str">
        <f t="shared" si="44"/>
        <v>1,20 €</v>
      </c>
      <c r="O161">
        <v>6</v>
      </c>
      <c r="P161" s="2">
        <v>1</v>
      </c>
      <c r="Q161" s="2">
        <v>1</v>
      </c>
      <c r="R161" t="str">
        <f t="shared" si="25"/>
        <v>FFCC99</v>
      </c>
      <c r="S161" s="323" t="s">
        <v>273</v>
      </c>
      <c r="T161" t="str">
        <f t="shared" si="49"/>
        <v>Café Long</v>
      </c>
      <c r="V161" s="6" t="str">
        <f t="shared" si="46"/>
        <v>1,20 €</v>
      </c>
      <c r="X161" t="str">
        <f t="shared" si="47"/>
        <v>BOI-BOI006</v>
      </c>
    </row>
    <row r="162" spans="1:24">
      <c r="A162" s="323" t="s">
        <v>256</v>
      </c>
      <c r="B162" s="4">
        <v>1.5</v>
      </c>
      <c r="C162" s="4">
        <f t="shared" si="50"/>
        <v>1.5</v>
      </c>
      <c r="F162" s="5" t="s">
        <v>307</v>
      </c>
      <c r="G162" s="5">
        <v>6</v>
      </c>
      <c r="H162" s="5" t="s">
        <v>129</v>
      </c>
      <c r="I162" s="5" t="s">
        <v>307</v>
      </c>
      <c r="J162" s="5">
        <v>5</v>
      </c>
      <c r="K162" s="5" t="s">
        <v>129</v>
      </c>
      <c r="L162" s="5"/>
      <c r="M162" s="5" t="str">
        <f t="shared" si="48"/>
        <v>Café au Lait</v>
      </c>
      <c r="N162" s="24" t="str">
        <f t="shared" si="44"/>
        <v>1,50 €</v>
      </c>
      <c r="O162">
        <v>7</v>
      </c>
      <c r="P162" s="2">
        <v>1</v>
      </c>
      <c r="Q162" s="2">
        <v>1</v>
      </c>
      <c r="R162" t="str">
        <f t="shared" si="25"/>
        <v>FFCC99</v>
      </c>
      <c r="S162" s="323" t="s">
        <v>273</v>
      </c>
      <c r="T162" t="str">
        <f t="shared" si="49"/>
        <v>Café au Lait</v>
      </c>
      <c r="V162" s="6" t="str">
        <f t="shared" si="46"/>
        <v>1,50 €</v>
      </c>
      <c r="X162" t="str">
        <f t="shared" si="47"/>
        <v>BOI-BOI007</v>
      </c>
    </row>
    <row r="163" spans="1:24">
      <c r="A163" s="323" t="s">
        <v>257</v>
      </c>
      <c r="B163" s="4">
        <v>1.5</v>
      </c>
      <c r="C163" s="4">
        <f t="shared" si="50"/>
        <v>1.5</v>
      </c>
      <c r="F163" s="5" t="s">
        <v>307</v>
      </c>
      <c r="G163" s="5">
        <v>6</v>
      </c>
      <c r="H163" s="5" t="s">
        <v>129</v>
      </c>
      <c r="I163" s="5" t="s">
        <v>307</v>
      </c>
      <c r="J163" s="5">
        <v>5</v>
      </c>
      <c r="K163" s="5" t="s">
        <v>129</v>
      </c>
      <c r="L163" s="5"/>
      <c r="M163" s="5" t="str">
        <f t="shared" si="48"/>
        <v>Thé</v>
      </c>
      <c r="N163" s="24" t="str">
        <f t="shared" si="44"/>
        <v>1,50 €</v>
      </c>
      <c r="O163">
        <v>8</v>
      </c>
      <c r="P163" s="2">
        <v>1</v>
      </c>
      <c r="Q163" s="2">
        <v>1</v>
      </c>
      <c r="R163" t="str">
        <f t="shared" si="25"/>
        <v>FFCC99</v>
      </c>
      <c r="S163" s="323" t="s">
        <v>273</v>
      </c>
      <c r="T163" t="str">
        <f t="shared" si="49"/>
        <v>Thé</v>
      </c>
      <c r="V163" s="6" t="str">
        <f t="shared" si="46"/>
        <v>1,50 €</v>
      </c>
      <c r="X163" t="str">
        <f t="shared" si="47"/>
        <v>BOI-BOI008</v>
      </c>
    </row>
    <row r="164" spans="1:24">
      <c r="A164" s="323" t="s">
        <v>259</v>
      </c>
      <c r="B164" s="4">
        <v>2.8</v>
      </c>
      <c r="C164" s="4">
        <f t="shared" si="50"/>
        <v>2.8</v>
      </c>
      <c r="F164" s="5" t="s">
        <v>307</v>
      </c>
      <c r="G164" s="5">
        <v>6</v>
      </c>
      <c r="H164" s="5" t="s">
        <v>129</v>
      </c>
      <c r="I164" s="5" t="s">
        <v>307</v>
      </c>
      <c r="J164" s="5">
        <v>5</v>
      </c>
      <c r="K164" s="5" t="s">
        <v>129</v>
      </c>
      <c r="L164" s="5"/>
      <c r="M164" s="5" t="str">
        <f t="shared" si="48"/>
        <v>Zenat</v>
      </c>
      <c r="N164" s="24" t="str">
        <f t="shared" si="44"/>
        <v>2,80 €</v>
      </c>
      <c r="O164">
        <v>9</v>
      </c>
      <c r="P164" s="2">
        <v>1</v>
      </c>
      <c r="Q164" s="2">
        <v>1</v>
      </c>
      <c r="R164" t="str">
        <f t="shared" si="25"/>
        <v>FFCC99</v>
      </c>
      <c r="S164" s="323" t="s">
        <v>273</v>
      </c>
      <c r="T164" t="str">
        <f t="shared" si="49"/>
        <v>Zenat</v>
      </c>
      <c r="V164" s="6" t="str">
        <f t="shared" si="46"/>
        <v>2,80 €</v>
      </c>
      <c r="X164" t="str">
        <f t="shared" si="47"/>
        <v>BOI-BOI009</v>
      </c>
    </row>
    <row r="165" spans="1:24">
      <c r="A165" s="323" t="s">
        <v>263</v>
      </c>
      <c r="B165" s="4">
        <v>4</v>
      </c>
      <c r="C165" s="4">
        <f t="shared" si="50"/>
        <v>4</v>
      </c>
      <c r="F165" s="5" t="s">
        <v>307</v>
      </c>
      <c r="G165" s="5">
        <v>6</v>
      </c>
      <c r="H165" s="5" t="s">
        <v>129</v>
      </c>
      <c r="I165" s="5" t="s">
        <v>307</v>
      </c>
      <c r="J165" s="5">
        <v>5</v>
      </c>
      <c r="K165" s="5" t="s">
        <v>129</v>
      </c>
      <c r="L165" s="5"/>
      <c r="M165" s="5" t="str">
        <f t="shared" si="48"/>
        <v>Confiture</v>
      </c>
      <c r="N165" s="24" t="str">
        <f t="shared" si="44"/>
        <v>4,00 €</v>
      </c>
      <c r="O165">
        <v>10</v>
      </c>
      <c r="P165" s="2">
        <v>1</v>
      </c>
      <c r="Q165" s="2">
        <v>1</v>
      </c>
      <c r="R165" t="str">
        <f t="shared" si="25"/>
        <v>FFCC99</v>
      </c>
      <c r="S165" s="323" t="s">
        <v>273</v>
      </c>
      <c r="T165" t="str">
        <f t="shared" si="49"/>
        <v>Confiture</v>
      </c>
      <c r="V165" s="6" t="str">
        <f t="shared" si="46"/>
        <v>4,00 €</v>
      </c>
      <c r="X165" t="str">
        <f t="shared" si="47"/>
        <v>BOI-BOI010</v>
      </c>
    </row>
    <row r="166" spans="1:24">
      <c r="A166" s="323" t="s">
        <v>260</v>
      </c>
      <c r="B166" s="4">
        <v>2.5</v>
      </c>
      <c r="C166" s="4">
        <f t="shared" si="50"/>
        <v>2.5</v>
      </c>
      <c r="F166" s="5" t="s">
        <v>307</v>
      </c>
      <c r="G166" s="5">
        <v>6</v>
      </c>
      <c r="H166" s="5" t="s">
        <v>129</v>
      </c>
      <c r="I166" s="5" t="s">
        <v>307</v>
      </c>
      <c r="J166" s="5">
        <v>5</v>
      </c>
      <c r="K166" s="5" t="s">
        <v>129</v>
      </c>
      <c r="L166" s="5"/>
      <c r="M166" s="5" t="str">
        <f t="shared" si="48"/>
        <v>Pago</v>
      </c>
      <c r="N166" s="24" t="str">
        <f t="shared" si="44"/>
        <v>2,50 €</v>
      </c>
      <c r="O166">
        <v>11</v>
      </c>
      <c r="P166" s="2">
        <v>1</v>
      </c>
      <c r="Q166" s="2">
        <v>1</v>
      </c>
      <c r="R166" t="str">
        <f t="shared" si="25"/>
        <v>FFCC99</v>
      </c>
      <c r="S166" s="323" t="s">
        <v>273</v>
      </c>
      <c r="T166" t="str">
        <f t="shared" si="49"/>
        <v>Pago</v>
      </c>
      <c r="V166" s="6" t="str">
        <f t="shared" si="46"/>
        <v>2,50 €</v>
      </c>
      <c r="X166" t="str">
        <f t="shared" si="47"/>
        <v>BOI-BOI011</v>
      </c>
    </row>
    <row r="167" spans="1:24">
      <c r="A167" s="323" t="s">
        <v>1489</v>
      </c>
      <c r="B167" s="4">
        <v>7.8</v>
      </c>
      <c r="C167" s="4">
        <f t="shared" si="50"/>
        <v>7.8</v>
      </c>
      <c r="F167" s="5" t="s">
        <v>307</v>
      </c>
      <c r="G167" s="5">
        <v>6</v>
      </c>
      <c r="H167" s="5" t="s">
        <v>129</v>
      </c>
      <c r="I167" s="5" t="s">
        <v>307</v>
      </c>
      <c r="J167" s="5">
        <v>5</v>
      </c>
      <c r="K167" s="5" t="s">
        <v>129</v>
      </c>
      <c r="L167" s="5"/>
      <c r="M167" s="5" t="str">
        <f t="shared" si="48"/>
        <v>Bouteille de Vin Rouge</v>
      </c>
      <c r="N167" s="24" t="str">
        <f t="shared" si="44"/>
        <v>7,80 €</v>
      </c>
      <c r="O167">
        <v>12</v>
      </c>
      <c r="P167" s="2">
        <v>1</v>
      </c>
      <c r="Q167" s="2">
        <v>1</v>
      </c>
      <c r="R167" t="str">
        <f t="shared" si="25"/>
        <v>FFCC99</v>
      </c>
      <c r="S167" s="323" t="s">
        <v>273</v>
      </c>
      <c r="T167" t="str">
        <f t="shared" si="49"/>
        <v>Bouteille de Vin Rouge</v>
      </c>
      <c r="V167" s="6" t="str">
        <f t="shared" si="46"/>
        <v>7,80 €</v>
      </c>
      <c r="X167" t="str">
        <f t="shared" si="47"/>
        <v>BOI-BOI012</v>
      </c>
    </row>
    <row r="168" spans="1:24">
      <c r="A168" s="323" t="s">
        <v>1490</v>
      </c>
      <c r="B168" s="4">
        <v>7.8</v>
      </c>
      <c r="C168" s="4">
        <f>B168</f>
        <v>7.8</v>
      </c>
      <c r="F168" s="5" t="s">
        <v>307</v>
      </c>
      <c r="G168" s="5">
        <v>6</v>
      </c>
      <c r="H168" s="5" t="s">
        <v>129</v>
      </c>
      <c r="I168" s="5" t="s">
        <v>307</v>
      </c>
      <c r="J168" s="5">
        <v>5</v>
      </c>
      <c r="K168" s="5" t="s">
        <v>129</v>
      </c>
      <c r="L168" s="5"/>
      <c r="M168" s="5" t="str">
        <f t="shared" si="48"/>
        <v>Bouteille de Vin Blanc</v>
      </c>
      <c r="N168" s="24" t="str">
        <f t="shared" si="44"/>
        <v>7,80 €</v>
      </c>
      <c r="O168">
        <v>12</v>
      </c>
      <c r="P168" s="384">
        <v>1</v>
      </c>
      <c r="Q168" s="384">
        <v>1</v>
      </c>
      <c r="R168" t="str">
        <f>couleurFond(I168)</f>
        <v>FFCC99</v>
      </c>
      <c r="S168" s="323" t="s">
        <v>273</v>
      </c>
      <c r="T168" t="str">
        <f>A168</f>
        <v>Bouteille de Vin Blanc</v>
      </c>
      <c r="V168" s="6" t="str">
        <f t="shared" si="46"/>
        <v>7,80 €</v>
      </c>
      <c r="X168" t="str">
        <f t="shared" si="47"/>
        <v>BOI-BOI012</v>
      </c>
    </row>
    <row r="169" spans="1:24">
      <c r="A169" s="323" t="s">
        <v>401</v>
      </c>
      <c r="B169" s="4">
        <v>38</v>
      </c>
      <c r="C169" s="4">
        <f t="shared" si="50"/>
        <v>38</v>
      </c>
      <c r="F169" s="5" t="s">
        <v>307</v>
      </c>
      <c r="G169" s="5">
        <v>6</v>
      </c>
      <c r="H169" s="5" t="s">
        <v>129</v>
      </c>
      <c r="I169" s="5" t="s">
        <v>307</v>
      </c>
      <c r="J169" s="5">
        <v>5</v>
      </c>
      <c r="K169" s="5" t="s">
        <v>129</v>
      </c>
      <c r="L169" s="5"/>
      <c r="M169" s="5" t="str">
        <f t="shared" si="48"/>
        <v>Champagne</v>
      </c>
      <c r="N169" s="24" t="str">
        <f t="shared" si="44"/>
        <v>38,00 €</v>
      </c>
      <c r="O169">
        <v>13</v>
      </c>
      <c r="P169" s="2">
        <v>1</v>
      </c>
      <c r="Q169" s="2">
        <v>1</v>
      </c>
      <c r="R169" t="str">
        <f t="shared" si="25"/>
        <v>FFCC99</v>
      </c>
      <c r="S169" s="323" t="s">
        <v>273</v>
      </c>
      <c r="T169" t="str">
        <f t="shared" si="49"/>
        <v>Champagne</v>
      </c>
      <c r="V169" s="6" t="str">
        <f t="shared" si="46"/>
        <v>38,00 €</v>
      </c>
      <c r="W169" s="6" t="s">
        <v>564</v>
      </c>
      <c r="X169" t="str">
        <f t="shared" si="47"/>
        <v>BOI-BOI013</v>
      </c>
    </row>
    <row r="170" spans="1:24">
      <c r="A170" s="323" t="s">
        <v>844</v>
      </c>
      <c r="B170" s="4">
        <v>0</v>
      </c>
      <c r="C170" s="4">
        <f t="shared" si="50"/>
        <v>0</v>
      </c>
      <c r="F170" s="5" t="s">
        <v>307</v>
      </c>
      <c r="G170" s="5">
        <v>6</v>
      </c>
      <c r="H170" s="5" t="s">
        <v>129</v>
      </c>
      <c r="I170" s="303" t="s">
        <v>306</v>
      </c>
      <c r="J170" s="303">
        <v>6</v>
      </c>
      <c r="K170" s="303" t="s">
        <v>124</v>
      </c>
      <c r="L170" s="303"/>
      <c r="M170" s="303" t="str">
        <f t="shared" si="48"/>
        <v>Divers Boisson</v>
      </c>
      <c r="N170" s="304" t="str">
        <f t="shared" si="44"/>
        <v>0,00 €</v>
      </c>
      <c r="O170">
        <v>1</v>
      </c>
      <c r="P170" s="2">
        <v>1</v>
      </c>
      <c r="Q170" s="2">
        <v>0</v>
      </c>
      <c r="R170" t="str">
        <f t="shared" si="25"/>
        <v>DBDCF2</v>
      </c>
      <c r="T170" t="str">
        <f t="shared" si="49"/>
        <v>Divers Boisson</v>
      </c>
      <c r="V170" s="6" t="str">
        <f t="shared" si="46"/>
        <v>0,00 €</v>
      </c>
      <c r="X170" t="str">
        <f t="shared" si="47"/>
        <v>BOI-DIV001</v>
      </c>
    </row>
    <row r="171" spans="1:24">
      <c r="A171" s="323" t="s">
        <v>908</v>
      </c>
      <c r="B171" s="4">
        <v>3.4</v>
      </c>
      <c r="C171" s="4">
        <f t="shared" si="50"/>
        <v>3.4</v>
      </c>
      <c r="F171" s="79" t="s">
        <v>276</v>
      </c>
      <c r="G171" s="79">
        <v>8</v>
      </c>
      <c r="H171" s="79" t="s">
        <v>132</v>
      </c>
      <c r="I171" s="21" t="s">
        <v>907</v>
      </c>
      <c r="J171" s="21">
        <v>1</v>
      </c>
      <c r="K171" s="21" t="s">
        <v>39</v>
      </c>
      <c r="L171" s="21"/>
      <c r="M171" s="21" t="s">
        <v>1242</v>
      </c>
      <c r="N171" s="23" t="str">
        <f t="shared" ref="N171:N185" si="51">IF(B171&lt;&gt;"",TEXT(B171,"0,00 €"),"")</f>
        <v>3,40 €</v>
      </c>
      <c r="O171">
        <v>1</v>
      </c>
      <c r="P171" s="377">
        <v>1</v>
      </c>
      <c r="Q171" s="377">
        <v>1</v>
      </c>
      <c r="R171" t="str">
        <f t="shared" si="25"/>
        <v>CCFFFF</v>
      </c>
      <c r="S171" s="323" t="s">
        <v>907</v>
      </c>
      <c r="T171" t="s">
        <v>1242</v>
      </c>
      <c r="U171" t="s">
        <v>1256</v>
      </c>
      <c r="V171" s="6" t="str">
        <f t="shared" ref="V171:V185" si="52">N171</f>
        <v>3,40 €</v>
      </c>
      <c r="X171" t="str">
        <f t="shared" ref="X171:X185" si="53">H171&amp;"-"&amp;K171&amp;TEXT(O171,"000")</f>
        <v>TRA-SDW001</v>
      </c>
    </row>
    <row r="172" spans="1:24">
      <c r="A172" s="323" t="s">
        <v>906</v>
      </c>
      <c r="B172" s="4">
        <v>3.1</v>
      </c>
      <c r="C172" s="4">
        <f t="shared" si="50"/>
        <v>3.1</v>
      </c>
      <c r="F172" s="79" t="s">
        <v>276</v>
      </c>
      <c r="G172" s="79">
        <v>8</v>
      </c>
      <c r="H172" s="79" t="s">
        <v>132</v>
      </c>
      <c r="I172" s="21" t="s">
        <v>907</v>
      </c>
      <c r="J172" s="21">
        <v>2</v>
      </c>
      <c r="K172" s="21" t="s">
        <v>39</v>
      </c>
      <c r="L172" s="21"/>
      <c r="M172" s="21" t="s">
        <v>1243</v>
      </c>
      <c r="N172" s="23" t="str">
        <f t="shared" si="51"/>
        <v>3,10 €</v>
      </c>
      <c r="O172">
        <v>2</v>
      </c>
      <c r="P172" s="377">
        <v>1</v>
      </c>
      <c r="Q172" s="377">
        <v>1</v>
      </c>
      <c r="R172" t="str">
        <f t="shared" si="25"/>
        <v>CCFFFF</v>
      </c>
      <c r="S172" s="323" t="s">
        <v>907</v>
      </c>
      <c r="T172" t="s">
        <v>1243</v>
      </c>
      <c r="U172" t="s">
        <v>1257</v>
      </c>
      <c r="V172" s="6" t="str">
        <f t="shared" si="52"/>
        <v>3,10 €</v>
      </c>
      <c r="X172" t="str">
        <f t="shared" si="53"/>
        <v>TRA-SDW002</v>
      </c>
    </row>
    <row r="173" spans="1:24">
      <c r="A173" s="323" t="s">
        <v>1230</v>
      </c>
      <c r="B173" s="4">
        <v>3.4</v>
      </c>
      <c r="C173" s="4">
        <f t="shared" si="50"/>
        <v>3.4</v>
      </c>
      <c r="F173" s="79" t="s">
        <v>276</v>
      </c>
      <c r="G173" s="79">
        <v>8</v>
      </c>
      <c r="H173" s="79" t="s">
        <v>132</v>
      </c>
      <c r="I173" s="21" t="s">
        <v>907</v>
      </c>
      <c r="J173" s="21">
        <v>3</v>
      </c>
      <c r="K173" s="21" t="s">
        <v>39</v>
      </c>
      <c r="L173" s="21"/>
      <c r="M173" s="21" t="s">
        <v>1244</v>
      </c>
      <c r="N173" s="23" t="str">
        <f t="shared" si="51"/>
        <v>3,40 €</v>
      </c>
      <c r="O173">
        <v>3</v>
      </c>
      <c r="P173" s="377">
        <v>1</v>
      </c>
      <c r="Q173" s="377">
        <v>1</v>
      </c>
      <c r="R173" t="str">
        <f t="shared" si="25"/>
        <v>CCFFFF</v>
      </c>
      <c r="S173" s="323" t="s">
        <v>907</v>
      </c>
      <c r="T173" t="s">
        <v>1244</v>
      </c>
      <c r="U173" t="s">
        <v>1258</v>
      </c>
      <c r="V173" s="6" t="str">
        <f t="shared" si="52"/>
        <v>3,40 €</v>
      </c>
      <c r="X173" t="str">
        <f t="shared" si="53"/>
        <v>TRA-SDW003</v>
      </c>
    </row>
    <row r="174" spans="1:24">
      <c r="A174" s="323" t="s">
        <v>1231</v>
      </c>
      <c r="B174" s="4">
        <v>3.4</v>
      </c>
      <c r="C174" s="4">
        <f t="shared" si="50"/>
        <v>3.4</v>
      </c>
      <c r="F174" s="79" t="s">
        <v>276</v>
      </c>
      <c r="G174" s="79">
        <v>8</v>
      </c>
      <c r="H174" s="79" t="s">
        <v>132</v>
      </c>
      <c r="I174" s="21" t="s">
        <v>907</v>
      </c>
      <c r="J174" s="21">
        <v>4</v>
      </c>
      <c r="K174" s="21" t="s">
        <v>39</v>
      </c>
      <c r="L174" s="21"/>
      <c r="M174" s="21" t="s">
        <v>1245</v>
      </c>
      <c r="N174" s="23" t="str">
        <f t="shared" si="51"/>
        <v>3,40 €</v>
      </c>
      <c r="O174">
        <v>4</v>
      </c>
      <c r="P174" s="377">
        <v>1</v>
      </c>
      <c r="Q174" s="377">
        <v>1</v>
      </c>
      <c r="R174" t="str">
        <f t="shared" si="25"/>
        <v>CCFFFF</v>
      </c>
      <c r="S174" s="323" t="s">
        <v>907</v>
      </c>
      <c r="T174" t="s">
        <v>1245</v>
      </c>
      <c r="U174" t="s">
        <v>1259</v>
      </c>
      <c r="V174" s="6" t="str">
        <f t="shared" si="52"/>
        <v>3,40 €</v>
      </c>
      <c r="X174" t="str">
        <f t="shared" si="53"/>
        <v>TRA-SDW004</v>
      </c>
    </row>
    <row r="175" spans="1:24">
      <c r="A175" s="323" t="s">
        <v>1452</v>
      </c>
      <c r="B175" s="4">
        <v>3.4</v>
      </c>
      <c r="C175" s="4">
        <f>B175</f>
        <v>3.4</v>
      </c>
      <c r="F175" s="79" t="s">
        <v>276</v>
      </c>
      <c r="G175" s="79">
        <v>8</v>
      </c>
      <c r="H175" s="79" t="s">
        <v>132</v>
      </c>
      <c r="I175" s="21" t="s">
        <v>907</v>
      </c>
      <c r="J175" s="21">
        <v>4</v>
      </c>
      <c r="K175" s="21" t="s">
        <v>39</v>
      </c>
      <c r="L175" s="21"/>
      <c r="M175" s="21" t="s">
        <v>1453</v>
      </c>
      <c r="N175" s="23" t="str">
        <f>IF(B175&lt;&gt;"",TEXT(B175,"0,00 €"),"")</f>
        <v>3,40 €</v>
      </c>
      <c r="O175">
        <v>5</v>
      </c>
      <c r="P175" s="383">
        <v>1</v>
      </c>
      <c r="Q175" s="383">
        <v>1</v>
      </c>
      <c r="R175" t="str">
        <f>couleurFond(I175)</f>
        <v>CCFFFF</v>
      </c>
      <c r="S175" s="323" t="s">
        <v>907</v>
      </c>
      <c r="T175" t="s">
        <v>1453</v>
      </c>
      <c r="U175" t="s">
        <v>1454</v>
      </c>
      <c r="V175" s="6" t="str">
        <f>N175</f>
        <v>3,40 €</v>
      </c>
      <c r="X175" t="str">
        <f>H175&amp;"-"&amp;K175&amp;TEXT(O175,"000")</f>
        <v>TRA-SDW005</v>
      </c>
    </row>
    <row r="176" spans="1:24">
      <c r="A176" s="323" t="s">
        <v>1232</v>
      </c>
      <c r="B176" s="4">
        <v>3.4</v>
      </c>
      <c r="C176" s="4">
        <f t="shared" si="50"/>
        <v>3.4</v>
      </c>
      <c r="F176" s="79" t="s">
        <v>276</v>
      </c>
      <c r="G176" s="79">
        <v>8</v>
      </c>
      <c r="H176" s="79" t="s">
        <v>132</v>
      </c>
      <c r="I176" s="21" t="s">
        <v>907</v>
      </c>
      <c r="J176" s="21">
        <v>5</v>
      </c>
      <c r="K176" s="21" t="s">
        <v>39</v>
      </c>
      <c r="L176" s="21"/>
      <c r="M176" s="21" t="s">
        <v>1246</v>
      </c>
      <c r="N176" s="23" t="str">
        <f t="shared" si="51"/>
        <v>3,40 €</v>
      </c>
      <c r="O176">
        <v>6</v>
      </c>
      <c r="P176" s="377">
        <v>1</v>
      </c>
      <c r="Q176" s="377">
        <v>1</v>
      </c>
      <c r="R176" t="str">
        <f t="shared" si="25"/>
        <v>CCFFFF</v>
      </c>
      <c r="S176" s="323" t="s">
        <v>907</v>
      </c>
      <c r="T176" t="s">
        <v>1246</v>
      </c>
      <c r="U176" t="s">
        <v>1260</v>
      </c>
      <c r="V176" s="6" t="str">
        <f t="shared" si="52"/>
        <v>3,40 €</v>
      </c>
      <c r="X176" t="str">
        <f t="shared" si="53"/>
        <v>TRA-SDW006</v>
      </c>
    </row>
    <row r="177" spans="1:25">
      <c r="A177" s="323" t="s">
        <v>1233</v>
      </c>
      <c r="B177" s="4">
        <v>5</v>
      </c>
      <c r="C177" s="4">
        <f t="shared" si="50"/>
        <v>5</v>
      </c>
      <c r="F177" s="79" t="s">
        <v>276</v>
      </c>
      <c r="G177" s="79">
        <v>8</v>
      </c>
      <c r="H177" s="79" t="s">
        <v>132</v>
      </c>
      <c r="I177" s="21" t="s">
        <v>907</v>
      </c>
      <c r="J177" s="21">
        <v>6</v>
      </c>
      <c r="K177" s="21" t="s">
        <v>39</v>
      </c>
      <c r="L177" s="21"/>
      <c r="M177" s="21" t="s">
        <v>1247</v>
      </c>
      <c r="N177" s="23" t="str">
        <f t="shared" si="51"/>
        <v>5,00 €</v>
      </c>
      <c r="O177">
        <v>7</v>
      </c>
      <c r="P177" s="377">
        <v>1</v>
      </c>
      <c r="Q177" s="377">
        <v>1</v>
      </c>
      <c r="R177" t="str">
        <f t="shared" si="25"/>
        <v>CCFFFF</v>
      </c>
      <c r="S177" s="323" t="s">
        <v>907</v>
      </c>
      <c r="T177" t="s">
        <v>1247</v>
      </c>
      <c r="U177" t="s">
        <v>1261</v>
      </c>
      <c r="V177" s="6" t="str">
        <f t="shared" si="52"/>
        <v>5,00 €</v>
      </c>
      <c r="X177" t="str">
        <f t="shared" si="53"/>
        <v>TRA-SDW007</v>
      </c>
    </row>
    <row r="178" spans="1:25">
      <c r="A178" s="323" t="s">
        <v>1234</v>
      </c>
      <c r="B178" s="4">
        <v>5</v>
      </c>
      <c r="C178" s="4">
        <f t="shared" si="50"/>
        <v>5</v>
      </c>
      <c r="F178" s="79" t="s">
        <v>276</v>
      </c>
      <c r="G178" s="79">
        <v>8</v>
      </c>
      <c r="H178" s="79" t="s">
        <v>132</v>
      </c>
      <c r="I178" s="21" t="s">
        <v>907</v>
      </c>
      <c r="J178" s="21">
        <v>7</v>
      </c>
      <c r="K178" s="21" t="s">
        <v>39</v>
      </c>
      <c r="L178" s="21"/>
      <c r="M178" s="21" t="s">
        <v>1248</v>
      </c>
      <c r="N178" s="23" t="str">
        <f t="shared" si="51"/>
        <v>5,00 €</v>
      </c>
      <c r="O178">
        <v>8</v>
      </c>
      <c r="P178" s="377">
        <v>1</v>
      </c>
      <c r="Q178" s="377">
        <v>1</v>
      </c>
      <c r="R178" t="str">
        <f t="shared" si="25"/>
        <v>CCFFFF</v>
      </c>
      <c r="S178" s="323" t="s">
        <v>907</v>
      </c>
      <c r="T178" t="s">
        <v>1248</v>
      </c>
      <c r="U178" t="s">
        <v>1262</v>
      </c>
      <c r="V178" s="6" t="str">
        <f t="shared" si="52"/>
        <v>5,00 €</v>
      </c>
      <c r="X178" t="str">
        <f t="shared" si="53"/>
        <v>TRA-SDW008</v>
      </c>
    </row>
    <row r="179" spans="1:25">
      <c r="A179" s="323" t="s">
        <v>1235</v>
      </c>
      <c r="B179" s="4">
        <v>5</v>
      </c>
      <c r="C179" s="4">
        <f t="shared" si="50"/>
        <v>5</v>
      </c>
      <c r="F179" s="79" t="s">
        <v>276</v>
      </c>
      <c r="G179" s="79">
        <v>8</v>
      </c>
      <c r="H179" s="79" t="s">
        <v>132</v>
      </c>
      <c r="I179" s="21" t="s">
        <v>907</v>
      </c>
      <c r="J179" s="21">
        <v>8</v>
      </c>
      <c r="K179" s="21" t="s">
        <v>39</v>
      </c>
      <c r="L179" s="21"/>
      <c r="M179" s="21" t="s">
        <v>1249</v>
      </c>
      <c r="N179" s="23" t="str">
        <f t="shared" si="51"/>
        <v>5,00 €</v>
      </c>
      <c r="O179">
        <v>9</v>
      </c>
      <c r="P179" s="377">
        <v>1</v>
      </c>
      <c r="Q179" s="377">
        <v>1</v>
      </c>
      <c r="R179" t="str">
        <f t="shared" si="25"/>
        <v>CCFFFF</v>
      </c>
      <c r="S179" s="323" t="s">
        <v>907</v>
      </c>
      <c r="T179" t="s">
        <v>1249</v>
      </c>
      <c r="U179" t="s">
        <v>1263</v>
      </c>
      <c r="V179" s="6" t="str">
        <f t="shared" si="52"/>
        <v>5,00 €</v>
      </c>
      <c r="X179" t="str">
        <f t="shared" si="53"/>
        <v>TRA-SDW009</v>
      </c>
    </row>
    <row r="180" spans="1:25">
      <c r="A180" s="323" t="s">
        <v>1236</v>
      </c>
      <c r="B180" s="4">
        <v>5</v>
      </c>
      <c r="C180" s="4">
        <f t="shared" si="50"/>
        <v>5</v>
      </c>
      <c r="F180" s="79" t="s">
        <v>276</v>
      </c>
      <c r="G180" s="79">
        <v>8</v>
      </c>
      <c r="H180" s="79" t="s">
        <v>132</v>
      </c>
      <c r="I180" s="21" t="s">
        <v>907</v>
      </c>
      <c r="J180" s="21">
        <v>9</v>
      </c>
      <c r="K180" s="21" t="s">
        <v>39</v>
      </c>
      <c r="L180" s="21"/>
      <c r="M180" s="21" t="s">
        <v>1250</v>
      </c>
      <c r="N180" s="23" t="str">
        <f t="shared" si="51"/>
        <v>5,00 €</v>
      </c>
      <c r="O180">
        <v>10</v>
      </c>
      <c r="P180" s="377">
        <v>1</v>
      </c>
      <c r="Q180" s="377">
        <v>1</v>
      </c>
      <c r="R180" t="str">
        <f t="shared" si="25"/>
        <v>CCFFFF</v>
      </c>
      <c r="S180" s="323" t="s">
        <v>907</v>
      </c>
      <c r="T180" t="s">
        <v>1250</v>
      </c>
      <c r="U180" t="s">
        <v>1264</v>
      </c>
      <c r="V180" s="6" t="str">
        <f t="shared" si="52"/>
        <v>5,00 €</v>
      </c>
      <c r="X180" t="str">
        <f t="shared" si="53"/>
        <v>TRA-SDW010</v>
      </c>
    </row>
    <row r="181" spans="1:25">
      <c r="A181" s="323" t="s">
        <v>1237</v>
      </c>
      <c r="B181" s="4">
        <v>4.5</v>
      </c>
      <c r="C181" s="4">
        <f t="shared" si="50"/>
        <v>4.5</v>
      </c>
      <c r="F181" s="79" t="s">
        <v>276</v>
      </c>
      <c r="G181" s="79">
        <v>8</v>
      </c>
      <c r="H181" s="79" t="s">
        <v>132</v>
      </c>
      <c r="I181" s="21" t="s">
        <v>907</v>
      </c>
      <c r="J181" s="21">
        <v>10</v>
      </c>
      <c r="K181" s="21" t="s">
        <v>39</v>
      </c>
      <c r="L181" s="21"/>
      <c r="M181" s="21" t="s">
        <v>1251</v>
      </c>
      <c r="N181" s="23" t="str">
        <f t="shared" si="51"/>
        <v>4,50 €</v>
      </c>
      <c r="O181">
        <v>11</v>
      </c>
      <c r="P181" s="377">
        <v>1</v>
      </c>
      <c r="Q181" s="377">
        <v>1</v>
      </c>
      <c r="R181" t="str">
        <f t="shared" si="25"/>
        <v>CCFFFF</v>
      </c>
      <c r="S181" s="323" t="s">
        <v>907</v>
      </c>
      <c r="T181" t="s">
        <v>1251</v>
      </c>
      <c r="U181" t="s">
        <v>1265</v>
      </c>
      <c r="V181" s="6" t="str">
        <f t="shared" si="52"/>
        <v>4,50 €</v>
      </c>
      <c r="X181" t="str">
        <f t="shared" si="53"/>
        <v>TRA-SDW011</v>
      </c>
    </row>
    <row r="182" spans="1:25">
      <c r="A182" s="323" t="s">
        <v>1238</v>
      </c>
      <c r="B182" s="4">
        <v>4.5</v>
      </c>
      <c r="C182" s="4">
        <f t="shared" si="50"/>
        <v>4.5</v>
      </c>
      <c r="F182" s="79" t="s">
        <v>276</v>
      </c>
      <c r="G182" s="79">
        <v>8</v>
      </c>
      <c r="H182" s="79" t="s">
        <v>132</v>
      </c>
      <c r="I182" s="21" t="s">
        <v>907</v>
      </c>
      <c r="J182" s="21">
        <v>11</v>
      </c>
      <c r="K182" s="21" t="s">
        <v>39</v>
      </c>
      <c r="L182" s="21"/>
      <c r="M182" s="21" t="s">
        <v>1252</v>
      </c>
      <c r="N182" s="23" t="str">
        <f t="shared" si="51"/>
        <v>4,50 €</v>
      </c>
      <c r="O182">
        <v>12</v>
      </c>
      <c r="P182" s="377">
        <v>1</v>
      </c>
      <c r="Q182" s="377">
        <v>1</v>
      </c>
      <c r="R182" t="str">
        <f t="shared" si="25"/>
        <v>CCFFFF</v>
      </c>
      <c r="S182" s="323" t="s">
        <v>907</v>
      </c>
      <c r="T182" t="s">
        <v>1252</v>
      </c>
      <c r="U182" t="s">
        <v>1266</v>
      </c>
      <c r="V182" s="6" t="str">
        <f t="shared" si="52"/>
        <v>4,50 €</v>
      </c>
      <c r="X182" t="str">
        <f t="shared" si="53"/>
        <v>TRA-SDW012</v>
      </c>
    </row>
    <row r="183" spans="1:25">
      <c r="A183" s="323" t="s">
        <v>1239</v>
      </c>
      <c r="B183" s="4">
        <v>4.5</v>
      </c>
      <c r="C183" s="4">
        <f t="shared" si="50"/>
        <v>4.5</v>
      </c>
      <c r="F183" s="79" t="s">
        <v>276</v>
      </c>
      <c r="G183" s="79">
        <v>8</v>
      </c>
      <c r="H183" s="79" t="s">
        <v>132</v>
      </c>
      <c r="I183" s="21" t="s">
        <v>907</v>
      </c>
      <c r="J183" s="21">
        <v>12</v>
      </c>
      <c r="K183" s="21" t="s">
        <v>39</v>
      </c>
      <c r="L183" s="21"/>
      <c r="M183" s="21" t="s">
        <v>1253</v>
      </c>
      <c r="N183" s="23" t="str">
        <f t="shared" si="51"/>
        <v>4,50 €</v>
      </c>
      <c r="O183">
        <v>13</v>
      </c>
      <c r="P183" s="377">
        <v>1</v>
      </c>
      <c r="Q183" s="377">
        <v>1</v>
      </c>
      <c r="R183" t="str">
        <f t="shared" ref="R183:R233" si="54">couleurFond(I183)</f>
        <v>CCFFFF</v>
      </c>
      <c r="S183" s="323" t="s">
        <v>907</v>
      </c>
      <c r="T183" t="s">
        <v>1253</v>
      </c>
      <c r="U183" t="s">
        <v>1267</v>
      </c>
      <c r="V183" s="6" t="str">
        <f t="shared" si="52"/>
        <v>4,50 €</v>
      </c>
      <c r="X183" t="str">
        <f t="shared" si="53"/>
        <v>TRA-SDW013</v>
      </c>
    </row>
    <row r="184" spans="1:25">
      <c r="A184" s="323" t="s">
        <v>1240</v>
      </c>
      <c r="B184" s="4">
        <v>4.5</v>
      </c>
      <c r="C184" s="4">
        <f t="shared" si="50"/>
        <v>4.5</v>
      </c>
      <c r="F184" s="79" t="s">
        <v>276</v>
      </c>
      <c r="G184" s="79">
        <v>8</v>
      </c>
      <c r="H184" s="79" t="s">
        <v>132</v>
      </c>
      <c r="I184" s="21" t="s">
        <v>907</v>
      </c>
      <c r="J184" s="21">
        <v>13</v>
      </c>
      <c r="K184" s="21" t="s">
        <v>39</v>
      </c>
      <c r="L184" s="21"/>
      <c r="M184" s="21" t="s">
        <v>1254</v>
      </c>
      <c r="N184" s="23" t="str">
        <f t="shared" si="51"/>
        <v>4,50 €</v>
      </c>
      <c r="O184">
        <v>14</v>
      </c>
      <c r="P184" s="377">
        <v>1</v>
      </c>
      <c r="Q184" s="377">
        <v>1</v>
      </c>
      <c r="R184" t="str">
        <f t="shared" si="54"/>
        <v>CCFFFF</v>
      </c>
      <c r="S184" s="323" t="s">
        <v>907</v>
      </c>
      <c r="T184" t="s">
        <v>1254</v>
      </c>
      <c r="U184" t="s">
        <v>1268</v>
      </c>
      <c r="V184" s="6" t="str">
        <f t="shared" si="52"/>
        <v>4,50 €</v>
      </c>
      <c r="X184" t="str">
        <f t="shared" si="53"/>
        <v>TRA-SDW014</v>
      </c>
    </row>
    <row r="185" spans="1:25">
      <c r="A185" s="323" t="s">
        <v>1241</v>
      </c>
      <c r="B185" s="4">
        <v>4.5</v>
      </c>
      <c r="C185" s="4">
        <f t="shared" si="50"/>
        <v>4.5</v>
      </c>
      <c r="F185" s="79" t="s">
        <v>276</v>
      </c>
      <c r="G185" s="79">
        <v>8</v>
      </c>
      <c r="H185" s="79" t="s">
        <v>132</v>
      </c>
      <c r="I185" s="21" t="s">
        <v>907</v>
      </c>
      <c r="J185" s="21">
        <v>14</v>
      </c>
      <c r="K185" s="21" t="s">
        <v>39</v>
      </c>
      <c r="L185" s="21"/>
      <c r="M185" s="21" t="s">
        <v>1255</v>
      </c>
      <c r="N185" s="23" t="str">
        <f t="shared" si="51"/>
        <v>4,50 €</v>
      </c>
      <c r="O185">
        <v>15</v>
      </c>
      <c r="P185" s="377">
        <v>1</v>
      </c>
      <c r="Q185" s="377">
        <v>1</v>
      </c>
      <c r="R185" t="str">
        <f t="shared" si="54"/>
        <v>CCFFFF</v>
      </c>
      <c r="S185" s="323" t="s">
        <v>907</v>
      </c>
      <c r="T185" t="s">
        <v>1255</v>
      </c>
      <c r="U185" t="s">
        <v>1269</v>
      </c>
      <c r="V185" s="6" t="str">
        <f t="shared" si="52"/>
        <v>4,50 €</v>
      </c>
      <c r="X185" t="str">
        <f t="shared" si="53"/>
        <v>TRA-SDW015</v>
      </c>
    </row>
    <row r="186" spans="1:25">
      <c r="A186" s="323" t="s">
        <v>200</v>
      </c>
      <c r="B186" s="4">
        <v>4.8</v>
      </c>
      <c r="C186" s="4">
        <f t="shared" si="50"/>
        <v>4.8</v>
      </c>
      <c r="F186" s="79" t="s">
        <v>276</v>
      </c>
      <c r="G186" s="79">
        <v>8</v>
      </c>
      <c r="H186" s="79" t="s">
        <v>132</v>
      </c>
      <c r="I186" s="21" t="s">
        <v>907</v>
      </c>
      <c r="J186" s="21">
        <v>15</v>
      </c>
      <c r="K186" s="21" t="s">
        <v>39</v>
      </c>
      <c r="L186" s="21"/>
      <c r="M186" s="21" t="s">
        <v>200</v>
      </c>
      <c r="N186" s="23" t="str">
        <f>IF(B186&lt;&gt;"",TEXT(B186,"0,00 €"),"")</f>
        <v>4,80 €</v>
      </c>
      <c r="O186">
        <v>16</v>
      </c>
      <c r="P186" s="2">
        <v>1</v>
      </c>
      <c r="Q186" s="2">
        <v>1</v>
      </c>
      <c r="R186" t="str">
        <f t="shared" si="54"/>
        <v>CCFFFF</v>
      </c>
      <c r="S186" s="323" t="s">
        <v>907</v>
      </c>
      <c r="T186" t="str">
        <f t="shared" si="49"/>
        <v>Bagnat Poulet, Thon ou Jambon</v>
      </c>
      <c r="V186" s="6" t="str">
        <f>N186</f>
        <v>4,80 €</v>
      </c>
      <c r="W186" s="6" t="s">
        <v>572</v>
      </c>
      <c r="X186" t="str">
        <f t="shared" ref="X186:X191" si="55">H186&amp;"-"&amp;K186&amp;TEXT(O186,"000")</f>
        <v>TRA-SDW016</v>
      </c>
    </row>
    <row r="187" spans="1:25">
      <c r="A187" s="323" t="s">
        <v>1274</v>
      </c>
      <c r="B187" s="4">
        <v>3.1</v>
      </c>
      <c r="C187" s="4">
        <f>B187</f>
        <v>3.1</v>
      </c>
      <c r="F187" s="79" t="s">
        <v>276</v>
      </c>
      <c r="G187" s="79">
        <v>8</v>
      </c>
      <c r="H187" s="79" t="s">
        <v>132</v>
      </c>
      <c r="I187" s="21" t="s">
        <v>907</v>
      </c>
      <c r="J187" s="21">
        <v>15</v>
      </c>
      <c r="K187" s="21" t="s">
        <v>39</v>
      </c>
      <c r="L187" s="21"/>
      <c r="M187" s="21" t="str">
        <f>A187</f>
        <v>Soupe</v>
      </c>
      <c r="N187" s="23" t="str">
        <f>IF(B187&lt;&gt;"",TEXT(B187,"0,00 €"),"")</f>
        <v>3,10 €</v>
      </c>
      <c r="O187">
        <v>17</v>
      </c>
      <c r="P187" s="379">
        <v>1</v>
      </c>
      <c r="Q187" s="379">
        <v>1</v>
      </c>
      <c r="R187" t="str">
        <f>couleurFond(I187)</f>
        <v>CCFFFF</v>
      </c>
      <c r="S187" s="323" t="s">
        <v>907</v>
      </c>
      <c r="T187" t="str">
        <f>A187</f>
        <v>Soupe</v>
      </c>
      <c r="V187" s="6" t="str">
        <f>N187</f>
        <v>3,10 €</v>
      </c>
      <c r="X187" t="str">
        <f t="shared" si="55"/>
        <v>TRA-SDW017</v>
      </c>
    </row>
    <row r="188" spans="1:25">
      <c r="A188" s="323" t="s">
        <v>393</v>
      </c>
      <c r="B188" s="4">
        <v>3</v>
      </c>
      <c r="C188" s="4">
        <f t="shared" si="50"/>
        <v>3</v>
      </c>
      <c r="F188" s="79" t="s">
        <v>276</v>
      </c>
      <c r="G188" s="79">
        <v>8</v>
      </c>
      <c r="H188" s="79" t="s">
        <v>132</v>
      </c>
      <c r="I188" s="30" t="s">
        <v>191</v>
      </c>
      <c r="J188" s="30">
        <v>2</v>
      </c>
      <c r="K188" s="30" t="s">
        <v>128</v>
      </c>
      <c r="L188" s="30"/>
      <c r="M188" s="30" t="str">
        <f t="shared" ref="M188:M206" si="56">A188</f>
        <v>Pâté en Croûte</v>
      </c>
      <c r="N188" s="31" t="str">
        <f>IF(B188&lt;&gt;"",TEXT(B188,"0,00 €"),"")</f>
        <v>3,00 €</v>
      </c>
      <c r="O188">
        <v>1</v>
      </c>
      <c r="P188" s="2">
        <v>1</v>
      </c>
      <c r="Q188" s="2">
        <v>1</v>
      </c>
      <c r="R188" t="str">
        <f t="shared" si="54"/>
        <v>99FFFF</v>
      </c>
      <c r="S188" s="323" t="s">
        <v>273</v>
      </c>
      <c r="T188" t="str">
        <f t="shared" si="49"/>
        <v>Pâté en Croûte</v>
      </c>
      <c r="U188" t="s">
        <v>281</v>
      </c>
      <c r="V188" s="6" t="str">
        <f>N188</f>
        <v>3,00 €</v>
      </c>
      <c r="X188" t="str">
        <f t="shared" si="55"/>
        <v>TRA-PLA001</v>
      </c>
    </row>
    <row r="189" spans="1:25">
      <c r="A189" s="323" t="s">
        <v>194</v>
      </c>
      <c r="B189" s="4">
        <v>3.2</v>
      </c>
      <c r="C189" s="4">
        <f t="shared" si="50"/>
        <v>3.2</v>
      </c>
      <c r="F189" s="79" t="s">
        <v>276</v>
      </c>
      <c r="G189" s="79">
        <v>8</v>
      </c>
      <c r="H189" s="79" t="s">
        <v>132</v>
      </c>
      <c r="I189" s="30" t="s">
        <v>191</v>
      </c>
      <c r="J189" s="30">
        <v>2</v>
      </c>
      <c r="K189" s="30" t="s">
        <v>128</v>
      </c>
      <c r="L189" s="30"/>
      <c r="M189" s="30" t="str">
        <f t="shared" si="56"/>
        <v>Croissant au Jambon</v>
      </c>
      <c r="N189" s="31" t="str">
        <f t="shared" ref="N189:N224" si="57">IF(B189&lt;&gt;"",TEXT(B189,"0,00 €"),"")</f>
        <v>3,20 €</v>
      </c>
      <c r="O189">
        <v>2</v>
      </c>
      <c r="P189" s="2">
        <v>1</v>
      </c>
      <c r="Q189" s="2">
        <v>1</v>
      </c>
      <c r="R189" t="str">
        <f t="shared" si="54"/>
        <v>99FFFF</v>
      </c>
      <c r="S189" s="323" t="s">
        <v>273</v>
      </c>
      <c r="T189" t="str">
        <f t="shared" si="49"/>
        <v>Croissant au Jambon</v>
      </c>
      <c r="V189" s="6" t="str">
        <f t="shared" ref="V189:V224" si="58">N189</f>
        <v>3,20 €</v>
      </c>
      <c r="W189" s="6" t="s">
        <v>571</v>
      </c>
      <c r="X189" t="str">
        <f t="shared" si="55"/>
        <v>TRA-PLA002</v>
      </c>
    </row>
    <row r="190" spans="1:25" s="54" customFormat="1">
      <c r="A190" s="323" t="s">
        <v>195</v>
      </c>
      <c r="B190" s="4">
        <v>3.5</v>
      </c>
      <c r="C190" s="4">
        <f t="shared" si="50"/>
        <v>3.5</v>
      </c>
      <c r="D190"/>
      <c r="E190" s="4"/>
      <c r="F190" s="79" t="s">
        <v>276</v>
      </c>
      <c r="G190" s="79">
        <v>8</v>
      </c>
      <c r="H190" s="79" t="s">
        <v>132</v>
      </c>
      <c r="I190" s="30" t="s">
        <v>191</v>
      </c>
      <c r="J190" s="30">
        <v>2</v>
      </c>
      <c r="K190" s="30" t="s">
        <v>128</v>
      </c>
      <c r="L190" s="30"/>
      <c r="M190" s="30" t="str">
        <f t="shared" si="56"/>
        <v>Croque Monsieur</v>
      </c>
      <c r="N190" s="31" t="str">
        <f t="shared" si="57"/>
        <v>3,50 €</v>
      </c>
      <c r="O190">
        <v>3</v>
      </c>
      <c r="P190" s="302">
        <v>1</v>
      </c>
      <c r="Q190" s="302">
        <v>1</v>
      </c>
      <c r="R190" t="str">
        <f t="shared" si="54"/>
        <v>99FFFF</v>
      </c>
      <c r="S190" s="323" t="s">
        <v>273</v>
      </c>
      <c r="T190" t="str">
        <f t="shared" si="49"/>
        <v>Croque Monsieur</v>
      </c>
      <c r="U190"/>
      <c r="V190" s="6" t="str">
        <f t="shared" si="58"/>
        <v>3,50 €</v>
      </c>
      <c r="W190" s="6"/>
      <c r="X190" t="str">
        <f t="shared" si="55"/>
        <v>TRA-PLA003</v>
      </c>
      <c r="Y190"/>
    </row>
    <row r="191" spans="1:25">
      <c r="A191" s="323" t="s">
        <v>192</v>
      </c>
      <c r="B191" s="4">
        <v>4.7</v>
      </c>
      <c r="C191" s="4">
        <f t="shared" si="50"/>
        <v>4.7</v>
      </c>
      <c r="F191" s="79" t="s">
        <v>276</v>
      </c>
      <c r="G191" s="79">
        <v>8</v>
      </c>
      <c r="H191" s="79" t="s">
        <v>132</v>
      </c>
      <c r="I191" s="30" t="s">
        <v>191</v>
      </c>
      <c r="J191" s="30">
        <v>2</v>
      </c>
      <c r="K191" s="30" t="s">
        <v>128</v>
      </c>
      <c r="L191" s="30"/>
      <c r="M191" s="30" t="str">
        <f t="shared" si="56"/>
        <v>Panini</v>
      </c>
      <c r="N191" s="31" t="str">
        <f t="shared" si="57"/>
        <v>4,70 €</v>
      </c>
      <c r="O191">
        <v>4</v>
      </c>
      <c r="P191" s="2">
        <v>1</v>
      </c>
      <c r="Q191" s="2">
        <v>1</v>
      </c>
      <c r="R191" t="str">
        <f t="shared" si="54"/>
        <v>99FFFF</v>
      </c>
      <c r="S191" s="323" t="s">
        <v>273</v>
      </c>
      <c r="T191" t="str">
        <f t="shared" si="49"/>
        <v>Panini</v>
      </c>
      <c r="V191" s="6" t="str">
        <f t="shared" si="58"/>
        <v>4,70 €</v>
      </c>
      <c r="W191" s="6" t="s">
        <v>570</v>
      </c>
      <c r="X191" t="str">
        <f t="shared" si="55"/>
        <v>TRA-PLA004</v>
      </c>
    </row>
    <row r="192" spans="1:25">
      <c r="A192" s="323" t="s">
        <v>199</v>
      </c>
      <c r="B192" s="4">
        <v>4</v>
      </c>
      <c r="C192" s="4">
        <f t="shared" si="50"/>
        <v>4</v>
      </c>
      <c r="F192" s="79" t="s">
        <v>276</v>
      </c>
      <c r="G192" s="79">
        <v>8</v>
      </c>
      <c r="H192" s="79" t="s">
        <v>132</v>
      </c>
      <c r="I192" s="30" t="s">
        <v>191</v>
      </c>
      <c r="J192" s="30">
        <v>2</v>
      </c>
      <c r="K192" s="30" t="s">
        <v>128</v>
      </c>
      <c r="L192" s="30"/>
      <c r="M192" s="30" t="str">
        <f t="shared" si="56"/>
        <v>Pizza</v>
      </c>
      <c r="N192" s="31" t="str">
        <f t="shared" si="57"/>
        <v>4,00 €</v>
      </c>
      <c r="O192">
        <v>5</v>
      </c>
      <c r="P192" s="2">
        <v>1</v>
      </c>
      <c r="Q192" s="2">
        <v>1</v>
      </c>
      <c r="R192" t="str">
        <f t="shared" si="54"/>
        <v>99FFFF</v>
      </c>
      <c r="S192" s="323" t="s">
        <v>273</v>
      </c>
      <c r="T192" t="str">
        <f t="shared" si="49"/>
        <v>Pizza</v>
      </c>
      <c r="V192" s="6" t="str">
        <f t="shared" si="58"/>
        <v>4,00 €</v>
      </c>
      <c r="X192" t="str">
        <f t="shared" ref="X192:X233" si="59">H192&amp;"-"&amp;K192&amp;TEXT(O192,"000")</f>
        <v>TRA-PLA005</v>
      </c>
    </row>
    <row r="193" spans="1:25">
      <c r="A193" s="323" t="s">
        <v>196</v>
      </c>
      <c r="B193" s="4">
        <v>6.5</v>
      </c>
      <c r="C193" s="4">
        <f t="shared" si="50"/>
        <v>6.5</v>
      </c>
      <c r="F193" s="79" t="s">
        <v>276</v>
      </c>
      <c r="G193" s="79">
        <v>8</v>
      </c>
      <c r="H193" s="79" t="s">
        <v>132</v>
      </c>
      <c r="I193" s="30" t="s">
        <v>191</v>
      </c>
      <c r="J193" s="30">
        <v>2</v>
      </c>
      <c r="K193" s="30" t="s">
        <v>128</v>
      </c>
      <c r="L193" s="30"/>
      <c r="M193" s="30" t="str">
        <f t="shared" si="56"/>
        <v>Plat du Jour</v>
      </c>
      <c r="N193" s="31" t="str">
        <f t="shared" si="57"/>
        <v>6,50 €</v>
      </c>
      <c r="O193">
        <v>6</v>
      </c>
      <c r="P193" s="2">
        <v>1</v>
      </c>
      <c r="Q193" s="2">
        <v>1</v>
      </c>
      <c r="R193" t="str">
        <f t="shared" si="54"/>
        <v>99FFFF</v>
      </c>
      <c r="S193" s="323" t="s">
        <v>907</v>
      </c>
      <c r="T193" t="str">
        <f t="shared" si="49"/>
        <v>Plat du Jour</v>
      </c>
      <c r="V193" s="6" t="str">
        <f t="shared" si="58"/>
        <v>6,50 €</v>
      </c>
      <c r="W193" s="6" t="s">
        <v>567</v>
      </c>
      <c r="X193" t="str">
        <f t="shared" si="59"/>
        <v>TRA-PLA006</v>
      </c>
    </row>
    <row r="194" spans="1:25">
      <c r="A194" s="323" t="s">
        <v>198</v>
      </c>
      <c r="B194" s="4">
        <v>3.9</v>
      </c>
      <c r="C194" s="4">
        <f t="shared" si="50"/>
        <v>3.9</v>
      </c>
      <c r="F194" s="79" t="s">
        <v>276</v>
      </c>
      <c r="G194" s="79">
        <v>8</v>
      </c>
      <c r="H194" s="79" t="s">
        <v>132</v>
      </c>
      <c r="I194" s="30" t="s">
        <v>191</v>
      </c>
      <c r="J194" s="30">
        <v>2</v>
      </c>
      <c r="K194" s="30" t="s">
        <v>128</v>
      </c>
      <c r="L194" s="30"/>
      <c r="M194" s="30" t="str">
        <f t="shared" si="56"/>
        <v>Quiche Individuelle</v>
      </c>
      <c r="N194" s="31" t="str">
        <f t="shared" si="57"/>
        <v>3,90 €</v>
      </c>
      <c r="O194">
        <v>7</v>
      </c>
      <c r="P194" s="2">
        <v>1</v>
      </c>
      <c r="Q194" s="2">
        <v>1</v>
      </c>
      <c r="R194" t="str">
        <f t="shared" si="54"/>
        <v>99FFFF</v>
      </c>
      <c r="S194" s="323" t="s">
        <v>273</v>
      </c>
      <c r="T194" t="str">
        <f t="shared" si="49"/>
        <v>Quiche Individuelle</v>
      </c>
      <c r="V194" s="6" t="str">
        <f t="shared" si="58"/>
        <v>3,90 €</v>
      </c>
      <c r="W194" s="6" t="s">
        <v>568</v>
      </c>
      <c r="X194" t="str">
        <f t="shared" si="59"/>
        <v>TRA-PLA007</v>
      </c>
    </row>
    <row r="195" spans="1:25">
      <c r="A195" s="323" t="s">
        <v>190</v>
      </c>
      <c r="B195" s="4">
        <v>5</v>
      </c>
      <c r="C195" s="4">
        <f t="shared" si="50"/>
        <v>5</v>
      </c>
      <c r="F195" s="79" t="s">
        <v>276</v>
      </c>
      <c r="G195" s="79">
        <v>8</v>
      </c>
      <c r="H195" s="79" t="s">
        <v>132</v>
      </c>
      <c r="I195" s="19" t="s">
        <v>38</v>
      </c>
      <c r="J195" s="19">
        <v>3</v>
      </c>
      <c r="K195" s="19" t="s">
        <v>40</v>
      </c>
      <c r="L195" s="19"/>
      <c r="M195" s="19" t="s">
        <v>190</v>
      </c>
      <c r="N195" s="28" t="str">
        <f t="shared" si="57"/>
        <v>5,00 €</v>
      </c>
      <c r="O195">
        <v>1</v>
      </c>
      <c r="P195" s="2">
        <v>1</v>
      </c>
      <c r="Q195" s="2">
        <v>1</v>
      </c>
      <c r="R195" t="str">
        <f t="shared" si="54"/>
        <v>14B71F</v>
      </c>
      <c r="S195" s="323" t="s">
        <v>273</v>
      </c>
      <c r="T195" t="str">
        <f t="shared" si="49"/>
        <v>Salade Fraîcheur</v>
      </c>
      <c r="V195" s="6" t="str">
        <f t="shared" si="58"/>
        <v>5,00 €</v>
      </c>
      <c r="W195" s="6" t="s">
        <v>569</v>
      </c>
      <c r="X195" t="str">
        <f t="shared" si="59"/>
        <v>TRA-SLD001</v>
      </c>
    </row>
    <row r="196" spans="1:25">
      <c r="A196" s="14" t="s">
        <v>31</v>
      </c>
      <c r="B196" s="4">
        <v>5</v>
      </c>
      <c r="C196" s="4">
        <f t="shared" si="50"/>
        <v>5</v>
      </c>
      <c r="F196" s="79" t="s">
        <v>276</v>
      </c>
      <c r="G196" s="79">
        <v>8</v>
      </c>
      <c r="H196" s="79" t="s">
        <v>132</v>
      </c>
      <c r="I196" s="19" t="s">
        <v>38</v>
      </c>
      <c r="J196" s="19">
        <v>3</v>
      </c>
      <c r="K196" s="19" t="s">
        <v>40</v>
      </c>
      <c r="L196" s="19"/>
      <c r="M196" s="19" t="s">
        <v>190</v>
      </c>
      <c r="N196" s="28" t="str">
        <f t="shared" si="57"/>
        <v>5,00 €</v>
      </c>
      <c r="O196">
        <v>2</v>
      </c>
      <c r="P196" s="2">
        <v>0</v>
      </c>
      <c r="Q196" s="2">
        <v>1</v>
      </c>
      <c r="R196" t="str">
        <f t="shared" si="54"/>
        <v>14B71F</v>
      </c>
      <c r="S196" s="323" t="s">
        <v>273</v>
      </c>
      <c r="T196" t="str">
        <f t="shared" si="49"/>
        <v>Salade Poulet</v>
      </c>
      <c r="V196" s="6" t="str">
        <f t="shared" si="58"/>
        <v>5,00 €</v>
      </c>
      <c r="X196" t="str">
        <f t="shared" si="59"/>
        <v>TRA-SLD002</v>
      </c>
    </row>
    <row r="197" spans="1:25">
      <c r="A197" s="14" t="s">
        <v>32</v>
      </c>
      <c r="B197" s="4">
        <v>5</v>
      </c>
      <c r="C197" s="4">
        <f t="shared" si="50"/>
        <v>5</v>
      </c>
      <c r="F197" s="79" t="s">
        <v>276</v>
      </c>
      <c r="G197" s="79">
        <v>8</v>
      </c>
      <c r="H197" s="79" t="s">
        <v>132</v>
      </c>
      <c r="I197" s="19" t="s">
        <v>38</v>
      </c>
      <c r="J197" s="19">
        <v>3</v>
      </c>
      <c r="K197" s="19" t="s">
        <v>40</v>
      </c>
      <c r="L197" s="19"/>
      <c r="M197" s="19" t="s">
        <v>190</v>
      </c>
      <c r="N197" s="28" t="str">
        <f t="shared" si="57"/>
        <v>5,00 €</v>
      </c>
      <c r="O197">
        <v>3</v>
      </c>
      <c r="P197" s="2">
        <v>0</v>
      </c>
      <c r="Q197" s="2">
        <v>1</v>
      </c>
      <c r="R197" t="str">
        <f t="shared" si="54"/>
        <v>14B71F</v>
      </c>
      <c r="S197" s="323" t="s">
        <v>273</v>
      </c>
      <c r="T197" t="str">
        <f t="shared" si="49"/>
        <v>Salade Saumon</v>
      </c>
      <c r="V197" s="6" t="str">
        <f t="shared" si="58"/>
        <v>5,00 €</v>
      </c>
      <c r="X197" t="str">
        <f t="shared" si="59"/>
        <v>TRA-SLD003</v>
      </c>
    </row>
    <row r="198" spans="1:25">
      <c r="A198" s="14" t="s">
        <v>33</v>
      </c>
      <c r="B198" s="4">
        <v>5</v>
      </c>
      <c r="C198" s="4">
        <f t="shared" si="50"/>
        <v>5</v>
      </c>
      <c r="F198" s="79" t="s">
        <v>276</v>
      </c>
      <c r="G198" s="79">
        <v>8</v>
      </c>
      <c r="H198" s="79" t="s">
        <v>132</v>
      </c>
      <c r="I198" s="19" t="s">
        <v>38</v>
      </c>
      <c r="J198" s="19">
        <v>3</v>
      </c>
      <c r="K198" s="19" t="s">
        <v>40</v>
      </c>
      <c r="L198" s="19"/>
      <c r="M198" s="19" t="s">
        <v>190</v>
      </c>
      <c r="N198" s="28" t="str">
        <f t="shared" si="57"/>
        <v>5,00 €</v>
      </c>
      <c r="O198">
        <v>4</v>
      </c>
      <c r="P198" s="2">
        <v>0</v>
      </c>
      <c r="Q198" s="2">
        <v>1</v>
      </c>
      <c r="R198" t="str">
        <f t="shared" si="54"/>
        <v>14B71F</v>
      </c>
      <c r="S198" s="323" t="s">
        <v>273</v>
      </c>
      <c r="T198" t="str">
        <f t="shared" si="49"/>
        <v>Salade Roquefort</v>
      </c>
      <c r="V198" s="6" t="str">
        <f t="shared" si="58"/>
        <v>5,00 €</v>
      </c>
      <c r="X198" t="str">
        <f t="shared" si="59"/>
        <v>TRA-SLD004</v>
      </c>
    </row>
    <row r="199" spans="1:25">
      <c r="A199" s="14" t="s">
        <v>35</v>
      </c>
      <c r="B199" s="4">
        <v>5</v>
      </c>
      <c r="C199" s="4">
        <f t="shared" si="50"/>
        <v>5</v>
      </c>
      <c r="F199" s="79" t="s">
        <v>276</v>
      </c>
      <c r="G199" s="79">
        <v>8</v>
      </c>
      <c r="H199" s="79" t="s">
        <v>132</v>
      </c>
      <c r="I199" s="19" t="s">
        <v>38</v>
      </c>
      <c r="J199" s="19">
        <v>3</v>
      </c>
      <c r="K199" s="19" t="s">
        <v>40</v>
      </c>
      <c r="L199" s="19"/>
      <c r="M199" s="19" t="s">
        <v>190</v>
      </c>
      <c r="N199" s="28" t="str">
        <f t="shared" si="57"/>
        <v>5,00 €</v>
      </c>
      <c r="O199">
        <v>5</v>
      </c>
      <c r="P199" s="2">
        <v>0</v>
      </c>
      <c r="Q199" s="2">
        <v>1</v>
      </c>
      <c r="R199" t="str">
        <f t="shared" si="54"/>
        <v>14B71F</v>
      </c>
      <c r="S199" s="323" t="s">
        <v>273</v>
      </c>
      <c r="T199" t="s">
        <v>34</v>
      </c>
      <c r="V199" s="6" t="str">
        <f t="shared" si="58"/>
        <v>5,00 €</v>
      </c>
      <c r="X199" t="str">
        <f t="shared" si="59"/>
        <v>TRA-SLD005</v>
      </c>
    </row>
    <row r="200" spans="1:25">
      <c r="A200" s="14" t="s">
        <v>1363</v>
      </c>
      <c r="B200" s="4">
        <v>5</v>
      </c>
      <c r="C200" s="4">
        <f>B200</f>
        <v>5</v>
      </c>
      <c r="F200" s="79" t="s">
        <v>276</v>
      </c>
      <c r="G200" s="79">
        <v>8</v>
      </c>
      <c r="H200" s="79" t="s">
        <v>132</v>
      </c>
      <c r="I200" s="19" t="s">
        <v>38</v>
      </c>
      <c r="J200" s="19">
        <v>3</v>
      </c>
      <c r="K200" s="19" t="s">
        <v>40</v>
      </c>
      <c r="L200" s="19"/>
      <c r="M200" s="19" t="s">
        <v>190</v>
      </c>
      <c r="N200" s="28" t="str">
        <f>IF(B200&lt;&gt;"",TEXT(B200,"0,00 €"),"")</f>
        <v>5,00 €</v>
      </c>
      <c r="O200">
        <v>6</v>
      </c>
      <c r="P200" s="381">
        <v>0</v>
      </c>
      <c r="Q200" s="381">
        <v>1</v>
      </c>
      <c r="R200" t="str">
        <f>couleurFond(I200)</f>
        <v>14B71F</v>
      </c>
      <c r="S200" s="323" t="s">
        <v>273</v>
      </c>
      <c r="T200" t="str">
        <f>A200</f>
        <v>Salade Végétarienne</v>
      </c>
      <c r="V200" s="6" t="str">
        <f>N200</f>
        <v>5,00 €</v>
      </c>
      <c r="X200" t="str">
        <f>H200&amp;"-"&amp;K200&amp;TEXT(O200,"000")</f>
        <v>TRA-SLD006</v>
      </c>
    </row>
    <row r="201" spans="1:25">
      <c r="A201" s="14" t="s">
        <v>1488</v>
      </c>
      <c r="B201" s="4">
        <v>3</v>
      </c>
      <c r="C201" s="4">
        <f>B201</f>
        <v>3</v>
      </c>
      <c r="F201" s="79" t="s">
        <v>276</v>
      </c>
      <c r="G201" s="79">
        <v>8</v>
      </c>
      <c r="H201" s="79" t="s">
        <v>132</v>
      </c>
      <c r="I201" s="19" t="s">
        <v>38</v>
      </c>
      <c r="J201" s="19">
        <v>3</v>
      </c>
      <c r="K201" s="19" t="s">
        <v>40</v>
      </c>
      <c r="L201" s="19"/>
      <c r="M201" s="19" t="str">
        <f t="shared" si="56"/>
        <v>Salade de Concombres</v>
      </c>
      <c r="N201" s="28" t="str">
        <f>IF(B201&lt;&gt;"",TEXT(B201,"0,00 €"),"")</f>
        <v>3,00 €</v>
      </c>
      <c r="O201">
        <v>7</v>
      </c>
      <c r="P201" s="381">
        <v>0</v>
      </c>
      <c r="Q201" s="381">
        <v>1</v>
      </c>
      <c r="R201" t="str">
        <f>couleurFond(I201)</f>
        <v>14B71F</v>
      </c>
      <c r="S201" s="323" t="s">
        <v>273</v>
      </c>
      <c r="T201" t="str">
        <f>A201</f>
        <v>Salade de Concombres</v>
      </c>
      <c r="V201" s="6" t="str">
        <f>N201</f>
        <v>3,00 €</v>
      </c>
      <c r="X201" t="str">
        <f>H201&amp;"-"&amp;K201&amp;TEXT(O201,"000")</f>
        <v>TRA-SLD007</v>
      </c>
    </row>
    <row r="202" spans="1:25">
      <c r="A202" s="14" t="s">
        <v>1487</v>
      </c>
      <c r="B202" s="4">
        <v>3</v>
      </c>
      <c r="C202" s="4">
        <f>B202</f>
        <v>3</v>
      </c>
      <c r="F202" s="79" t="s">
        <v>276</v>
      </c>
      <c r="G202" s="79">
        <v>8</v>
      </c>
      <c r="H202" s="79" t="s">
        <v>132</v>
      </c>
      <c r="I202" s="19" t="s">
        <v>38</v>
      </c>
      <c r="J202" s="19">
        <v>3</v>
      </c>
      <c r="K202" s="19" t="s">
        <v>40</v>
      </c>
      <c r="L202" s="19"/>
      <c r="M202" s="19" t="str">
        <f t="shared" si="56"/>
        <v>Salade de Carottes</v>
      </c>
      <c r="N202" s="28" t="str">
        <f>IF(B202&lt;&gt;"",TEXT(B202,"0,00 €"),"")</f>
        <v>3,00 €</v>
      </c>
      <c r="O202">
        <v>8</v>
      </c>
      <c r="P202" s="381">
        <v>0</v>
      </c>
      <c r="Q202" s="381">
        <v>1</v>
      </c>
      <c r="R202" t="str">
        <f>couleurFond(I202)</f>
        <v>14B71F</v>
      </c>
      <c r="S202" s="323" t="s">
        <v>273</v>
      </c>
      <c r="T202" t="str">
        <f>A202</f>
        <v>Salade de Carottes</v>
      </c>
      <c r="V202" s="6" t="str">
        <f>N202</f>
        <v>3,00 €</v>
      </c>
      <c r="X202" t="str">
        <f>H202&amp;"-"&amp;K202&amp;TEXT(O202,"000")</f>
        <v>TRA-SLD008</v>
      </c>
    </row>
    <row r="203" spans="1:25">
      <c r="A203" s="14" t="s">
        <v>2134</v>
      </c>
      <c r="B203" s="4">
        <v>3</v>
      </c>
      <c r="C203" s="4">
        <f>B203</f>
        <v>3</v>
      </c>
      <c r="F203" s="79" t="s">
        <v>276</v>
      </c>
      <c r="G203" s="79">
        <v>8</v>
      </c>
      <c r="H203" s="79" t="s">
        <v>132</v>
      </c>
      <c r="I203" s="19" t="s">
        <v>38</v>
      </c>
      <c r="J203" s="19">
        <v>3</v>
      </c>
      <c r="K203" s="19" t="s">
        <v>40</v>
      </c>
      <c r="L203" s="19"/>
      <c r="M203" s="19" t="str">
        <f>A203</f>
        <v>Salade de Betteraves</v>
      </c>
      <c r="N203" s="28" t="str">
        <f>IF(B203&lt;&gt;"",TEXT(B203,"0,00 €"),"")</f>
        <v>3,00 €</v>
      </c>
      <c r="O203">
        <v>9</v>
      </c>
      <c r="P203" s="392">
        <v>0</v>
      </c>
      <c r="Q203" s="392">
        <v>1</v>
      </c>
      <c r="R203" t="str">
        <f>couleurFond(I203)</f>
        <v>14B71F</v>
      </c>
      <c r="S203" s="323" t="s">
        <v>273</v>
      </c>
      <c r="T203" t="str">
        <f>A203</f>
        <v>Salade de Betteraves</v>
      </c>
      <c r="V203" s="6" t="str">
        <f>N203</f>
        <v>3,00 €</v>
      </c>
      <c r="X203" t="str">
        <f>H203&amp;"-"&amp;K203&amp;TEXT(O203,"000")</f>
        <v>TRA-SLD009</v>
      </c>
    </row>
    <row r="204" spans="1:25">
      <c r="A204" s="14" t="s">
        <v>1364</v>
      </c>
      <c r="B204" s="4">
        <v>3</v>
      </c>
      <c r="C204" s="4">
        <f>B204</f>
        <v>3</v>
      </c>
      <c r="F204" s="79" t="s">
        <v>276</v>
      </c>
      <c r="G204" s="79">
        <v>8</v>
      </c>
      <c r="H204" s="79" t="s">
        <v>132</v>
      </c>
      <c r="I204" s="19" t="s">
        <v>38</v>
      </c>
      <c r="J204" s="19">
        <v>3</v>
      </c>
      <c r="K204" s="19" t="s">
        <v>40</v>
      </c>
      <c r="L204" s="19"/>
      <c r="M204" s="19" t="str">
        <f t="shared" si="56"/>
        <v>Salade de riz</v>
      </c>
      <c r="N204" s="28" t="str">
        <f>IF(B204&lt;&gt;"",TEXT(B204,"0,00 €"),"")</f>
        <v>3,00 €</v>
      </c>
      <c r="O204">
        <v>10</v>
      </c>
      <c r="P204" s="381">
        <v>0</v>
      </c>
      <c r="Q204" s="381">
        <v>1</v>
      </c>
      <c r="R204" t="str">
        <f>couleurFond(I204)</f>
        <v>14B71F</v>
      </c>
      <c r="S204" s="323" t="s">
        <v>273</v>
      </c>
      <c r="T204" t="str">
        <f>A204</f>
        <v>Salade de riz</v>
      </c>
      <c r="V204" s="6" t="str">
        <f>N204</f>
        <v>3,00 €</v>
      </c>
      <c r="X204" t="str">
        <f>H204&amp;"-"&amp;K204&amp;TEXT(O204,"000")</f>
        <v>TRA-SLD010</v>
      </c>
    </row>
    <row r="205" spans="1:25">
      <c r="A205" s="323" t="s">
        <v>909</v>
      </c>
      <c r="B205" s="4">
        <v>3</v>
      </c>
      <c r="C205" s="4">
        <f t="shared" si="50"/>
        <v>3</v>
      </c>
      <c r="F205" s="79" t="s">
        <v>276</v>
      </c>
      <c r="G205" s="79">
        <v>8</v>
      </c>
      <c r="H205" s="79" t="s">
        <v>132</v>
      </c>
      <c r="I205" s="19" t="s">
        <v>38</v>
      </c>
      <c r="J205" s="19">
        <v>3</v>
      </c>
      <c r="K205" s="19" t="s">
        <v>40</v>
      </c>
      <c r="L205" s="19"/>
      <c r="M205" s="19" t="str">
        <f t="shared" si="56"/>
        <v>Petite Salade</v>
      </c>
      <c r="N205" s="28" t="str">
        <f t="shared" si="57"/>
        <v>3,00 €</v>
      </c>
      <c r="O205">
        <v>11</v>
      </c>
      <c r="P205" s="302">
        <v>1</v>
      </c>
      <c r="Q205" s="302">
        <v>1</v>
      </c>
      <c r="R205" t="str">
        <f t="shared" si="54"/>
        <v>14B71F</v>
      </c>
      <c r="S205" s="323" t="s">
        <v>273</v>
      </c>
      <c r="T205" t="str">
        <f t="shared" ref="T205:T233" si="60">A205</f>
        <v>Petite Salade</v>
      </c>
      <c r="V205" s="6" t="str">
        <f t="shared" si="58"/>
        <v>3,00 €</v>
      </c>
      <c r="X205" t="str">
        <f t="shared" si="59"/>
        <v>TRA-SLD011</v>
      </c>
    </row>
    <row r="206" spans="1:25">
      <c r="A206" s="323" t="s">
        <v>7</v>
      </c>
      <c r="B206" s="4">
        <v>3</v>
      </c>
      <c r="C206" s="4">
        <f t="shared" ref="C206:C233" si="61">B206</f>
        <v>3</v>
      </c>
      <c r="F206" s="79" t="s">
        <v>276</v>
      </c>
      <c r="G206" s="79">
        <v>8</v>
      </c>
      <c r="H206" s="79" t="s">
        <v>132</v>
      </c>
      <c r="I206" s="58" t="s">
        <v>306</v>
      </c>
      <c r="J206" s="58">
        <v>4</v>
      </c>
      <c r="K206" s="58" t="s">
        <v>124</v>
      </c>
      <c r="L206" s="58"/>
      <c r="M206" s="58" t="str">
        <f t="shared" si="56"/>
        <v>Verrines</v>
      </c>
      <c r="N206" s="59" t="str">
        <f t="shared" si="57"/>
        <v>3,00 €</v>
      </c>
      <c r="O206">
        <v>1</v>
      </c>
      <c r="P206" s="2">
        <v>1</v>
      </c>
      <c r="Q206" s="2">
        <v>1</v>
      </c>
      <c r="R206" t="str">
        <f t="shared" si="54"/>
        <v>C0C0C0</v>
      </c>
      <c r="S206" s="323" t="s">
        <v>273</v>
      </c>
      <c r="T206" t="str">
        <f t="shared" si="60"/>
        <v>Verrines</v>
      </c>
      <c r="V206" s="6" t="str">
        <f t="shared" si="58"/>
        <v>3,00 €</v>
      </c>
      <c r="X206" t="str">
        <f t="shared" si="59"/>
        <v>TRA-DIV001</v>
      </c>
    </row>
    <row r="207" spans="1:25">
      <c r="A207" s="323" t="s">
        <v>193</v>
      </c>
      <c r="B207" s="4">
        <v>3</v>
      </c>
      <c r="C207" s="4">
        <f t="shared" si="61"/>
        <v>3</v>
      </c>
      <c r="F207" s="79" t="s">
        <v>276</v>
      </c>
      <c r="G207" s="79">
        <v>8</v>
      </c>
      <c r="H207" s="79" t="s">
        <v>132</v>
      </c>
      <c r="I207" s="58" t="s">
        <v>306</v>
      </c>
      <c r="J207" s="58">
        <v>4</v>
      </c>
      <c r="K207" s="58" t="s">
        <v>124</v>
      </c>
      <c r="L207" s="58"/>
      <c r="M207" s="58" t="str">
        <f>A207</f>
        <v>Taboulé</v>
      </c>
      <c r="N207" s="59" t="str">
        <f t="shared" si="57"/>
        <v>3,00 €</v>
      </c>
      <c r="O207">
        <v>2</v>
      </c>
      <c r="P207" s="2">
        <v>1</v>
      </c>
      <c r="Q207" s="2">
        <v>1</v>
      </c>
      <c r="R207" t="str">
        <f t="shared" si="54"/>
        <v>C0C0C0</v>
      </c>
      <c r="S207" s="323" t="s">
        <v>273</v>
      </c>
      <c r="T207" t="str">
        <f t="shared" si="60"/>
        <v>Taboulé</v>
      </c>
      <c r="V207" s="6" t="str">
        <f t="shared" si="58"/>
        <v>3,00 €</v>
      </c>
      <c r="X207" t="str">
        <f t="shared" si="59"/>
        <v>TRA-DIV002</v>
      </c>
    </row>
    <row r="208" spans="1:25">
      <c r="A208" s="14" t="s">
        <v>27</v>
      </c>
      <c r="B208" s="55">
        <v>2</v>
      </c>
      <c r="C208" s="4">
        <f t="shared" si="61"/>
        <v>2</v>
      </c>
      <c r="D208" s="54"/>
      <c r="E208" s="55"/>
      <c r="F208" s="80" t="s">
        <v>276</v>
      </c>
      <c r="G208" s="79">
        <v>8</v>
      </c>
      <c r="H208" s="80" t="s">
        <v>132</v>
      </c>
      <c r="I208" s="58" t="s">
        <v>306</v>
      </c>
      <c r="J208" s="58">
        <v>4</v>
      </c>
      <c r="K208" s="58" t="s">
        <v>124</v>
      </c>
      <c r="L208" s="60"/>
      <c r="M208" s="60" t="s">
        <v>8</v>
      </c>
      <c r="N208" s="61" t="str">
        <f t="shared" si="57"/>
        <v>2,00 €</v>
      </c>
      <c r="O208">
        <v>3</v>
      </c>
      <c r="P208" s="56">
        <v>1</v>
      </c>
      <c r="Q208" s="56">
        <v>1</v>
      </c>
      <c r="R208" t="str">
        <f t="shared" si="54"/>
        <v>C0C0C0</v>
      </c>
      <c r="S208" s="14" t="s">
        <v>273</v>
      </c>
      <c r="T208" s="54" t="str">
        <f t="shared" si="60"/>
        <v>Yaourt Petit Nature</v>
      </c>
      <c r="U208" s="54"/>
      <c r="V208" s="57" t="str">
        <f t="shared" si="58"/>
        <v>2,00 €</v>
      </c>
      <c r="W208" s="57"/>
      <c r="X208" t="str">
        <f t="shared" si="59"/>
        <v>TRA-DIV003</v>
      </c>
      <c r="Y208" s="54"/>
    </row>
    <row r="209" spans="1:24">
      <c r="A209" s="323" t="s">
        <v>28</v>
      </c>
      <c r="B209" s="4">
        <v>2</v>
      </c>
      <c r="C209" s="4">
        <f t="shared" si="61"/>
        <v>2</v>
      </c>
      <c r="F209" s="79" t="s">
        <v>276</v>
      </c>
      <c r="G209" s="79">
        <v>8</v>
      </c>
      <c r="H209" s="79" t="s">
        <v>132</v>
      </c>
      <c r="I209" s="58" t="s">
        <v>306</v>
      </c>
      <c r="J209" s="58">
        <v>4</v>
      </c>
      <c r="K209" s="58" t="s">
        <v>124</v>
      </c>
      <c r="L209" s="58"/>
      <c r="M209" s="58" t="s">
        <v>8</v>
      </c>
      <c r="N209" s="59" t="str">
        <f t="shared" si="57"/>
        <v>2,00 €</v>
      </c>
      <c r="O209">
        <v>4</v>
      </c>
      <c r="P209" s="2">
        <v>0</v>
      </c>
      <c r="Q209" s="2">
        <v>1</v>
      </c>
      <c r="R209" t="str">
        <f t="shared" si="54"/>
        <v>C0C0C0</v>
      </c>
      <c r="S209" s="323" t="s">
        <v>273</v>
      </c>
      <c r="T209" t="str">
        <f t="shared" si="60"/>
        <v>Yaourt Petit Myrtille</v>
      </c>
      <c r="V209" s="6" t="str">
        <f t="shared" si="58"/>
        <v>2,00 €</v>
      </c>
      <c r="X209" t="str">
        <f t="shared" si="59"/>
        <v>TRA-DIV004</v>
      </c>
    </row>
    <row r="210" spans="1:24">
      <c r="A210" s="323" t="s">
        <v>29</v>
      </c>
      <c r="B210" s="4">
        <v>2</v>
      </c>
      <c r="C210" s="4">
        <f t="shared" si="61"/>
        <v>2</v>
      </c>
      <c r="F210" s="79" t="s">
        <v>276</v>
      </c>
      <c r="G210" s="79">
        <v>8</v>
      </c>
      <c r="H210" s="79" t="s">
        <v>132</v>
      </c>
      <c r="I210" s="58" t="s">
        <v>306</v>
      </c>
      <c r="J210" s="58">
        <v>4</v>
      </c>
      <c r="K210" s="58" t="s">
        <v>124</v>
      </c>
      <c r="L210" s="58"/>
      <c r="M210" s="58" t="s">
        <v>8</v>
      </c>
      <c r="N210" s="59" t="str">
        <f t="shared" si="57"/>
        <v>2,00 €</v>
      </c>
      <c r="O210">
        <v>5</v>
      </c>
      <c r="P210" s="2">
        <v>0</v>
      </c>
      <c r="Q210" s="2">
        <v>1</v>
      </c>
      <c r="R210" t="str">
        <f t="shared" si="54"/>
        <v>C0C0C0</v>
      </c>
      <c r="S210" s="323" t="s">
        <v>273</v>
      </c>
      <c r="T210" t="str">
        <f t="shared" si="60"/>
        <v>Yaourt Petit Vanille</v>
      </c>
      <c r="V210" s="6" t="str">
        <f t="shared" si="58"/>
        <v>2,00 €</v>
      </c>
      <c r="X210" t="str">
        <f t="shared" si="59"/>
        <v>TRA-DIV005</v>
      </c>
    </row>
    <row r="211" spans="1:24">
      <c r="A211" s="323" t="s">
        <v>30</v>
      </c>
      <c r="B211" s="4">
        <v>2</v>
      </c>
      <c r="C211" s="4">
        <f t="shared" si="61"/>
        <v>2</v>
      </c>
      <c r="F211" s="79" t="s">
        <v>276</v>
      </c>
      <c r="G211" s="79">
        <v>8</v>
      </c>
      <c r="H211" s="79" t="s">
        <v>132</v>
      </c>
      <c r="I211" s="58" t="s">
        <v>306</v>
      </c>
      <c r="J211" s="58">
        <v>4</v>
      </c>
      <c r="K211" s="58" t="s">
        <v>124</v>
      </c>
      <c r="L211" s="58"/>
      <c r="M211" s="58" t="s">
        <v>8</v>
      </c>
      <c r="N211" s="59" t="str">
        <f t="shared" si="57"/>
        <v>2,00 €</v>
      </c>
      <c r="O211">
        <v>6</v>
      </c>
      <c r="P211" s="2">
        <v>0</v>
      </c>
      <c r="Q211" s="2">
        <v>1</v>
      </c>
      <c r="R211" t="str">
        <f t="shared" si="54"/>
        <v>C0C0C0</v>
      </c>
      <c r="S211" s="323" t="s">
        <v>273</v>
      </c>
      <c r="T211" t="str">
        <f t="shared" si="60"/>
        <v>Yaourt Petit Abricot</v>
      </c>
      <c r="V211" s="6" t="str">
        <f t="shared" si="58"/>
        <v>2,00 €</v>
      </c>
      <c r="X211" t="str">
        <f t="shared" si="59"/>
        <v>TRA-DIV006</v>
      </c>
    </row>
    <row r="212" spans="1:24">
      <c r="A212" s="323" t="s">
        <v>9</v>
      </c>
      <c r="B212" s="4">
        <v>2.6</v>
      </c>
      <c r="C212" s="4">
        <f t="shared" si="61"/>
        <v>2.6</v>
      </c>
      <c r="F212" s="79" t="s">
        <v>276</v>
      </c>
      <c r="G212" s="79">
        <v>8</v>
      </c>
      <c r="H212" s="79" t="s">
        <v>132</v>
      </c>
      <c r="I212" s="58" t="s">
        <v>306</v>
      </c>
      <c r="J212" s="58">
        <v>4</v>
      </c>
      <c r="K212" s="58" t="s">
        <v>124</v>
      </c>
      <c r="L212" s="58"/>
      <c r="M212" s="58" t="str">
        <f t="shared" ref="M212:M233" si="62">A212</f>
        <v>Yaourt Grand</v>
      </c>
      <c r="N212" s="59" t="str">
        <f t="shared" si="57"/>
        <v>2,60 €</v>
      </c>
      <c r="O212">
        <v>7</v>
      </c>
      <c r="P212" s="2">
        <v>1</v>
      </c>
      <c r="Q212" s="2">
        <v>1</v>
      </c>
      <c r="R212" t="str">
        <f t="shared" si="54"/>
        <v>C0C0C0</v>
      </c>
      <c r="S212" s="323" t="s">
        <v>273</v>
      </c>
      <c r="T212" t="s">
        <v>1491</v>
      </c>
      <c r="V212" s="6" t="str">
        <f t="shared" si="58"/>
        <v>2,60 €</v>
      </c>
      <c r="X212" t="str">
        <f t="shared" si="59"/>
        <v>TRA-DIV007</v>
      </c>
    </row>
    <row r="213" spans="1:24">
      <c r="A213" s="323" t="s">
        <v>249</v>
      </c>
      <c r="B213" s="4">
        <v>5.9</v>
      </c>
      <c r="C213" s="4">
        <f>B213</f>
        <v>5.9</v>
      </c>
      <c r="F213" s="79" t="s">
        <v>276</v>
      </c>
      <c r="G213" s="79">
        <v>8</v>
      </c>
      <c r="H213" s="79" t="s">
        <v>132</v>
      </c>
      <c r="I213" s="22" t="s">
        <v>250</v>
      </c>
      <c r="J213" s="22">
        <v>6</v>
      </c>
      <c r="K213" s="22" t="s">
        <v>130</v>
      </c>
      <c r="L213" s="22"/>
      <c r="M213" s="22" t="str">
        <f>A213</f>
        <v>Menu Express</v>
      </c>
      <c r="N213" s="29" t="str">
        <f>IF(B213&lt;&gt;"",TEXT(B213,"0,00 €"),"")</f>
        <v>5,90 €</v>
      </c>
      <c r="O213">
        <v>1</v>
      </c>
      <c r="P213" s="2">
        <v>1</v>
      </c>
      <c r="Q213" s="2">
        <v>0</v>
      </c>
      <c r="R213" t="str">
        <f t="shared" si="54"/>
        <v>669933</v>
      </c>
      <c r="S213" s="323" t="s">
        <v>250</v>
      </c>
      <c r="T213" t="str">
        <f>A213</f>
        <v>Menu Express</v>
      </c>
      <c r="V213" s="6" t="str">
        <f>N213</f>
        <v>5,90 €</v>
      </c>
      <c r="X213" t="str">
        <f t="shared" si="59"/>
        <v>TRA-MEN001</v>
      </c>
    </row>
    <row r="214" spans="1:24">
      <c r="A214" s="323" t="s">
        <v>251</v>
      </c>
      <c r="B214" s="4">
        <v>7.7</v>
      </c>
      <c r="C214" s="4">
        <f t="shared" si="61"/>
        <v>7.7</v>
      </c>
      <c r="F214" s="79" t="s">
        <v>276</v>
      </c>
      <c r="G214" s="79">
        <v>8</v>
      </c>
      <c r="H214" s="79" t="s">
        <v>132</v>
      </c>
      <c r="I214" s="22" t="s">
        <v>250</v>
      </c>
      <c r="J214" s="22">
        <v>6</v>
      </c>
      <c r="K214" s="22" t="s">
        <v>130</v>
      </c>
      <c r="L214" s="22"/>
      <c r="M214" s="22" t="str">
        <f t="shared" si="62"/>
        <v>Menu Chef</v>
      </c>
      <c r="N214" s="29" t="str">
        <f t="shared" si="57"/>
        <v>7,70 €</v>
      </c>
      <c r="O214">
        <v>2</v>
      </c>
      <c r="P214" s="2">
        <v>1</v>
      </c>
      <c r="Q214" s="2">
        <v>0</v>
      </c>
      <c r="R214" t="str">
        <f t="shared" si="54"/>
        <v>669933</v>
      </c>
      <c r="S214" s="323" t="s">
        <v>250</v>
      </c>
      <c r="T214" t="str">
        <f t="shared" si="60"/>
        <v>Menu Chef</v>
      </c>
      <c r="V214" s="6" t="str">
        <f t="shared" si="58"/>
        <v>7,70 €</v>
      </c>
      <c r="X214" t="str">
        <f t="shared" si="59"/>
        <v>TRA-MEN002</v>
      </c>
    </row>
    <row r="215" spans="1:24">
      <c r="A215" s="323" t="s">
        <v>252</v>
      </c>
      <c r="B215" s="4">
        <v>8.3000000000000007</v>
      </c>
      <c r="C215" s="4">
        <f t="shared" si="61"/>
        <v>8.3000000000000007</v>
      </c>
      <c r="F215" s="79" t="s">
        <v>276</v>
      </c>
      <c r="G215" s="79">
        <v>8</v>
      </c>
      <c r="H215" s="79" t="s">
        <v>132</v>
      </c>
      <c r="I215" s="22" t="s">
        <v>250</v>
      </c>
      <c r="J215" s="22">
        <v>6</v>
      </c>
      <c r="K215" s="22" t="s">
        <v>130</v>
      </c>
      <c r="L215" s="22"/>
      <c r="M215" s="22" t="str">
        <f t="shared" si="62"/>
        <v>Menu Lévis</v>
      </c>
      <c r="N215" s="29" t="str">
        <f t="shared" si="57"/>
        <v>8,30 €</v>
      </c>
      <c r="O215">
        <v>3</v>
      </c>
      <c r="P215" s="2">
        <v>1</v>
      </c>
      <c r="Q215" s="2">
        <v>0</v>
      </c>
      <c r="R215" t="str">
        <f t="shared" si="54"/>
        <v>669933</v>
      </c>
      <c r="S215" s="323" t="s">
        <v>250</v>
      </c>
      <c r="T215" t="str">
        <f t="shared" si="60"/>
        <v>Menu Lévis</v>
      </c>
      <c r="V215" s="6" t="str">
        <f t="shared" si="58"/>
        <v>8,30 €</v>
      </c>
      <c r="X215" t="str">
        <f t="shared" si="59"/>
        <v>TRA-MEN003</v>
      </c>
    </row>
    <row r="216" spans="1:24">
      <c r="A216" s="323" t="s">
        <v>253</v>
      </c>
      <c r="B216" s="4">
        <v>8.9</v>
      </c>
      <c r="C216" s="4">
        <f t="shared" si="61"/>
        <v>8.9</v>
      </c>
      <c r="F216" s="79" t="s">
        <v>276</v>
      </c>
      <c r="G216" s="79">
        <v>8</v>
      </c>
      <c r="H216" s="79" t="s">
        <v>132</v>
      </c>
      <c r="I216" s="22" t="s">
        <v>250</v>
      </c>
      <c r="J216" s="22">
        <v>6</v>
      </c>
      <c r="K216" s="22" t="s">
        <v>130</v>
      </c>
      <c r="L216" s="22"/>
      <c r="M216" s="22" t="str">
        <f t="shared" si="62"/>
        <v>Menu Fraîcheur</v>
      </c>
      <c r="N216" s="29" t="str">
        <f t="shared" si="57"/>
        <v>8,90 €</v>
      </c>
      <c r="O216">
        <v>4</v>
      </c>
      <c r="P216" s="2">
        <v>1</v>
      </c>
      <c r="Q216" s="2">
        <v>0</v>
      </c>
      <c r="R216" t="str">
        <f t="shared" si="54"/>
        <v>669933</v>
      </c>
      <c r="S216" s="323" t="s">
        <v>250</v>
      </c>
      <c r="T216" t="str">
        <f t="shared" si="60"/>
        <v>Menu Fraîcheur</v>
      </c>
      <c r="V216" s="6" t="str">
        <f t="shared" si="58"/>
        <v>8,90 €</v>
      </c>
      <c r="X216" t="str">
        <f t="shared" si="59"/>
        <v>TRA-MEN004</v>
      </c>
    </row>
    <row r="217" spans="1:24">
      <c r="A217" s="323" t="s">
        <v>10</v>
      </c>
      <c r="B217" s="4">
        <v>9.1999999999999993</v>
      </c>
      <c r="C217" s="4">
        <f t="shared" si="61"/>
        <v>9.1999999999999993</v>
      </c>
      <c r="F217" s="79" t="s">
        <v>276</v>
      </c>
      <c r="G217" s="79">
        <v>8</v>
      </c>
      <c r="H217" s="79" t="s">
        <v>132</v>
      </c>
      <c r="I217" s="22" t="s">
        <v>250</v>
      </c>
      <c r="J217" s="22">
        <v>6</v>
      </c>
      <c r="K217" s="22" t="s">
        <v>130</v>
      </c>
      <c r="L217" s="22"/>
      <c r="M217" s="22" t="str">
        <f t="shared" si="62"/>
        <v>Menu Galette</v>
      </c>
      <c r="N217" s="29" t="str">
        <f t="shared" si="57"/>
        <v>9,20 €</v>
      </c>
      <c r="O217">
        <v>5</v>
      </c>
      <c r="P217" s="2">
        <v>1</v>
      </c>
      <c r="Q217" s="2">
        <v>0</v>
      </c>
      <c r="R217" t="str">
        <f t="shared" si="54"/>
        <v>669933</v>
      </c>
      <c r="S217" s="323" t="s">
        <v>250</v>
      </c>
      <c r="T217" t="str">
        <f t="shared" si="60"/>
        <v>Menu Galette</v>
      </c>
      <c r="V217" s="6" t="str">
        <f t="shared" si="58"/>
        <v>9,20 €</v>
      </c>
      <c r="X217" t="str">
        <f t="shared" si="59"/>
        <v>TRA-MEN005</v>
      </c>
    </row>
    <row r="218" spans="1:24">
      <c r="A218" s="323" t="s">
        <v>843</v>
      </c>
      <c r="B218" s="4">
        <v>0</v>
      </c>
      <c r="C218" s="4">
        <f t="shared" si="61"/>
        <v>0</v>
      </c>
      <c r="F218" s="79" t="s">
        <v>276</v>
      </c>
      <c r="G218" s="79">
        <v>8</v>
      </c>
      <c r="H218" s="79" t="s">
        <v>132</v>
      </c>
      <c r="I218" s="303" t="s">
        <v>306</v>
      </c>
      <c r="J218" s="303">
        <v>7</v>
      </c>
      <c r="K218" s="303" t="s">
        <v>124</v>
      </c>
      <c r="L218" s="303"/>
      <c r="M218" s="303" t="str">
        <f t="shared" si="62"/>
        <v>Divers Traiteur</v>
      </c>
      <c r="N218" s="304" t="str">
        <f t="shared" si="57"/>
        <v>0,00 €</v>
      </c>
      <c r="O218">
        <v>1</v>
      </c>
      <c r="P218" s="302">
        <v>1</v>
      </c>
      <c r="Q218" s="302">
        <v>0</v>
      </c>
      <c r="R218" t="str">
        <f t="shared" si="54"/>
        <v>DBDCF2</v>
      </c>
      <c r="T218" t="str">
        <f t="shared" si="60"/>
        <v>Divers Traiteur</v>
      </c>
      <c r="V218" s="6" t="str">
        <f t="shared" si="58"/>
        <v>0,00 €</v>
      </c>
      <c r="X218" t="str">
        <f t="shared" si="59"/>
        <v>TRA-DIV001</v>
      </c>
    </row>
    <row r="219" spans="1:24">
      <c r="A219" s="323" t="s">
        <v>112</v>
      </c>
      <c r="B219" s="4">
        <v>1.5</v>
      </c>
      <c r="C219" s="4">
        <f t="shared" si="61"/>
        <v>1.5</v>
      </c>
      <c r="F219" s="26" t="s">
        <v>118</v>
      </c>
      <c r="G219" s="26">
        <v>9</v>
      </c>
      <c r="H219" s="26" t="s">
        <v>131</v>
      </c>
      <c r="I219" s="26" t="s">
        <v>118</v>
      </c>
      <c r="J219" s="26">
        <v>1</v>
      </c>
      <c r="K219" s="26" t="s">
        <v>131</v>
      </c>
      <c r="L219" s="26"/>
      <c r="M219" s="26" t="str">
        <f t="shared" si="62"/>
        <v>Crêpe Nature</v>
      </c>
      <c r="N219" s="27" t="str">
        <f t="shared" si="57"/>
        <v>1,50 €</v>
      </c>
      <c r="O219">
        <v>1</v>
      </c>
      <c r="P219" s="2">
        <v>1</v>
      </c>
      <c r="Q219" s="2">
        <v>1</v>
      </c>
      <c r="R219" t="str">
        <f t="shared" si="54"/>
        <v>99CCFF</v>
      </c>
      <c r="S219" s="323" t="s">
        <v>273</v>
      </c>
      <c r="T219" t="str">
        <f t="shared" si="60"/>
        <v>Crêpe Nature</v>
      </c>
      <c r="V219" s="6" t="str">
        <f t="shared" si="58"/>
        <v>1,50 €</v>
      </c>
      <c r="X219" t="str">
        <f t="shared" si="59"/>
        <v>CRE-CRE001</v>
      </c>
    </row>
    <row r="220" spans="1:24">
      <c r="A220" s="323" t="s">
        <v>113</v>
      </c>
      <c r="B220" s="4">
        <v>2</v>
      </c>
      <c r="C220" s="4">
        <f t="shared" si="61"/>
        <v>2</v>
      </c>
      <c r="F220" s="26" t="s">
        <v>118</v>
      </c>
      <c r="G220" s="26">
        <v>9</v>
      </c>
      <c r="H220" s="26" t="s">
        <v>131</v>
      </c>
      <c r="I220" s="26" t="s">
        <v>118</v>
      </c>
      <c r="J220" s="26">
        <v>1</v>
      </c>
      <c r="K220" s="26" t="s">
        <v>131</v>
      </c>
      <c r="L220" s="26"/>
      <c r="M220" s="26" t="str">
        <f t="shared" si="62"/>
        <v>Crêpe Sucre</v>
      </c>
      <c r="N220" s="27" t="str">
        <f t="shared" si="57"/>
        <v>2,00 €</v>
      </c>
      <c r="O220">
        <v>2</v>
      </c>
      <c r="P220" s="2">
        <v>1</v>
      </c>
      <c r="Q220" s="2">
        <v>1</v>
      </c>
      <c r="R220" t="str">
        <f t="shared" si="54"/>
        <v>99CCFF</v>
      </c>
      <c r="S220" s="323" t="s">
        <v>273</v>
      </c>
      <c r="T220" t="str">
        <f t="shared" si="60"/>
        <v>Crêpe Sucre</v>
      </c>
      <c r="V220" s="6" t="str">
        <f t="shared" si="58"/>
        <v>2,00 €</v>
      </c>
      <c r="W220" s="6" t="s">
        <v>563</v>
      </c>
      <c r="X220" t="str">
        <f t="shared" si="59"/>
        <v>CRE-CRE002</v>
      </c>
    </row>
    <row r="221" spans="1:24">
      <c r="A221" s="323" t="s">
        <v>115</v>
      </c>
      <c r="B221" s="4">
        <v>2.2999999999999998</v>
      </c>
      <c r="C221" s="4">
        <f t="shared" si="61"/>
        <v>2.2999999999999998</v>
      </c>
      <c r="F221" s="26" t="s">
        <v>118</v>
      </c>
      <c r="G221" s="26">
        <v>9</v>
      </c>
      <c r="H221" s="26" t="s">
        <v>131</v>
      </c>
      <c r="I221" s="26" t="s">
        <v>118</v>
      </c>
      <c r="J221" s="26">
        <v>1</v>
      </c>
      <c r="K221" s="26" t="s">
        <v>131</v>
      </c>
      <c r="L221" s="26"/>
      <c r="M221" s="26" t="str">
        <f t="shared" si="62"/>
        <v>Crêpe Confiture</v>
      </c>
      <c r="N221" s="27" t="str">
        <f t="shared" si="57"/>
        <v>2,30 €</v>
      </c>
      <c r="O221">
        <v>3</v>
      </c>
      <c r="P221" s="2">
        <v>1</v>
      </c>
      <c r="Q221" s="2">
        <v>1</v>
      </c>
      <c r="R221" t="str">
        <f t="shared" si="54"/>
        <v>99CCFF</v>
      </c>
      <c r="S221" s="323" t="s">
        <v>273</v>
      </c>
      <c r="T221" t="str">
        <f t="shared" si="60"/>
        <v>Crêpe Confiture</v>
      </c>
      <c r="V221" s="6" t="str">
        <f t="shared" si="58"/>
        <v>2,30 €</v>
      </c>
      <c r="X221" t="str">
        <f t="shared" si="59"/>
        <v>CRE-CRE003</v>
      </c>
    </row>
    <row r="222" spans="1:24">
      <c r="A222" s="323" t="s">
        <v>116</v>
      </c>
      <c r="B222" s="4">
        <v>2.2999999999999998</v>
      </c>
      <c r="C222" s="4">
        <f t="shared" si="61"/>
        <v>2.2999999999999998</v>
      </c>
      <c r="F222" s="26" t="s">
        <v>118</v>
      </c>
      <c r="G222" s="26">
        <v>9</v>
      </c>
      <c r="H222" s="26" t="s">
        <v>131</v>
      </c>
      <c r="I222" s="26" t="s">
        <v>118</v>
      </c>
      <c r="J222" s="26">
        <v>1</v>
      </c>
      <c r="K222" s="26" t="s">
        <v>131</v>
      </c>
      <c r="L222" s="26"/>
      <c r="M222" s="26" t="str">
        <f t="shared" si="62"/>
        <v>Crêpe Miel</v>
      </c>
      <c r="N222" s="27" t="str">
        <f t="shared" si="57"/>
        <v>2,30 €</v>
      </c>
      <c r="O222">
        <v>4</v>
      </c>
      <c r="P222" s="2">
        <v>1</v>
      </c>
      <c r="Q222" s="2">
        <v>1</v>
      </c>
      <c r="R222" t="str">
        <f t="shared" si="54"/>
        <v>99CCFF</v>
      </c>
      <c r="S222" s="323" t="s">
        <v>273</v>
      </c>
      <c r="T222" t="str">
        <f t="shared" si="60"/>
        <v>Crêpe Miel</v>
      </c>
      <c r="V222" s="6" t="str">
        <f t="shared" si="58"/>
        <v>2,30 €</v>
      </c>
      <c r="X222" t="str">
        <f t="shared" si="59"/>
        <v>CRE-CRE004</v>
      </c>
    </row>
    <row r="223" spans="1:24">
      <c r="A223" s="323" t="s">
        <v>114</v>
      </c>
      <c r="B223" s="4">
        <v>2.5</v>
      </c>
      <c r="C223" s="4">
        <f t="shared" si="61"/>
        <v>2.5</v>
      </c>
      <c r="F223" s="26" t="s">
        <v>118</v>
      </c>
      <c r="G223" s="26">
        <v>9</v>
      </c>
      <c r="H223" s="26" t="s">
        <v>131</v>
      </c>
      <c r="I223" s="26" t="s">
        <v>118</v>
      </c>
      <c r="J223" s="26">
        <v>1</v>
      </c>
      <c r="K223" s="26" t="s">
        <v>131</v>
      </c>
      <c r="L223" s="26"/>
      <c r="M223" s="26" t="str">
        <f t="shared" si="62"/>
        <v>Crêpe Nutella</v>
      </c>
      <c r="N223" s="27" t="str">
        <f t="shared" si="57"/>
        <v>2,50 €</v>
      </c>
      <c r="O223">
        <v>5</v>
      </c>
      <c r="P223" s="2">
        <v>1</v>
      </c>
      <c r="Q223" s="2">
        <v>1</v>
      </c>
      <c r="R223" t="str">
        <f t="shared" si="54"/>
        <v>99CCFF</v>
      </c>
      <c r="S223" s="323" t="s">
        <v>273</v>
      </c>
      <c r="T223" t="str">
        <f t="shared" si="60"/>
        <v>Crêpe Nutella</v>
      </c>
      <c r="V223" s="6" t="str">
        <f t="shared" si="58"/>
        <v>2,50 €</v>
      </c>
      <c r="X223" t="str">
        <f t="shared" si="59"/>
        <v>CRE-CRE005</v>
      </c>
    </row>
    <row r="224" spans="1:24">
      <c r="A224" s="323" t="s">
        <v>15</v>
      </c>
      <c r="B224" s="4">
        <v>2</v>
      </c>
      <c r="C224" s="4">
        <f t="shared" si="61"/>
        <v>2</v>
      </c>
      <c r="F224" s="26" t="s">
        <v>118</v>
      </c>
      <c r="G224" s="26">
        <v>9</v>
      </c>
      <c r="H224" s="26" t="s">
        <v>131</v>
      </c>
      <c r="I224" s="26" t="s">
        <v>118</v>
      </c>
      <c r="J224" s="26">
        <v>1</v>
      </c>
      <c r="K224" s="26" t="s">
        <v>131</v>
      </c>
      <c r="L224" s="26"/>
      <c r="M224" s="26" t="str">
        <f t="shared" si="62"/>
        <v>Galette Nature</v>
      </c>
      <c r="N224" s="27" t="str">
        <f t="shared" si="57"/>
        <v>2,00 €</v>
      </c>
      <c r="O224">
        <v>6</v>
      </c>
      <c r="P224" s="2">
        <v>1</v>
      </c>
      <c r="Q224" s="2">
        <v>1</v>
      </c>
      <c r="R224" t="str">
        <f t="shared" si="54"/>
        <v>99CCFF</v>
      </c>
      <c r="S224" s="323" t="s">
        <v>273</v>
      </c>
      <c r="T224" t="str">
        <f t="shared" si="60"/>
        <v>Galette Nature</v>
      </c>
      <c r="V224" s="6" t="str">
        <f t="shared" si="58"/>
        <v>2,00 €</v>
      </c>
      <c r="X224" t="str">
        <f t="shared" si="59"/>
        <v>CRE-CRE006</v>
      </c>
    </row>
    <row r="225" spans="1:24">
      <c r="A225" s="323" t="s">
        <v>14</v>
      </c>
      <c r="B225" s="4">
        <v>4.5</v>
      </c>
      <c r="C225" s="4">
        <f t="shared" si="61"/>
        <v>4.5</v>
      </c>
      <c r="F225" s="26" t="s">
        <v>118</v>
      </c>
      <c r="G225" s="26">
        <v>9</v>
      </c>
      <c r="H225" s="26" t="s">
        <v>131</v>
      </c>
      <c r="I225" s="26" t="s">
        <v>118</v>
      </c>
      <c r="J225" s="26">
        <v>1</v>
      </c>
      <c r="K225" s="26" t="s">
        <v>131</v>
      </c>
      <c r="L225" s="26"/>
      <c r="M225" s="26" t="str">
        <f t="shared" si="62"/>
        <v>Galette Simple</v>
      </c>
      <c r="N225" s="27" t="str">
        <f t="shared" ref="N225:N233" si="63">IF(B225&lt;&gt;"",TEXT(B225,"0,00 €"),"")</f>
        <v>4,50 €</v>
      </c>
      <c r="O225">
        <v>7</v>
      </c>
      <c r="P225" s="2">
        <v>1</v>
      </c>
      <c r="Q225" s="2">
        <v>1</v>
      </c>
      <c r="R225" t="str">
        <f t="shared" si="54"/>
        <v>99CCFF</v>
      </c>
      <c r="S225" s="323" t="s">
        <v>273</v>
      </c>
      <c r="T225" t="str">
        <f t="shared" si="60"/>
        <v>Galette Simple</v>
      </c>
      <c r="V225" s="6" t="str">
        <f t="shared" ref="V225:V233" si="64">N225</f>
        <v>4,50 €</v>
      </c>
      <c r="X225" t="str">
        <f t="shared" si="59"/>
        <v>CRE-CRE007</v>
      </c>
    </row>
    <row r="226" spans="1:24">
      <c r="A226" s="323" t="s">
        <v>13</v>
      </c>
      <c r="B226" s="4">
        <v>5</v>
      </c>
      <c r="C226" s="4">
        <f t="shared" si="61"/>
        <v>5</v>
      </c>
      <c r="F226" s="26" t="s">
        <v>118</v>
      </c>
      <c r="G226" s="26">
        <v>9</v>
      </c>
      <c r="H226" s="26" t="s">
        <v>131</v>
      </c>
      <c r="I226" s="26" t="s">
        <v>118</v>
      </c>
      <c r="J226" s="26">
        <v>1</v>
      </c>
      <c r="K226" s="26" t="s">
        <v>131</v>
      </c>
      <c r="L226" s="26"/>
      <c r="M226" s="26" t="str">
        <f t="shared" si="62"/>
        <v>Galette Double</v>
      </c>
      <c r="N226" s="27" t="str">
        <f t="shared" si="63"/>
        <v>5,00 €</v>
      </c>
      <c r="O226">
        <v>8</v>
      </c>
      <c r="P226" s="2">
        <v>1</v>
      </c>
      <c r="Q226" s="2">
        <v>1</v>
      </c>
      <c r="R226" t="str">
        <f t="shared" si="54"/>
        <v>99CCFF</v>
      </c>
      <c r="S226" s="323" t="s">
        <v>273</v>
      </c>
      <c r="T226" t="str">
        <f t="shared" si="60"/>
        <v>Galette Double</v>
      </c>
      <c r="V226" s="6" t="str">
        <f t="shared" si="64"/>
        <v>5,00 €</v>
      </c>
      <c r="X226" t="str">
        <f t="shared" si="59"/>
        <v>CRE-CRE008</v>
      </c>
    </row>
    <row r="227" spans="1:24">
      <c r="A227" s="323" t="s">
        <v>26</v>
      </c>
      <c r="B227" s="4">
        <v>5.5</v>
      </c>
      <c r="C227" s="4">
        <f t="shared" si="61"/>
        <v>5.5</v>
      </c>
      <c r="F227" s="26" t="s">
        <v>118</v>
      </c>
      <c r="G227" s="26">
        <v>9</v>
      </c>
      <c r="H227" s="26" t="s">
        <v>131</v>
      </c>
      <c r="I227" s="26" t="s">
        <v>118</v>
      </c>
      <c r="J227" s="26">
        <v>1</v>
      </c>
      <c r="K227" s="26" t="s">
        <v>131</v>
      </c>
      <c r="L227" s="26"/>
      <c r="M227" s="26" t="str">
        <f t="shared" si="62"/>
        <v>Galette Complète</v>
      </c>
      <c r="N227" s="27" t="str">
        <f t="shared" si="63"/>
        <v>5,50 €</v>
      </c>
      <c r="O227">
        <v>9</v>
      </c>
      <c r="P227" s="2">
        <v>1</v>
      </c>
      <c r="Q227" s="2">
        <v>1</v>
      </c>
      <c r="R227" t="str">
        <f t="shared" si="54"/>
        <v>99CCFF</v>
      </c>
      <c r="S227" s="323" t="s">
        <v>273</v>
      </c>
      <c r="T227" t="str">
        <f t="shared" si="60"/>
        <v>Galette Complète</v>
      </c>
      <c r="V227" s="6" t="str">
        <f t="shared" si="64"/>
        <v>5,50 €</v>
      </c>
      <c r="W227" s="6" t="s">
        <v>562</v>
      </c>
      <c r="X227" t="str">
        <f t="shared" si="59"/>
        <v>CRE-CRE009</v>
      </c>
    </row>
    <row r="228" spans="1:24">
      <c r="A228" s="323" t="s">
        <v>845</v>
      </c>
      <c r="B228" s="4">
        <v>0</v>
      </c>
      <c r="C228" s="4">
        <f t="shared" si="61"/>
        <v>0</v>
      </c>
      <c r="F228" s="26" t="s">
        <v>118</v>
      </c>
      <c r="G228" s="26">
        <v>9</v>
      </c>
      <c r="H228" s="26" t="s">
        <v>131</v>
      </c>
      <c r="I228" s="303" t="s">
        <v>306</v>
      </c>
      <c r="J228" s="303">
        <v>2</v>
      </c>
      <c r="K228" s="303" t="s">
        <v>124</v>
      </c>
      <c r="L228" s="303"/>
      <c r="M228" s="303" t="str">
        <f t="shared" si="62"/>
        <v>Divers Crêperie</v>
      </c>
      <c r="N228" s="304" t="str">
        <f t="shared" si="63"/>
        <v>0,00 €</v>
      </c>
      <c r="O228">
        <v>10</v>
      </c>
      <c r="P228" s="302">
        <v>1</v>
      </c>
      <c r="Q228" s="302">
        <v>0</v>
      </c>
      <c r="R228" t="str">
        <f t="shared" si="54"/>
        <v>DBDCF2</v>
      </c>
      <c r="T228" t="str">
        <f t="shared" si="60"/>
        <v>Divers Crêperie</v>
      </c>
      <c r="V228" s="6" t="str">
        <f t="shared" si="64"/>
        <v>0,00 €</v>
      </c>
      <c r="X228" t="str">
        <f t="shared" si="59"/>
        <v>CRE-DIV010</v>
      </c>
    </row>
    <row r="229" spans="1:24">
      <c r="A229" s="323" t="s">
        <v>593</v>
      </c>
      <c r="B229" s="4">
        <v>0</v>
      </c>
      <c r="C229" s="4">
        <f t="shared" si="61"/>
        <v>0</v>
      </c>
      <c r="F229" s="26" t="s">
        <v>306</v>
      </c>
      <c r="G229" s="26">
        <v>10</v>
      </c>
      <c r="H229" s="26" t="s">
        <v>124</v>
      </c>
      <c r="I229" s="26" t="s">
        <v>306</v>
      </c>
      <c r="J229" s="26">
        <v>1</v>
      </c>
      <c r="K229" s="26" t="s">
        <v>124</v>
      </c>
      <c r="L229" s="26"/>
      <c r="M229" s="26" t="str">
        <f t="shared" si="62"/>
        <v>Beurre</v>
      </c>
      <c r="N229" s="27" t="str">
        <f t="shared" si="63"/>
        <v>0,00 €</v>
      </c>
      <c r="O229">
        <v>11</v>
      </c>
      <c r="P229" s="2">
        <v>0</v>
      </c>
      <c r="Q229" s="2">
        <v>0</v>
      </c>
      <c r="R229" t="str">
        <f t="shared" si="54"/>
        <v>99CCFF</v>
      </c>
      <c r="T229" t="str">
        <f t="shared" si="60"/>
        <v>Beurre</v>
      </c>
      <c r="V229" s="6" t="str">
        <f t="shared" si="64"/>
        <v>0,00 €</v>
      </c>
      <c r="W229" s="6" t="s">
        <v>598</v>
      </c>
      <c r="X229" t="str">
        <f t="shared" si="59"/>
        <v>DIV-DIV011</v>
      </c>
    </row>
    <row r="230" spans="1:24">
      <c r="A230" s="323" t="s">
        <v>594</v>
      </c>
      <c r="B230" s="4">
        <v>0</v>
      </c>
      <c r="C230" s="4">
        <f t="shared" si="61"/>
        <v>0</v>
      </c>
      <c r="F230" s="26" t="s">
        <v>306</v>
      </c>
      <c r="G230" s="26">
        <v>10</v>
      </c>
      <c r="H230" s="26" t="s">
        <v>124</v>
      </c>
      <c r="I230" s="26" t="s">
        <v>306</v>
      </c>
      <c r="J230" s="26">
        <v>1</v>
      </c>
      <c r="K230" s="26" t="s">
        <v>124</v>
      </c>
      <c r="L230" s="26"/>
      <c r="M230" s="26" t="str">
        <f t="shared" si="62"/>
        <v>Faine</v>
      </c>
      <c r="N230" s="27" t="str">
        <f t="shared" si="63"/>
        <v>0,00 €</v>
      </c>
      <c r="O230">
        <v>12</v>
      </c>
      <c r="P230" s="2">
        <v>0</v>
      </c>
      <c r="Q230" s="2">
        <v>0</v>
      </c>
      <c r="R230" t="str">
        <f t="shared" si="54"/>
        <v>99CCFF</v>
      </c>
      <c r="T230" t="str">
        <f t="shared" si="60"/>
        <v>Faine</v>
      </c>
      <c r="V230" s="6" t="str">
        <f t="shared" si="64"/>
        <v>0,00 €</v>
      </c>
      <c r="X230" t="str">
        <f t="shared" si="59"/>
        <v>DIV-DIV012</v>
      </c>
    </row>
    <row r="231" spans="1:24">
      <c r="A231" s="323" t="s">
        <v>597</v>
      </c>
      <c r="B231" s="4">
        <v>0</v>
      </c>
      <c r="C231" s="4">
        <f t="shared" si="61"/>
        <v>0</v>
      </c>
      <c r="F231" s="26" t="s">
        <v>306</v>
      </c>
      <c r="G231" s="26">
        <v>10</v>
      </c>
      <c r="H231" s="26" t="s">
        <v>124</v>
      </c>
      <c r="I231" s="26" t="s">
        <v>306</v>
      </c>
      <c r="J231" s="26">
        <v>1</v>
      </c>
      <c r="K231" s="26" t="s">
        <v>124</v>
      </c>
      <c r="L231" s="26"/>
      <c r="M231" s="26" t="str">
        <f t="shared" si="62"/>
        <v>Levure</v>
      </c>
      <c r="N231" s="27" t="str">
        <f t="shared" si="63"/>
        <v>0,00 €</v>
      </c>
      <c r="O231">
        <v>13</v>
      </c>
      <c r="P231" s="2">
        <v>0</v>
      </c>
      <c r="Q231" s="2">
        <v>0</v>
      </c>
      <c r="R231" t="str">
        <f t="shared" si="54"/>
        <v>99CCFF</v>
      </c>
      <c r="T231" t="str">
        <f t="shared" si="60"/>
        <v>Levure</v>
      </c>
      <c r="V231" s="6" t="str">
        <f t="shared" si="64"/>
        <v>0,00 €</v>
      </c>
      <c r="X231" t="str">
        <f t="shared" si="59"/>
        <v>DIV-DIV013</v>
      </c>
    </row>
    <row r="232" spans="1:24">
      <c r="A232" s="323" t="s">
        <v>596</v>
      </c>
      <c r="B232" s="4">
        <v>0</v>
      </c>
      <c r="C232" s="4">
        <f t="shared" si="61"/>
        <v>0</v>
      </c>
      <c r="F232" s="26" t="s">
        <v>306</v>
      </c>
      <c r="G232" s="26">
        <v>10</v>
      </c>
      <c r="H232" s="26" t="s">
        <v>124</v>
      </c>
      <c r="I232" s="26" t="s">
        <v>306</v>
      </c>
      <c r="J232" s="26">
        <v>1</v>
      </c>
      <c r="K232" s="26" t="s">
        <v>124</v>
      </c>
      <c r="L232" s="26"/>
      <c r="M232" s="26" t="str">
        <f t="shared" si="62"/>
        <v>Pate à brioche</v>
      </c>
      <c r="N232" s="27" t="str">
        <f t="shared" si="63"/>
        <v>0,00 €</v>
      </c>
      <c r="O232">
        <v>14</v>
      </c>
      <c r="P232" s="2">
        <v>0</v>
      </c>
      <c r="Q232" s="2">
        <v>0</v>
      </c>
      <c r="R232" t="str">
        <f t="shared" si="54"/>
        <v>99CCFF</v>
      </c>
      <c r="T232" t="str">
        <f t="shared" si="60"/>
        <v>Pate à brioche</v>
      </c>
      <c r="V232" s="6" t="str">
        <f t="shared" si="64"/>
        <v>0,00 €</v>
      </c>
      <c r="X232" t="str">
        <f t="shared" si="59"/>
        <v>DIV-DIV014</v>
      </c>
    </row>
    <row r="233" spans="1:24">
      <c r="A233" s="323" t="s">
        <v>595</v>
      </c>
      <c r="B233" s="4">
        <v>0</v>
      </c>
      <c r="C233" s="4">
        <f t="shared" si="61"/>
        <v>0</v>
      </c>
      <c r="F233" s="26" t="s">
        <v>306</v>
      </c>
      <c r="G233" s="26">
        <v>10</v>
      </c>
      <c r="H233" s="26" t="s">
        <v>124</v>
      </c>
      <c r="I233" s="26" t="s">
        <v>306</v>
      </c>
      <c r="J233" s="26">
        <v>1</v>
      </c>
      <c r="K233" s="26" t="s">
        <v>124</v>
      </c>
      <c r="L233" s="26"/>
      <c r="M233" s="26" t="str">
        <f t="shared" si="62"/>
        <v>Sucre</v>
      </c>
      <c r="N233" s="27" t="str">
        <f t="shared" si="63"/>
        <v>0,00 €</v>
      </c>
      <c r="O233">
        <v>15</v>
      </c>
      <c r="P233" s="2">
        <v>0</v>
      </c>
      <c r="Q233" s="2">
        <v>0</v>
      </c>
      <c r="R233" t="str">
        <f t="shared" si="54"/>
        <v>99CCFF</v>
      </c>
      <c r="T233" t="str">
        <f t="shared" si="60"/>
        <v>Sucre</v>
      </c>
      <c r="V233" s="6" t="str">
        <f t="shared" si="64"/>
        <v>0,00 €</v>
      </c>
      <c r="X233" t="str">
        <f t="shared" si="59"/>
        <v>DIV-DIV015</v>
      </c>
    </row>
    <row r="237" spans="1:24">
      <c r="C237" s="380"/>
    </row>
  </sheetData>
  <autoFilter ref="A1:Y224"/>
  <sortState ref="A1:Y170">
    <sortCondition ref="G2:G170"/>
    <sortCondition ref="J2:J170"/>
    <sortCondition ref="O2:O170"/>
    <sortCondition ref="A2:A170"/>
  </sortState>
  <phoneticPr fontId="22" type="noConversion"/>
  <hyperlinks>
    <hyperlink ref="AB1" location="Produits!Z1" display="Exporter produis PDF"/>
  </hyperlinks>
  <printOptions gridLines="1"/>
  <pageMargins left="0.70866141732283472" right="0.70866141732283472" top="0.74803149606299213" bottom="0.74803149606299213" header="0.31496062992125984" footer="0.31496062992125984"/>
  <pageSetup paperSize="9" scale="72" fitToHeight="0" orientation="landscape" r:id="rId1"/>
  <headerFooter>
    <oddHeader>&amp;CListe des produits</oddHeader>
    <oddFooter>&amp;L&amp;D&amp;C&amp;F&amp;RPage &amp;P de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H16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baseColWidth="10" defaultRowHeight="14.5"/>
  <cols>
    <col min="1" max="1" width="19.26953125" customWidth="1"/>
    <col min="2" max="2" width="36.26953125" customWidth="1"/>
    <col min="3" max="3" width="10.26953125" bestFit="1" customWidth="1"/>
    <col min="4" max="4" width="9.54296875" bestFit="1" customWidth="1"/>
    <col min="5" max="5" width="11" bestFit="1" customWidth="1"/>
    <col min="6" max="6" width="12.81640625" bestFit="1" customWidth="1"/>
    <col min="7" max="7" width="9.81640625" bestFit="1" customWidth="1"/>
    <col min="8" max="8" width="5.81640625" bestFit="1" customWidth="1"/>
  </cols>
  <sheetData>
    <row r="1" spans="1:8" ht="33" customHeight="1">
      <c r="A1" s="305" t="s">
        <v>111</v>
      </c>
      <c r="B1" s="305" t="s">
        <v>386</v>
      </c>
      <c r="C1" s="305" t="s">
        <v>846</v>
      </c>
      <c r="D1" s="305" t="s">
        <v>847</v>
      </c>
      <c r="E1" s="305" t="s">
        <v>848</v>
      </c>
      <c r="F1" s="305" t="s">
        <v>849</v>
      </c>
      <c r="G1" s="305" t="s">
        <v>850</v>
      </c>
      <c r="H1" s="305" t="s">
        <v>851</v>
      </c>
    </row>
    <row r="2" spans="1:8">
      <c r="A2">
        <v>1</v>
      </c>
      <c r="B2" t="s">
        <v>17</v>
      </c>
      <c r="C2">
        <v>1.1499999999999999</v>
      </c>
      <c r="D2">
        <v>1</v>
      </c>
      <c r="F2">
        <v>1</v>
      </c>
      <c r="G2">
        <v>0</v>
      </c>
      <c r="H2">
        <v>0</v>
      </c>
    </row>
    <row r="3" spans="1:8">
      <c r="A3">
        <v>1</v>
      </c>
      <c r="B3" t="s">
        <v>23</v>
      </c>
      <c r="C3">
        <v>1.35</v>
      </c>
      <c r="D3">
        <v>1</v>
      </c>
      <c r="F3">
        <v>1</v>
      </c>
      <c r="G3">
        <v>0</v>
      </c>
      <c r="H3">
        <v>0</v>
      </c>
    </row>
    <row r="4" spans="1:8">
      <c r="A4">
        <v>1</v>
      </c>
      <c r="B4" t="s">
        <v>90</v>
      </c>
      <c r="C4">
        <v>0.6</v>
      </c>
      <c r="D4">
        <v>1</v>
      </c>
      <c r="F4">
        <v>1</v>
      </c>
      <c r="G4">
        <v>0</v>
      </c>
      <c r="H4">
        <v>0</v>
      </c>
    </row>
    <row r="5" spans="1:8">
      <c r="A5">
        <v>1</v>
      </c>
      <c r="B5" t="s">
        <v>24</v>
      </c>
      <c r="C5">
        <v>1.35</v>
      </c>
      <c r="D5">
        <v>1</v>
      </c>
      <c r="F5">
        <v>1</v>
      </c>
      <c r="G5">
        <v>0</v>
      </c>
      <c r="H5">
        <v>0</v>
      </c>
    </row>
    <row r="6" spans="1:8">
      <c r="A6">
        <v>1</v>
      </c>
      <c r="B6" t="s">
        <v>311</v>
      </c>
      <c r="C6">
        <v>2.2999999999999998</v>
      </c>
      <c r="D6">
        <v>1</v>
      </c>
      <c r="F6">
        <v>1</v>
      </c>
      <c r="G6">
        <v>0</v>
      </c>
      <c r="H6">
        <v>0</v>
      </c>
    </row>
    <row r="7" spans="1:8">
      <c r="A7">
        <v>1</v>
      </c>
      <c r="B7" t="s">
        <v>22</v>
      </c>
      <c r="C7">
        <v>1.35</v>
      </c>
      <c r="D7">
        <v>1</v>
      </c>
      <c r="F7">
        <v>1</v>
      </c>
      <c r="G7">
        <v>0</v>
      </c>
      <c r="H7">
        <v>0</v>
      </c>
    </row>
    <row r="8" spans="1:8">
      <c r="A8">
        <v>1</v>
      </c>
      <c r="B8" t="s">
        <v>310</v>
      </c>
      <c r="C8">
        <v>0.6</v>
      </c>
      <c r="D8">
        <v>1</v>
      </c>
      <c r="F8">
        <v>1</v>
      </c>
      <c r="G8">
        <v>0</v>
      </c>
      <c r="H8">
        <v>0</v>
      </c>
    </row>
    <row r="9" spans="1:8">
      <c r="A9">
        <v>1</v>
      </c>
      <c r="B9" t="s">
        <v>88</v>
      </c>
      <c r="C9">
        <v>1.5</v>
      </c>
      <c r="D9">
        <v>1</v>
      </c>
      <c r="F9">
        <v>1</v>
      </c>
      <c r="G9">
        <v>0</v>
      </c>
      <c r="H9">
        <v>0</v>
      </c>
    </row>
    <row r="10" spans="1:8">
      <c r="A10">
        <v>1</v>
      </c>
      <c r="B10" t="s">
        <v>25</v>
      </c>
      <c r="C10">
        <v>0.95</v>
      </c>
      <c r="D10">
        <v>1</v>
      </c>
      <c r="F10">
        <v>1</v>
      </c>
      <c r="G10">
        <v>0</v>
      </c>
      <c r="H10">
        <v>0</v>
      </c>
    </row>
    <row r="11" spans="1:8">
      <c r="A11">
        <v>1</v>
      </c>
      <c r="B11" t="s">
        <v>21</v>
      </c>
      <c r="C11">
        <v>0.7</v>
      </c>
      <c r="D11">
        <v>1</v>
      </c>
      <c r="F11">
        <v>1</v>
      </c>
      <c r="G11">
        <v>0</v>
      </c>
      <c r="H11">
        <v>0</v>
      </c>
    </row>
    <row r="12" spans="1:8">
      <c r="A12">
        <v>1</v>
      </c>
      <c r="B12" t="s">
        <v>312</v>
      </c>
      <c r="C12">
        <v>2.75</v>
      </c>
      <c r="D12">
        <v>1</v>
      </c>
      <c r="F12">
        <v>1</v>
      </c>
      <c r="G12">
        <v>0</v>
      </c>
      <c r="H12">
        <v>0</v>
      </c>
    </row>
    <row r="13" spans="1:8">
      <c r="A13">
        <v>1</v>
      </c>
      <c r="B13" t="s">
        <v>313</v>
      </c>
      <c r="C13">
        <v>5</v>
      </c>
      <c r="D13">
        <v>1</v>
      </c>
      <c r="F13">
        <v>1</v>
      </c>
      <c r="G13">
        <v>0</v>
      </c>
      <c r="H13">
        <v>0</v>
      </c>
    </row>
    <row r="14" spans="1:8">
      <c r="A14">
        <v>1</v>
      </c>
      <c r="B14" t="s">
        <v>314</v>
      </c>
      <c r="C14">
        <v>2.2999999999999998</v>
      </c>
      <c r="D14">
        <v>1</v>
      </c>
      <c r="F14">
        <v>1</v>
      </c>
      <c r="G14">
        <v>0</v>
      </c>
      <c r="H14">
        <v>0</v>
      </c>
    </row>
    <row r="15" spans="1:8">
      <c r="A15">
        <v>1</v>
      </c>
      <c r="B15" t="s">
        <v>315</v>
      </c>
      <c r="C15">
        <v>2.6</v>
      </c>
      <c r="D15">
        <v>1</v>
      </c>
      <c r="F15">
        <v>1</v>
      </c>
      <c r="G15">
        <v>0</v>
      </c>
      <c r="H15">
        <v>0</v>
      </c>
    </row>
    <row r="16" spans="1:8">
      <c r="A16">
        <v>1</v>
      </c>
      <c r="B16" t="s">
        <v>316</v>
      </c>
      <c r="C16">
        <v>2.85</v>
      </c>
      <c r="D16">
        <v>1</v>
      </c>
      <c r="F16">
        <v>1</v>
      </c>
      <c r="G16">
        <v>0</v>
      </c>
      <c r="H16">
        <v>0</v>
      </c>
    </row>
    <row r="17" spans="1:8">
      <c r="A17">
        <v>1</v>
      </c>
      <c r="B17" t="s">
        <v>317</v>
      </c>
      <c r="C17">
        <v>1.6</v>
      </c>
      <c r="D17">
        <v>1</v>
      </c>
      <c r="F17">
        <v>1</v>
      </c>
      <c r="G17">
        <v>0</v>
      </c>
      <c r="H17">
        <v>0</v>
      </c>
    </row>
    <row r="18" spans="1:8">
      <c r="A18">
        <v>1</v>
      </c>
      <c r="B18" t="s">
        <v>318</v>
      </c>
      <c r="C18">
        <v>2.2999999999999998</v>
      </c>
      <c r="D18">
        <v>1</v>
      </c>
      <c r="F18">
        <v>1</v>
      </c>
      <c r="G18">
        <v>0</v>
      </c>
      <c r="H18">
        <v>0</v>
      </c>
    </row>
    <row r="19" spans="1:8">
      <c r="A19">
        <v>1</v>
      </c>
      <c r="B19" t="s">
        <v>319</v>
      </c>
      <c r="C19">
        <v>2.6</v>
      </c>
      <c r="D19">
        <v>1</v>
      </c>
      <c r="F19">
        <v>1</v>
      </c>
      <c r="G19">
        <v>0</v>
      </c>
      <c r="H19">
        <v>0</v>
      </c>
    </row>
    <row r="20" spans="1:8">
      <c r="A20">
        <v>1</v>
      </c>
      <c r="B20" t="s">
        <v>901</v>
      </c>
      <c r="C20">
        <v>2.8</v>
      </c>
      <c r="D20">
        <v>1</v>
      </c>
      <c r="F20">
        <v>1</v>
      </c>
      <c r="G20">
        <v>0</v>
      </c>
      <c r="H20">
        <v>0</v>
      </c>
    </row>
    <row r="21" spans="1:8">
      <c r="A21">
        <v>1</v>
      </c>
      <c r="B21" t="s">
        <v>320</v>
      </c>
      <c r="C21">
        <v>2.8</v>
      </c>
      <c r="D21">
        <v>1</v>
      </c>
      <c r="F21">
        <v>1</v>
      </c>
      <c r="G21">
        <v>0</v>
      </c>
      <c r="H21">
        <v>0</v>
      </c>
    </row>
    <row r="22" spans="1:8">
      <c r="A22">
        <v>1</v>
      </c>
      <c r="B22" t="s">
        <v>902</v>
      </c>
      <c r="C22">
        <v>3</v>
      </c>
      <c r="D22">
        <v>1</v>
      </c>
      <c r="F22">
        <v>1</v>
      </c>
      <c r="G22">
        <v>0</v>
      </c>
      <c r="H22">
        <v>0</v>
      </c>
    </row>
    <row r="23" spans="1:8">
      <c r="A23">
        <v>1</v>
      </c>
      <c r="B23" t="s">
        <v>910</v>
      </c>
      <c r="C23">
        <v>0.65</v>
      </c>
      <c r="D23">
        <v>1</v>
      </c>
      <c r="F23">
        <v>1</v>
      </c>
      <c r="G23">
        <v>0</v>
      </c>
      <c r="H23">
        <v>0</v>
      </c>
    </row>
    <row r="24" spans="1:8">
      <c r="A24">
        <v>1</v>
      </c>
      <c r="B24" t="s">
        <v>300</v>
      </c>
      <c r="C24">
        <v>0.65</v>
      </c>
      <c r="D24">
        <v>1</v>
      </c>
      <c r="F24">
        <v>1</v>
      </c>
      <c r="G24">
        <v>0</v>
      </c>
      <c r="H24">
        <v>0</v>
      </c>
    </row>
    <row r="25" spans="1:8">
      <c r="A25">
        <v>1</v>
      </c>
      <c r="B25" t="s">
        <v>89</v>
      </c>
      <c r="C25">
        <v>1.5</v>
      </c>
      <c r="D25">
        <v>1</v>
      </c>
      <c r="F25">
        <v>1</v>
      </c>
      <c r="G25">
        <v>0</v>
      </c>
      <c r="H25">
        <v>0</v>
      </c>
    </row>
    <row r="26" spans="1:8">
      <c r="A26">
        <v>1</v>
      </c>
      <c r="B26" t="s">
        <v>840</v>
      </c>
      <c r="C26">
        <v>0</v>
      </c>
      <c r="D26">
        <v>1</v>
      </c>
      <c r="F26">
        <v>1</v>
      </c>
      <c r="G26">
        <v>0</v>
      </c>
      <c r="H26">
        <v>0</v>
      </c>
    </row>
    <row r="27" spans="1:8">
      <c r="A27">
        <v>2</v>
      </c>
      <c r="B27" t="s">
        <v>387</v>
      </c>
      <c r="C27">
        <v>1.05</v>
      </c>
      <c r="D27">
        <v>1</v>
      </c>
      <c r="F27">
        <v>1</v>
      </c>
      <c r="G27">
        <v>0</v>
      </c>
      <c r="H27">
        <v>0</v>
      </c>
    </row>
    <row r="28" spans="1:8">
      <c r="A28">
        <v>2</v>
      </c>
      <c r="B28" t="s">
        <v>284</v>
      </c>
      <c r="C28">
        <v>1</v>
      </c>
      <c r="D28">
        <v>1</v>
      </c>
      <c r="F28">
        <v>1</v>
      </c>
      <c r="G28">
        <v>0</v>
      </c>
      <c r="H28">
        <v>0</v>
      </c>
    </row>
    <row r="29" spans="1:8">
      <c r="A29">
        <v>2</v>
      </c>
      <c r="B29" t="s">
        <v>285</v>
      </c>
      <c r="C29">
        <v>1.5</v>
      </c>
      <c r="D29">
        <v>1</v>
      </c>
      <c r="F29">
        <v>1</v>
      </c>
      <c r="G29">
        <v>0</v>
      </c>
      <c r="H29">
        <v>0</v>
      </c>
    </row>
    <row r="30" spans="1:8">
      <c r="A30">
        <v>2</v>
      </c>
      <c r="B30" t="s">
        <v>286</v>
      </c>
      <c r="C30">
        <v>1.1499999999999999</v>
      </c>
      <c r="D30">
        <v>1</v>
      </c>
      <c r="F30">
        <v>1</v>
      </c>
      <c r="G30">
        <v>0</v>
      </c>
      <c r="H30">
        <v>0</v>
      </c>
    </row>
    <row r="31" spans="1:8">
      <c r="A31">
        <v>2</v>
      </c>
      <c r="B31" t="s">
        <v>207</v>
      </c>
      <c r="C31">
        <v>1.5</v>
      </c>
      <c r="D31">
        <v>1</v>
      </c>
      <c r="F31">
        <v>1</v>
      </c>
      <c r="G31">
        <v>0</v>
      </c>
      <c r="H31">
        <v>0</v>
      </c>
    </row>
    <row r="32" spans="1:8">
      <c r="A32">
        <v>2</v>
      </c>
      <c r="B32" t="s">
        <v>283</v>
      </c>
      <c r="C32">
        <v>1.45</v>
      </c>
      <c r="D32">
        <v>1</v>
      </c>
      <c r="F32">
        <v>1</v>
      </c>
      <c r="G32">
        <v>0</v>
      </c>
      <c r="H32">
        <v>0</v>
      </c>
    </row>
    <row r="33" spans="1:8">
      <c r="A33">
        <v>2</v>
      </c>
      <c r="B33" t="s">
        <v>288</v>
      </c>
      <c r="C33">
        <v>1.45</v>
      </c>
      <c r="D33">
        <v>1</v>
      </c>
      <c r="F33">
        <v>1</v>
      </c>
      <c r="G33">
        <v>0</v>
      </c>
      <c r="H33">
        <v>0</v>
      </c>
    </row>
    <row r="34" spans="1:8">
      <c r="A34">
        <v>2</v>
      </c>
      <c r="B34" t="s">
        <v>289</v>
      </c>
      <c r="C34">
        <v>1.2</v>
      </c>
      <c r="D34">
        <v>1</v>
      </c>
      <c r="F34">
        <v>1</v>
      </c>
      <c r="G34">
        <v>0</v>
      </c>
      <c r="H34">
        <v>0</v>
      </c>
    </row>
    <row r="35" spans="1:8">
      <c r="A35">
        <v>2</v>
      </c>
      <c r="B35" t="s">
        <v>1896</v>
      </c>
      <c r="C35">
        <v>1.4</v>
      </c>
      <c r="D35">
        <v>1</v>
      </c>
      <c r="F35">
        <v>1</v>
      </c>
      <c r="G35">
        <v>0</v>
      </c>
      <c r="H35">
        <v>0</v>
      </c>
    </row>
    <row r="36" spans="1:8">
      <c r="A36">
        <v>2</v>
      </c>
      <c r="B36" t="s">
        <v>388</v>
      </c>
      <c r="C36">
        <v>0.25</v>
      </c>
      <c r="D36">
        <v>1</v>
      </c>
      <c r="F36">
        <v>1</v>
      </c>
      <c r="G36">
        <v>0</v>
      </c>
      <c r="H36">
        <v>0</v>
      </c>
    </row>
    <row r="37" spans="1:8">
      <c r="A37">
        <v>2</v>
      </c>
      <c r="B37" t="s">
        <v>291</v>
      </c>
      <c r="C37">
        <v>0.55000000000000004</v>
      </c>
      <c r="D37">
        <v>1</v>
      </c>
      <c r="F37">
        <v>1</v>
      </c>
      <c r="G37">
        <v>0</v>
      </c>
      <c r="H37">
        <v>0</v>
      </c>
    </row>
    <row r="38" spans="1:8">
      <c r="A38">
        <v>2</v>
      </c>
      <c r="B38" t="s">
        <v>296</v>
      </c>
      <c r="C38">
        <v>1.5</v>
      </c>
      <c r="D38">
        <v>1</v>
      </c>
      <c r="F38">
        <v>1</v>
      </c>
      <c r="G38">
        <v>0</v>
      </c>
      <c r="H38">
        <v>0</v>
      </c>
    </row>
    <row r="39" spans="1:8">
      <c r="A39">
        <v>2</v>
      </c>
      <c r="B39" t="s">
        <v>290</v>
      </c>
      <c r="C39">
        <v>1.35</v>
      </c>
      <c r="D39">
        <v>1</v>
      </c>
      <c r="F39">
        <v>1</v>
      </c>
      <c r="G39">
        <v>0</v>
      </c>
      <c r="H39">
        <v>0</v>
      </c>
    </row>
    <row r="40" spans="1:8">
      <c r="A40">
        <v>2</v>
      </c>
      <c r="B40" t="s">
        <v>1277</v>
      </c>
      <c r="C40">
        <v>1.35</v>
      </c>
      <c r="D40">
        <v>1</v>
      </c>
      <c r="F40">
        <v>1</v>
      </c>
      <c r="G40">
        <v>0</v>
      </c>
      <c r="H40">
        <v>0</v>
      </c>
    </row>
    <row r="41" spans="1:8">
      <c r="A41">
        <v>2</v>
      </c>
      <c r="B41" t="s">
        <v>294</v>
      </c>
      <c r="C41">
        <v>1.45</v>
      </c>
      <c r="D41">
        <v>1</v>
      </c>
      <c r="F41">
        <v>1</v>
      </c>
      <c r="G41">
        <v>0</v>
      </c>
      <c r="H41">
        <v>0</v>
      </c>
    </row>
    <row r="42" spans="1:8">
      <c r="A42">
        <v>2</v>
      </c>
      <c r="B42" t="s">
        <v>293</v>
      </c>
      <c r="C42">
        <v>4</v>
      </c>
      <c r="D42">
        <v>1</v>
      </c>
      <c r="F42">
        <v>1</v>
      </c>
      <c r="G42">
        <v>0</v>
      </c>
      <c r="H42">
        <v>0</v>
      </c>
    </row>
    <row r="43" spans="1:8">
      <c r="A43">
        <v>2</v>
      </c>
      <c r="B43" t="s">
        <v>295</v>
      </c>
      <c r="C43">
        <v>0.65</v>
      </c>
      <c r="D43">
        <v>1</v>
      </c>
      <c r="F43">
        <v>1</v>
      </c>
      <c r="G43">
        <v>0</v>
      </c>
      <c r="H43">
        <v>0</v>
      </c>
    </row>
    <row r="44" spans="1:8">
      <c r="A44">
        <v>2</v>
      </c>
      <c r="B44" t="s">
        <v>399</v>
      </c>
      <c r="C44">
        <v>1.2</v>
      </c>
      <c r="D44">
        <v>1</v>
      </c>
      <c r="F44">
        <v>1</v>
      </c>
      <c r="G44">
        <v>0</v>
      </c>
      <c r="H44">
        <v>0</v>
      </c>
    </row>
    <row r="45" spans="1:8">
      <c r="A45">
        <v>2</v>
      </c>
      <c r="B45" t="s">
        <v>395</v>
      </c>
      <c r="C45">
        <v>2.2999999999999998</v>
      </c>
      <c r="D45">
        <v>1</v>
      </c>
      <c r="F45">
        <v>1</v>
      </c>
      <c r="G45">
        <v>0</v>
      </c>
      <c r="H45">
        <v>0</v>
      </c>
    </row>
    <row r="46" spans="1:8">
      <c r="A46">
        <v>2</v>
      </c>
      <c r="B46" t="s">
        <v>3</v>
      </c>
      <c r="C46">
        <v>2.2999999999999998</v>
      </c>
      <c r="D46">
        <v>1</v>
      </c>
      <c r="F46">
        <v>1</v>
      </c>
      <c r="G46">
        <v>0</v>
      </c>
      <c r="H46">
        <v>0</v>
      </c>
    </row>
    <row r="47" spans="1:8">
      <c r="A47">
        <v>2</v>
      </c>
      <c r="B47" t="s">
        <v>389</v>
      </c>
      <c r="C47">
        <v>3.9</v>
      </c>
      <c r="D47">
        <v>1</v>
      </c>
      <c r="F47">
        <v>1</v>
      </c>
      <c r="G47">
        <v>0</v>
      </c>
      <c r="H47">
        <v>0</v>
      </c>
    </row>
    <row r="48" spans="1:8">
      <c r="A48">
        <v>2</v>
      </c>
      <c r="B48" t="s">
        <v>397</v>
      </c>
      <c r="C48">
        <v>2</v>
      </c>
      <c r="D48">
        <v>1</v>
      </c>
      <c r="F48">
        <v>1</v>
      </c>
      <c r="G48">
        <v>0</v>
      </c>
      <c r="H48">
        <v>0</v>
      </c>
    </row>
    <row r="49" spans="1:8">
      <c r="A49">
        <v>2</v>
      </c>
      <c r="B49" t="s">
        <v>394</v>
      </c>
      <c r="C49">
        <v>2.2999999999999998</v>
      </c>
      <c r="D49">
        <v>1</v>
      </c>
      <c r="F49">
        <v>1</v>
      </c>
      <c r="G49">
        <v>0</v>
      </c>
      <c r="H49">
        <v>0</v>
      </c>
    </row>
    <row r="50" spans="1:8">
      <c r="A50">
        <v>2</v>
      </c>
      <c r="B50" t="s">
        <v>2</v>
      </c>
      <c r="C50">
        <v>2.5</v>
      </c>
      <c r="D50">
        <v>1</v>
      </c>
      <c r="F50">
        <v>1</v>
      </c>
      <c r="G50">
        <v>0</v>
      </c>
      <c r="H50">
        <v>0</v>
      </c>
    </row>
    <row r="51" spans="1:8">
      <c r="A51">
        <v>2</v>
      </c>
      <c r="B51" t="s">
        <v>11</v>
      </c>
      <c r="C51">
        <v>4.9000000000000004</v>
      </c>
      <c r="D51">
        <v>1</v>
      </c>
      <c r="F51">
        <v>1</v>
      </c>
      <c r="G51">
        <v>0</v>
      </c>
      <c r="H51">
        <v>0</v>
      </c>
    </row>
    <row r="52" spans="1:8">
      <c r="A52">
        <v>2</v>
      </c>
      <c r="B52" t="s">
        <v>12</v>
      </c>
      <c r="C52">
        <v>8.9</v>
      </c>
      <c r="D52">
        <v>1</v>
      </c>
      <c r="F52">
        <v>1</v>
      </c>
      <c r="G52">
        <v>0</v>
      </c>
      <c r="H52">
        <v>0</v>
      </c>
    </row>
    <row r="53" spans="1:8">
      <c r="A53">
        <v>2</v>
      </c>
      <c r="B53" t="s">
        <v>398</v>
      </c>
      <c r="C53">
        <v>8</v>
      </c>
      <c r="D53">
        <v>1</v>
      </c>
      <c r="F53">
        <v>1</v>
      </c>
      <c r="G53">
        <v>0</v>
      </c>
      <c r="H53">
        <v>0</v>
      </c>
    </row>
    <row r="54" spans="1:8">
      <c r="A54">
        <v>2</v>
      </c>
      <c r="B54" t="s">
        <v>396</v>
      </c>
      <c r="C54">
        <v>2</v>
      </c>
      <c r="D54">
        <v>1</v>
      </c>
      <c r="F54">
        <v>1</v>
      </c>
      <c r="G54">
        <v>0</v>
      </c>
      <c r="H54">
        <v>0</v>
      </c>
    </row>
    <row r="55" spans="1:8">
      <c r="A55">
        <v>2</v>
      </c>
      <c r="B55" t="s">
        <v>2133</v>
      </c>
      <c r="C55">
        <v>4.5</v>
      </c>
      <c r="D55">
        <v>1</v>
      </c>
      <c r="F55">
        <v>1</v>
      </c>
      <c r="G55">
        <v>0</v>
      </c>
      <c r="H55">
        <v>0</v>
      </c>
    </row>
    <row r="56" spans="1:8">
      <c r="A56">
        <v>2</v>
      </c>
      <c r="B56" t="s">
        <v>2176</v>
      </c>
      <c r="C56">
        <v>0.5</v>
      </c>
      <c r="D56">
        <v>1</v>
      </c>
      <c r="F56">
        <v>1</v>
      </c>
      <c r="G56">
        <v>0</v>
      </c>
      <c r="H56">
        <v>0</v>
      </c>
    </row>
    <row r="57" spans="1:8">
      <c r="A57">
        <v>2</v>
      </c>
      <c r="B57" t="s">
        <v>2177</v>
      </c>
      <c r="C57">
        <v>0.5</v>
      </c>
      <c r="D57">
        <v>1</v>
      </c>
      <c r="F57">
        <v>1</v>
      </c>
      <c r="G57">
        <v>0</v>
      </c>
      <c r="H57">
        <v>0</v>
      </c>
    </row>
    <row r="58" spans="1:8">
      <c r="A58">
        <v>2</v>
      </c>
      <c r="B58" t="s">
        <v>2172</v>
      </c>
      <c r="C58">
        <v>8.5</v>
      </c>
      <c r="D58">
        <v>1</v>
      </c>
      <c r="F58">
        <v>1</v>
      </c>
      <c r="G58">
        <v>0</v>
      </c>
      <c r="H58">
        <v>0</v>
      </c>
    </row>
    <row r="59" spans="1:8">
      <c r="A59">
        <v>2</v>
      </c>
      <c r="B59" t="s">
        <v>2178</v>
      </c>
      <c r="C59">
        <v>12</v>
      </c>
      <c r="D59">
        <v>1</v>
      </c>
      <c r="F59">
        <v>1</v>
      </c>
      <c r="G59">
        <v>0</v>
      </c>
      <c r="H59">
        <v>0</v>
      </c>
    </row>
    <row r="60" spans="1:8">
      <c r="A60">
        <v>2</v>
      </c>
      <c r="B60" t="s">
        <v>2174</v>
      </c>
      <c r="C60">
        <v>2</v>
      </c>
      <c r="D60">
        <v>1</v>
      </c>
      <c r="F60">
        <v>1</v>
      </c>
      <c r="G60">
        <v>0</v>
      </c>
      <c r="H60">
        <v>0</v>
      </c>
    </row>
    <row r="61" spans="1:8">
      <c r="A61">
        <v>2</v>
      </c>
      <c r="B61" t="s">
        <v>903</v>
      </c>
      <c r="C61">
        <v>1.5</v>
      </c>
      <c r="D61">
        <v>1</v>
      </c>
      <c r="F61">
        <v>1</v>
      </c>
      <c r="G61">
        <v>0</v>
      </c>
      <c r="H61">
        <v>0</v>
      </c>
    </row>
    <row r="62" spans="1:8">
      <c r="A62">
        <v>2</v>
      </c>
      <c r="B62" t="s">
        <v>841</v>
      </c>
      <c r="C62">
        <v>0</v>
      </c>
      <c r="D62">
        <v>1</v>
      </c>
      <c r="F62">
        <v>1</v>
      </c>
      <c r="G62">
        <v>0</v>
      </c>
      <c r="H62">
        <v>0</v>
      </c>
    </row>
    <row r="63" spans="1:8">
      <c r="A63">
        <v>3</v>
      </c>
      <c r="B63" t="s">
        <v>5</v>
      </c>
      <c r="C63">
        <v>2.4</v>
      </c>
      <c r="D63">
        <v>1</v>
      </c>
      <c r="F63">
        <v>1</v>
      </c>
      <c r="G63">
        <v>0</v>
      </c>
      <c r="H63">
        <v>0</v>
      </c>
    </row>
    <row r="64" spans="1:8">
      <c r="A64">
        <v>3</v>
      </c>
      <c r="B64" t="s">
        <v>235</v>
      </c>
      <c r="C64">
        <v>2.5</v>
      </c>
      <c r="D64">
        <v>1</v>
      </c>
      <c r="F64">
        <v>1</v>
      </c>
      <c r="G64">
        <v>0</v>
      </c>
      <c r="H64">
        <v>0</v>
      </c>
    </row>
    <row r="65" spans="1:8">
      <c r="A65">
        <v>3</v>
      </c>
      <c r="B65" t="s">
        <v>413</v>
      </c>
      <c r="C65">
        <v>3.9</v>
      </c>
      <c r="D65">
        <v>1</v>
      </c>
      <c r="F65">
        <v>1</v>
      </c>
      <c r="G65">
        <v>0</v>
      </c>
      <c r="H65">
        <v>0</v>
      </c>
    </row>
    <row r="66" spans="1:8">
      <c r="A66">
        <v>3</v>
      </c>
      <c r="B66" t="s">
        <v>234</v>
      </c>
      <c r="C66">
        <v>2.4</v>
      </c>
      <c r="D66">
        <v>1</v>
      </c>
      <c r="F66">
        <v>1</v>
      </c>
      <c r="G66">
        <v>0</v>
      </c>
      <c r="H66">
        <v>0</v>
      </c>
    </row>
    <row r="67" spans="1:8">
      <c r="A67">
        <v>3</v>
      </c>
      <c r="B67" t="s">
        <v>230</v>
      </c>
      <c r="C67">
        <v>4.5</v>
      </c>
      <c r="D67">
        <v>1</v>
      </c>
      <c r="F67">
        <v>1</v>
      </c>
      <c r="G67">
        <v>0</v>
      </c>
      <c r="H67">
        <v>0</v>
      </c>
    </row>
    <row r="68" spans="1:8">
      <c r="A68">
        <v>3</v>
      </c>
      <c r="B68" t="s">
        <v>203</v>
      </c>
      <c r="C68">
        <v>2.8</v>
      </c>
      <c r="D68">
        <v>1</v>
      </c>
      <c r="F68">
        <v>1</v>
      </c>
      <c r="G68">
        <v>0</v>
      </c>
      <c r="H68">
        <v>0</v>
      </c>
    </row>
    <row r="69" spans="1:8">
      <c r="A69">
        <v>3</v>
      </c>
      <c r="B69" t="s">
        <v>913</v>
      </c>
      <c r="C69">
        <v>2.7</v>
      </c>
      <c r="D69">
        <v>1</v>
      </c>
      <c r="F69">
        <v>1</v>
      </c>
      <c r="G69">
        <v>0</v>
      </c>
      <c r="H69">
        <v>0</v>
      </c>
    </row>
    <row r="70" spans="1:8">
      <c r="A70">
        <v>3</v>
      </c>
      <c r="B70" t="s">
        <v>2132</v>
      </c>
      <c r="C70">
        <v>3.2</v>
      </c>
      <c r="D70">
        <v>1</v>
      </c>
      <c r="F70">
        <v>1</v>
      </c>
      <c r="G70">
        <v>0</v>
      </c>
      <c r="H70">
        <v>0</v>
      </c>
    </row>
    <row r="71" spans="1:8">
      <c r="A71">
        <v>3</v>
      </c>
      <c r="B71" t="s">
        <v>419</v>
      </c>
      <c r="C71">
        <v>3.9</v>
      </c>
      <c r="D71">
        <v>1</v>
      </c>
      <c r="F71">
        <v>1</v>
      </c>
      <c r="G71">
        <v>0</v>
      </c>
      <c r="H71">
        <v>0</v>
      </c>
    </row>
    <row r="72" spans="1:8">
      <c r="A72">
        <v>3</v>
      </c>
      <c r="B72" t="s">
        <v>414</v>
      </c>
      <c r="C72">
        <v>2.2999999999999998</v>
      </c>
      <c r="D72">
        <v>1</v>
      </c>
      <c r="F72">
        <v>1</v>
      </c>
      <c r="G72">
        <v>0</v>
      </c>
      <c r="H72">
        <v>0</v>
      </c>
    </row>
    <row r="73" spans="1:8">
      <c r="A73">
        <v>3</v>
      </c>
      <c r="B73" t="s">
        <v>416</v>
      </c>
      <c r="C73">
        <v>2.5</v>
      </c>
      <c r="D73">
        <v>1</v>
      </c>
      <c r="F73">
        <v>1</v>
      </c>
      <c r="G73">
        <v>0</v>
      </c>
      <c r="H73">
        <v>0</v>
      </c>
    </row>
    <row r="74" spans="1:8">
      <c r="A74">
        <v>3</v>
      </c>
      <c r="B74" t="s">
        <v>423</v>
      </c>
      <c r="C74">
        <v>4.5</v>
      </c>
      <c r="D74">
        <v>1</v>
      </c>
      <c r="F74">
        <v>1</v>
      </c>
      <c r="G74">
        <v>0</v>
      </c>
      <c r="H74">
        <v>0</v>
      </c>
    </row>
    <row r="75" spans="1:8">
      <c r="A75">
        <v>3</v>
      </c>
      <c r="B75" t="s">
        <v>420</v>
      </c>
      <c r="C75">
        <v>3.9</v>
      </c>
      <c r="D75">
        <v>1</v>
      </c>
      <c r="F75">
        <v>1</v>
      </c>
      <c r="G75">
        <v>0</v>
      </c>
      <c r="H75">
        <v>0</v>
      </c>
    </row>
    <row r="76" spans="1:8">
      <c r="A76">
        <v>3</v>
      </c>
      <c r="B76" t="s">
        <v>233</v>
      </c>
      <c r="C76">
        <v>3.9</v>
      </c>
      <c r="D76">
        <v>1</v>
      </c>
      <c r="F76">
        <v>1</v>
      </c>
      <c r="G76">
        <v>0</v>
      </c>
      <c r="H76">
        <v>0</v>
      </c>
    </row>
    <row r="77" spans="1:8">
      <c r="A77">
        <v>3</v>
      </c>
      <c r="B77" t="s">
        <v>236</v>
      </c>
      <c r="C77">
        <v>3.9</v>
      </c>
      <c r="D77">
        <v>1</v>
      </c>
      <c r="F77">
        <v>1</v>
      </c>
      <c r="G77">
        <v>0</v>
      </c>
      <c r="H77">
        <v>0</v>
      </c>
    </row>
    <row r="78" spans="1:8">
      <c r="A78">
        <v>3</v>
      </c>
      <c r="B78" t="s">
        <v>269</v>
      </c>
      <c r="C78">
        <v>3.5</v>
      </c>
      <c r="D78">
        <v>1</v>
      </c>
      <c r="F78">
        <v>1</v>
      </c>
      <c r="G78">
        <v>0</v>
      </c>
      <c r="H78">
        <v>0</v>
      </c>
    </row>
    <row r="79" spans="1:8">
      <c r="A79">
        <v>3</v>
      </c>
      <c r="B79" t="s">
        <v>202</v>
      </c>
      <c r="C79">
        <v>3.2</v>
      </c>
      <c r="D79">
        <v>1</v>
      </c>
      <c r="F79">
        <v>1</v>
      </c>
      <c r="G79">
        <v>0</v>
      </c>
      <c r="H79">
        <v>0</v>
      </c>
    </row>
    <row r="80" spans="1:8">
      <c r="A80">
        <v>3</v>
      </c>
      <c r="B80" t="s">
        <v>417</v>
      </c>
      <c r="C80">
        <v>3.9</v>
      </c>
      <c r="D80">
        <v>1</v>
      </c>
      <c r="F80">
        <v>1</v>
      </c>
      <c r="G80">
        <v>0</v>
      </c>
      <c r="H80">
        <v>0</v>
      </c>
    </row>
    <row r="81" spans="1:8">
      <c r="A81">
        <v>3</v>
      </c>
      <c r="B81" t="s">
        <v>412</v>
      </c>
      <c r="C81">
        <v>4.5</v>
      </c>
      <c r="D81">
        <v>1</v>
      </c>
      <c r="F81">
        <v>1</v>
      </c>
      <c r="G81">
        <v>0</v>
      </c>
      <c r="H81">
        <v>0</v>
      </c>
    </row>
    <row r="82" spans="1:8">
      <c r="A82">
        <v>3</v>
      </c>
      <c r="B82" t="s">
        <v>6</v>
      </c>
      <c r="C82">
        <v>2.5</v>
      </c>
      <c r="D82">
        <v>1</v>
      </c>
      <c r="F82">
        <v>1</v>
      </c>
      <c r="G82">
        <v>0</v>
      </c>
      <c r="H82">
        <v>0</v>
      </c>
    </row>
    <row r="83" spans="1:8">
      <c r="A83">
        <v>3</v>
      </c>
      <c r="B83" t="s">
        <v>1442</v>
      </c>
      <c r="C83">
        <v>3.7</v>
      </c>
      <c r="D83">
        <v>1</v>
      </c>
      <c r="F83">
        <v>1</v>
      </c>
      <c r="G83">
        <v>0</v>
      </c>
      <c r="H83">
        <v>0</v>
      </c>
    </row>
    <row r="84" spans="1:8">
      <c r="A84">
        <v>3</v>
      </c>
      <c r="B84" t="s">
        <v>1443</v>
      </c>
      <c r="C84">
        <v>4.0999999999999996</v>
      </c>
      <c r="D84">
        <v>1</v>
      </c>
      <c r="F84">
        <v>1</v>
      </c>
      <c r="G84">
        <v>0</v>
      </c>
      <c r="H84">
        <v>0</v>
      </c>
    </row>
    <row r="85" spans="1:8">
      <c r="A85">
        <v>3</v>
      </c>
      <c r="B85" t="s">
        <v>201</v>
      </c>
      <c r="C85">
        <v>2.8</v>
      </c>
      <c r="D85">
        <v>1</v>
      </c>
      <c r="F85">
        <v>1</v>
      </c>
      <c r="G85">
        <v>0</v>
      </c>
      <c r="H85">
        <v>0</v>
      </c>
    </row>
    <row r="86" spans="1:8">
      <c r="A86">
        <v>3</v>
      </c>
      <c r="B86" t="s">
        <v>206</v>
      </c>
      <c r="C86">
        <v>2.8</v>
      </c>
      <c r="D86">
        <v>1</v>
      </c>
      <c r="F86">
        <v>1</v>
      </c>
      <c r="G86">
        <v>0</v>
      </c>
      <c r="H86">
        <v>0</v>
      </c>
    </row>
    <row r="87" spans="1:8">
      <c r="A87">
        <v>3</v>
      </c>
      <c r="B87" t="s">
        <v>228</v>
      </c>
      <c r="C87">
        <v>2.5</v>
      </c>
      <c r="D87">
        <v>1</v>
      </c>
      <c r="F87">
        <v>1</v>
      </c>
      <c r="G87">
        <v>0</v>
      </c>
      <c r="H87">
        <v>0</v>
      </c>
    </row>
    <row r="88" spans="1:8">
      <c r="A88">
        <v>3</v>
      </c>
      <c r="B88" t="s">
        <v>1432</v>
      </c>
      <c r="C88">
        <v>3.6</v>
      </c>
      <c r="D88">
        <v>1</v>
      </c>
      <c r="F88">
        <v>1</v>
      </c>
      <c r="G88">
        <v>0</v>
      </c>
      <c r="H88">
        <v>0</v>
      </c>
    </row>
    <row r="89" spans="1:8">
      <c r="A89">
        <v>3</v>
      </c>
      <c r="B89" t="s">
        <v>229</v>
      </c>
      <c r="C89">
        <v>3.2</v>
      </c>
      <c r="D89">
        <v>1</v>
      </c>
      <c r="F89">
        <v>1</v>
      </c>
      <c r="G89">
        <v>0</v>
      </c>
      <c r="H89">
        <v>0</v>
      </c>
    </row>
    <row r="90" spans="1:8">
      <c r="A90">
        <v>3</v>
      </c>
      <c r="B90" t="s">
        <v>204</v>
      </c>
      <c r="C90">
        <v>16</v>
      </c>
      <c r="D90">
        <v>1</v>
      </c>
      <c r="F90">
        <v>1</v>
      </c>
      <c r="G90">
        <v>0</v>
      </c>
      <c r="H90">
        <v>0</v>
      </c>
    </row>
    <row r="91" spans="1:8">
      <c r="A91">
        <v>3</v>
      </c>
      <c r="B91" t="s">
        <v>205</v>
      </c>
      <c r="C91">
        <v>24</v>
      </c>
      <c r="D91">
        <v>1</v>
      </c>
      <c r="F91">
        <v>1</v>
      </c>
      <c r="G91">
        <v>0</v>
      </c>
      <c r="H91">
        <v>0</v>
      </c>
    </row>
    <row r="92" spans="1:8">
      <c r="A92">
        <v>3</v>
      </c>
      <c r="B92" t="s">
        <v>165</v>
      </c>
      <c r="C92">
        <v>19</v>
      </c>
      <c r="D92">
        <v>1</v>
      </c>
      <c r="F92">
        <v>1</v>
      </c>
      <c r="G92">
        <v>0</v>
      </c>
      <c r="H92">
        <v>0</v>
      </c>
    </row>
    <row r="93" spans="1:8">
      <c r="A93">
        <v>3</v>
      </c>
      <c r="B93" t="s">
        <v>166</v>
      </c>
      <c r="C93">
        <v>28.5</v>
      </c>
      <c r="D93">
        <v>1</v>
      </c>
      <c r="F93">
        <v>1</v>
      </c>
      <c r="G93">
        <v>0</v>
      </c>
      <c r="H93">
        <v>0</v>
      </c>
    </row>
    <row r="94" spans="1:8">
      <c r="A94">
        <v>3</v>
      </c>
      <c r="B94" t="s">
        <v>167</v>
      </c>
      <c r="C94">
        <v>19</v>
      </c>
      <c r="D94">
        <v>1</v>
      </c>
      <c r="F94">
        <v>1</v>
      </c>
      <c r="G94">
        <v>0</v>
      </c>
      <c r="H94">
        <v>0</v>
      </c>
    </row>
    <row r="95" spans="1:8">
      <c r="A95">
        <v>3</v>
      </c>
      <c r="B95" t="s">
        <v>168</v>
      </c>
      <c r="C95">
        <v>28.5</v>
      </c>
      <c r="D95">
        <v>1</v>
      </c>
      <c r="F95">
        <v>1</v>
      </c>
      <c r="G95">
        <v>0</v>
      </c>
      <c r="H95">
        <v>0</v>
      </c>
    </row>
    <row r="96" spans="1:8">
      <c r="A96">
        <v>3</v>
      </c>
      <c r="B96" t="s">
        <v>163</v>
      </c>
      <c r="C96">
        <v>20</v>
      </c>
      <c r="D96">
        <v>1</v>
      </c>
      <c r="F96">
        <v>1</v>
      </c>
      <c r="G96">
        <v>0</v>
      </c>
      <c r="H96">
        <v>0</v>
      </c>
    </row>
    <row r="97" spans="1:8">
      <c r="A97">
        <v>3</v>
      </c>
      <c r="B97" t="s">
        <v>164</v>
      </c>
      <c r="C97">
        <v>29</v>
      </c>
      <c r="D97">
        <v>1</v>
      </c>
      <c r="F97">
        <v>1</v>
      </c>
      <c r="G97">
        <v>0</v>
      </c>
      <c r="H97">
        <v>0</v>
      </c>
    </row>
    <row r="98" spans="1:8">
      <c r="A98">
        <v>3</v>
      </c>
      <c r="B98" t="s">
        <v>904</v>
      </c>
      <c r="C98">
        <v>20</v>
      </c>
      <c r="D98">
        <v>1</v>
      </c>
      <c r="F98">
        <v>1</v>
      </c>
      <c r="G98">
        <v>0</v>
      </c>
      <c r="H98">
        <v>0</v>
      </c>
    </row>
    <row r="99" spans="1:8">
      <c r="A99">
        <v>3</v>
      </c>
      <c r="B99" t="s">
        <v>169</v>
      </c>
      <c r="C99">
        <v>29</v>
      </c>
      <c r="D99">
        <v>1</v>
      </c>
      <c r="F99">
        <v>1</v>
      </c>
      <c r="G99">
        <v>0</v>
      </c>
      <c r="H99">
        <v>0</v>
      </c>
    </row>
    <row r="100" spans="1:8">
      <c r="A100">
        <v>3</v>
      </c>
      <c r="B100" t="s">
        <v>905</v>
      </c>
      <c r="C100">
        <v>15</v>
      </c>
      <c r="D100">
        <v>1</v>
      </c>
      <c r="F100">
        <v>1</v>
      </c>
      <c r="G100">
        <v>0</v>
      </c>
      <c r="H100">
        <v>0</v>
      </c>
    </row>
    <row r="101" spans="1:8">
      <c r="A101">
        <v>3</v>
      </c>
      <c r="B101" t="s">
        <v>1411</v>
      </c>
      <c r="C101">
        <v>16</v>
      </c>
      <c r="D101">
        <v>1</v>
      </c>
      <c r="F101">
        <v>1</v>
      </c>
      <c r="G101">
        <v>0</v>
      </c>
      <c r="H101">
        <v>0</v>
      </c>
    </row>
    <row r="102" spans="1:8">
      <c r="A102">
        <v>3</v>
      </c>
      <c r="B102" t="s">
        <v>1413</v>
      </c>
      <c r="C102">
        <v>24</v>
      </c>
      <c r="D102">
        <v>1</v>
      </c>
      <c r="F102">
        <v>1</v>
      </c>
      <c r="G102">
        <v>0</v>
      </c>
      <c r="H102">
        <v>0</v>
      </c>
    </row>
    <row r="103" spans="1:8">
      <c r="A103">
        <v>3</v>
      </c>
      <c r="B103" t="s">
        <v>1412</v>
      </c>
      <c r="C103">
        <v>32</v>
      </c>
      <c r="D103">
        <v>1</v>
      </c>
      <c r="F103">
        <v>1</v>
      </c>
      <c r="G103">
        <v>0</v>
      </c>
      <c r="H103">
        <v>0</v>
      </c>
    </row>
    <row r="104" spans="1:8">
      <c r="A104">
        <v>3</v>
      </c>
      <c r="B104" t="s">
        <v>1400</v>
      </c>
      <c r="C104">
        <v>19</v>
      </c>
      <c r="D104">
        <v>1</v>
      </c>
      <c r="F104">
        <v>1</v>
      </c>
      <c r="G104">
        <v>0</v>
      </c>
      <c r="H104">
        <v>0</v>
      </c>
    </row>
    <row r="105" spans="1:8">
      <c r="A105">
        <v>3</v>
      </c>
      <c r="B105" t="s">
        <v>1401</v>
      </c>
      <c r="C105">
        <v>28</v>
      </c>
      <c r="D105">
        <v>1</v>
      </c>
      <c r="F105">
        <v>1</v>
      </c>
      <c r="G105">
        <v>0</v>
      </c>
      <c r="H105">
        <v>0</v>
      </c>
    </row>
    <row r="106" spans="1:8">
      <c r="A106">
        <v>3</v>
      </c>
      <c r="B106" t="s">
        <v>1402</v>
      </c>
      <c r="C106">
        <v>38</v>
      </c>
      <c r="D106">
        <v>1</v>
      </c>
      <c r="F106">
        <v>1</v>
      </c>
      <c r="G106">
        <v>0</v>
      </c>
      <c r="H106">
        <v>0</v>
      </c>
    </row>
    <row r="107" spans="1:8">
      <c r="A107">
        <v>3</v>
      </c>
      <c r="B107" t="s">
        <v>842</v>
      </c>
      <c r="C107">
        <v>0</v>
      </c>
      <c r="D107">
        <v>1</v>
      </c>
      <c r="F107">
        <v>1</v>
      </c>
      <c r="G107">
        <v>0</v>
      </c>
      <c r="H107">
        <v>0</v>
      </c>
    </row>
    <row r="108" spans="1:8">
      <c r="A108">
        <v>6</v>
      </c>
      <c r="B108" t="s">
        <v>262</v>
      </c>
      <c r="C108">
        <v>1</v>
      </c>
      <c r="D108">
        <v>1</v>
      </c>
      <c r="F108">
        <v>1</v>
      </c>
      <c r="G108">
        <v>0</v>
      </c>
      <c r="H108">
        <v>0</v>
      </c>
    </row>
    <row r="109" spans="1:8">
      <c r="A109">
        <v>6</v>
      </c>
      <c r="B109" t="s">
        <v>261</v>
      </c>
      <c r="C109">
        <v>1.5</v>
      </c>
      <c r="D109">
        <v>1</v>
      </c>
      <c r="F109">
        <v>1</v>
      </c>
      <c r="G109">
        <v>0</v>
      </c>
      <c r="H109">
        <v>0</v>
      </c>
    </row>
    <row r="110" spans="1:8">
      <c r="A110">
        <v>6</v>
      </c>
      <c r="B110" t="s">
        <v>1273</v>
      </c>
      <c r="C110">
        <v>1.5</v>
      </c>
      <c r="D110">
        <v>1</v>
      </c>
      <c r="F110">
        <v>1</v>
      </c>
      <c r="G110">
        <v>0</v>
      </c>
      <c r="H110">
        <v>0</v>
      </c>
    </row>
    <row r="111" spans="1:8">
      <c r="A111">
        <v>6</v>
      </c>
      <c r="B111" t="s">
        <v>258</v>
      </c>
      <c r="C111">
        <v>1.7</v>
      </c>
      <c r="D111">
        <v>1</v>
      </c>
      <c r="F111">
        <v>1</v>
      </c>
      <c r="G111">
        <v>0</v>
      </c>
      <c r="H111">
        <v>0</v>
      </c>
    </row>
    <row r="112" spans="1:8">
      <c r="A112">
        <v>6</v>
      </c>
      <c r="B112" t="s">
        <v>254</v>
      </c>
      <c r="C112">
        <v>1</v>
      </c>
      <c r="D112">
        <v>1</v>
      </c>
      <c r="F112">
        <v>1</v>
      </c>
      <c r="G112">
        <v>0</v>
      </c>
      <c r="H112">
        <v>0</v>
      </c>
    </row>
    <row r="113" spans="1:8">
      <c r="A113">
        <v>6</v>
      </c>
      <c r="B113" t="s">
        <v>255</v>
      </c>
      <c r="C113">
        <v>1.2</v>
      </c>
      <c r="D113">
        <v>1</v>
      </c>
      <c r="F113">
        <v>1</v>
      </c>
      <c r="G113">
        <v>0</v>
      </c>
      <c r="H113">
        <v>0</v>
      </c>
    </row>
    <row r="114" spans="1:8">
      <c r="A114">
        <v>6</v>
      </c>
      <c r="B114" t="s">
        <v>256</v>
      </c>
      <c r="C114">
        <v>1.5</v>
      </c>
      <c r="D114">
        <v>1</v>
      </c>
      <c r="F114">
        <v>1</v>
      </c>
      <c r="G114">
        <v>0</v>
      </c>
      <c r="H114">
        <v>0</v>
      </c>
    </row>
    <row r="115" spans="1:8">
      <c r="A115">
        <v>6</v>
      </c>
      <c r="B115" t="s">
        <v>257</v>
      </c>
      <c r="C115">
        <v>1.5</v>
      </c>
      <c r="D115">
        <v>1</v>
      </c>
      <c r="F115">
        <v>1</v>
      </c>
      <c r="G115">
        <v>0</v>
      </c>
      <c r="H115">
        <v>0</v>
      </c>
    </row>
    <row r="116" spans="1:8">
      <c r="A116">
        <v>6</v>
      </c>
      <c r="B116" t="s">
        <v>259</v>
      </c>
      <c r="C116">
        <v>2.8</v>
      </c>
      <c r="D116">
        <v>1</v>
      </c>
      <c r="F116">
        <v>1</v>
      </c>
      <c r="G116">
        <v>0</v>
      </c>
      <c r="H116">
        <v>0</v>
      </c>
    </row>
    <row r="117" spans="1:8">
      <c r="A117">
        <v>6</v>
      </c>
      <c r="B117" t="s">
        <v>263</v>
      </c>
      <c r="C117">
        <v>4</v>
      </c>
      <c r="D117">
        <v>1</v>
      </c>
      <c r="F117">
        <v>1</v>
      </c>
      <c r="G117">
        <v>0</v>
      </c>
      <c r="H117">
        <v>0</v>
      </c>
    </row>
    <row r="118" spans="1:8">
      <c r="A118">
        <v>6</v>
      </c>
      <c r="B118" t="s">
        <v>260</v>
      </c>
      <c r="C118">
        <v>2.5</v>
      </c>
      <c r="D118">
        <v>1</v>
      </c>
      <c r="F118">
        <v>1</v>
      </c>
      <c r="G118">
        <v>0</v>
      </c>
      <c r="H118">
        <v>0</v>
      </c>
    </row>
    <row r="119" spans="1:8">
      <c r="A119">
        <v>6</v>
      </c>
      <c r="B119" t="s">
        <v>1489</v>
      </c>
      <c r="C119">
        <v>7.8</v>
      </c>
      <c r="D119">
        <v>1</v>
      </c>
      <c r="F119">
        <v>1</v>
      </c>
      <c r="G119">
        <v>0</v>
      </c>
      <c r="H119">
        <v>0</v>
      </c>
    </row>
    <row r="120" spans="1:8">
      <c r="A120">
        <v>6</v>
      </c>
      <c r="B120" t="s">
        <v>1490</v>
      </c>
      <c r="C120">
        <v>7.8</v>
      </c>
      <c r="D120">
        <v>1</v>
      </c>
      <c r="F120">
        <v>1</v>
      </c>
      <c r="G120">
        <v>0</v>
      </c>
      <c r="H120">
        <v>0</v>
      </c>
    </row>
    <row r="121" spans="1:8">
      <c r="A121">
        <v>6</v>
      </c>
      <c r="B121" t="s">
        <v>401</v>
      </c>
      <c r="C121">
        <v>38</v>
      </c>
      <c r="D121">
        <v>1</v>
      </c>
      <c r="F121">
        <v>1</v>
      </c>
      <c r="G121">
        <v>0</v>
      </c>
      <c r="H121">
        <v>0</v>
      </c>
    </row>
    <row r="122" spans="1:8">
      <c r="A122">
        <v>6</v>
      </c>
      <c r="B122" t="s">
        <v>844</v>
      </c>
      <c r="C122">
        <v>0</v>
      </c>
      <c r="D122">
        <v>1</v>
      </c>
      <c r="F122">
        <v>1</v>
      </c>
      <c r="G122">
        <v>0</v>
      </c>
      <c r="H122">
        <v>0</v>
      </c>
    </row>
    <row r="123" spans="1:8">
      <c r="A123">
        <v>8</v>
      </c>
      <c r="B123" t="s">
        <v>1242</v>
      </c>
      <c r="C123">
        <v>3.4</v>
      </c>
      <c r="D123">
        <v>1</v>
      </c>
      <c r="F123">
        <v>1</v>
      </c>
      <c r="G123">
        <v>0</v>
      </c>
      <c r="H123">
        <v>0</v>
      </c>
    </row>
    <row r="124" spans="1:8">
      <c r="A124">
        <v>8</v>
      </c>
      <c r="B124" t="s">
        <v>1243</v>
      </c>
      <c r="C124">
        <v>3.1</v>
      </c>
      <c r="D124">
        <v>1</v>
      </c>
      <c r="F124">
        <v>1</v>
      </c>
      <c r="G124">
        <v>0</v>
      </c>
      <c r="H124">
        <v>0</v>
      </c>
    </row>
    <row r="125" spans="1:8">
      <c r="A125">
        <v>8</v>
      </c>
      <c r="B125" t="s">
        <v>1244</v>
      </c>
      <c r="C125">
        <v>3.4</v>
      </c>
      <c r="D125">
        <v>1</v>
      </c>
      <c r="F125">
        <v>1</v>
      </c>
      <c r="G125">
        <v>0</v>
      </c>
      <c r="H125">
        <v>0</v>
      </c>
    </row>
    <row r="126" spans="1:8">
      <c r="A126">
        <v>8</v>
      </c>
      <c r="B126" t="s">
        <v>1245</v>
      </c>
      <c r="C126">
        <v>3.4</v>
      </c>
      <c r="D126">
        <v>1</v>
      </c>
      <c r="F126">
        <v>1</v>
      </c>
      <c r="G126">
        <v>0</v>
      </c>
      <c r="H126">
        <v>0</v>
      </c>
    </row>
    <row r="127" spans="1:8">
      <c r="A127">
        <v>8</v>
      </c>
      <c r="B127" t="s">
        <v>1453</v>
      </c>
      <c r="C127">
        <v>3.4</v>
      </c>
      <c r="D127">
        <v>1</v>
      </c>
      <c r="F127">
        <v>1</v>
      </c>
      <c r="G127">
        <v>0</v>
      </c>
      <c r="H127">
        <v>0</v>
      </c>
    </row>
    <row r="128" spans="1:8">
      <c r="A128">
        <v>8</v>
      </c>
      <c r="B128" t="s">
        <v>1246</v>
      </c>
      <c r="C128">
        <v>3.4</v>
      </c>
      <c r="D128">
        <v>1</v>
      </c>
      <c r="F128">
        <v>1</v>
      </c>
      <c r="G128">
        <v>0</v>
      </c>
      <c r="H128">
        <v>0</v>
      </c>
    </row>
    <row r="129" spans="1:8">
      <c r="A129">
        <v>8</v>
      </c>
      <c r="B129" t="s">
        <v>1247</v>
      </c>
      <c r="C129">
        <v>5</v>
      </c>
      <c r="D129">
        <v>1</v>
      </c>
      <c r="F129">
        <v>1</v>
      </c>
      <c r="G129">
        <v>0</v>
      </c>
      <c r="H129">
        <v>0</v>
      </c>
    </row>
    <row r="130" spans="1:8">
      <c r="A130">
        <v>8</v>
      </c>
      <c r="B130" t="s">
        <v>1248</v>
      </c>
      <c r="C130">
        <v>5</v>
      </c>
      <c r="D130">
        <v>1</v>
      </c>
      <c r="F130">
        <v>1</v>
      </c>
      <c r="G130">
        <v>0</v>
      </c>
      <c r="H130">
        <v>0</v>
      </c>
    </row>
    <row r="131" spans="1:8">
      <c r="A131">
        <v>8</v>
      </c>
      <c r="B131" t="s">
        <v>1249</v>
      </c>
      <c r="C131">
        <v>5</v>
      </c>
      <c r="D131">
        <v>1</v>
      </c>
      <c r="F131">
        <v>1</v>
      </c>
      <c r="G131">
        <v>0</v>
      </c>
      <c r="H131">
        <v>0</v>
      </c>
    </row>
    <row r="132" spans="1:8">
      <c r="A132">
        <v>8</v>
      </c>
      <c r="B132" t="s">
        <v>1250</v>
      </c>
      <c r="C132">
        <v>5</v>
      </c>
      <c r="D132">
        <v>1</v>
      </c>
      <c r="F132">
        <v>1</v>
      </c>
      <c r="G132">
        <v>0</v>
      </c>
      <c r="H132">
        <v>0</v>
      </c>
    </row>
    <row r="133" spans="1:8">
      <c r="A133">
        <v>8</v>
      </c>
      <c r="B133" t="s">
        <v>1251</v>
      </c>
      <c r="C133">
        <v>4.5</v>
      </c>
      <c r="D133">
        <v>1</v>
      </c>
      <c r="F133">
        <v>1</v>
      </c>
      <c r="G133">
        <v>0</v>
      </c>
      <c r="H133">
        <v>0</v>
      </c>
    </row>
    <row r="134" spans="1:8">
      <c r="A134">
        <v>8</v>
      </c>
      <c r="B134" t="s">
        <v>1252</v>
      </c>
      <c r="C134">
        <v>4.5</v>
      </c>
      <c r="D134">
        <v>1</v>
      </c>
      <c r="F134">
        <v>1</v>
      </c>
      <c r="G134">
        <v>0</v>
      </c>
      <c r="H134">
        <v>0</v>
      </c>
    </row>
    <row r="135" spans="1:8">
      <c r="A135">
        <v>8</v>
      </c>
      <c r="B135" t="s">
        <v>1253</v>
      </c>
      <c r="C135">
        <v>4.5</v>
      </c>
      <c r="D135">
        <v>1</v>
      </c>
      <c r="F135">
        <v>1</v>
      </c>
      <c r="G135">
        <v>0</v>
      </c>
      <c r="H135">
        <v>0</v>
      </c>
    </row>
    <row r="136" spans="1:8">
      <c r="A136">
        <v>8</v>
      </c>
      <c r="B136" t="s">
        <v>1254</v>
      </c>
      <c r="C136">
        <v>4.5</v>
      </c>
      <c r="D136">
        <v>1</v>
      </c>
      <c r="F136">
        <v>1</v>
      </c>
      <c r="G136">
        <v>0</v>
      </c>
      <c r="H136">
        <v>0</v>
      </c>
    </row>
    <row r="137" spans="1:8">
      <c r="A137">
        <v>8</v>
      </c>
      <c r="B137" t="s">
        <v>1255</v>
      </c>
      <c r="C137">
        <v>4.5</v>
      </c>
      <c r="D137">
        <v>1</v>
      </c>
      <c r="F137">
        <v>1</v>
      </c>
      <c r="G137">
        <v>0</v>
      </c>
      <c r="H137">
        <v>0</v>
      </c>
    </row>
    <row r="138" spans="1:8">
      <c r="A138">
        <v>8</v>
      </c>
      <c r="B138" t="s">
        <v>200</v>
      </c>
      <c r="C138">
        <v>4.8</v>
      </c>
      <c r="D138">
        <v>1</v>
      </c>
      <c r="F138">
        <v>1</v>
      </c>
      <c r="G138">
        <v>0</v>
      </c>
      <c r="H138">
        <v>0</v>
      </c>
    </row>
    <row r="139" spans="1:8">
      <c r="A139">
        <v>8</v>
      </c>
      <c r="B139" t="s">
        <v>1274</v>
      </c>
      <c r="C139">
        <v>3.1</v>
      </c>
      <c r="D139">
        <v>1</v>
      </c>
      <c r="F139">
        <v>1</v>
      </c>
      <c r="G139">
        <v>0</v>
      </c>
      <c r="H139">
        <v>0</v>
      </c>
    </row>
    <row r="140" spans="1:8">
      <c r="A140">
        <v>8</v>
      </c>
      <c r="B140" t="s">
        <v>393</v>
      </c>
      <c r="C140">
        <v>3</v>
      </c>
      <c r="D140">
        <v>1</v>
      </c>
      <c r="F140">
        <v>1</v>
      </c>
      <c r="G140">
        <v>0</v>
      </c>
      <c r="H140">
        <v>0</v>
      </c>
    </row>
    <row r="141" spans="1:8">
      <c r="A141">
        <v>8</v>
      </c>
      <c r="B141" t="s">
        <v>194</v>
      </c>
      <c r="C141">
        <v>3.2</v>
      </c>
      <c r="D141">
        <v>1</v>
      </c>
      <c r="F141">
        <v>1</v>
      </c>
      <c r="G141">
        <v>0</v>
      </c>
      <c r="H141">
        <v>0</v>
      </c>
    </row>
    <row r="142" spans="1:8">
      <c r="A142">
        <v>8</v>
      </c>
      <c r="B142" t="s">
        <v>195</v>
      </c>
      <c r="C142">
        <v>3.5</v>
      </c>
      <c r="D142">
        <v>1</v>
      </c>
      <c r="F142">
        <v>1</v>
      </c>
      <c r="G142">
        <v>0</v>
      </c>
      <c r="H142">
        <v>0</v>
      </c>
    </row>
    <row r="143" spans="1:8">
      <c r="A143">
        <v>8</v>
      </c>
      <c r="B143" t="s">
        <v>192</v>
      </c>
      <c r="C143">
        <v>4.7</v>
      </c>
      <c r="D143">
        <v>1</v>
      </c>
      <c r="F143">
        <v>1</v>
      </c>
      <c r="G143">
        <v>0</v>
      </c>
      <c r="H143">
        <v>0</v>
      </c>
    </row>
    <row r="144" spans="1:8">
      <c r="A144">
        <v>8</v>
      </c>
      <c r="B144" t="s">
        <v>199</v>
      </c>
      <c r="C144">
        <v>4</v>
      </c>
      <c r="D144">
        <v>1</v>
      </c>
      <c r="F144">
        <v>1</v>
      </c>
      <c r="G144">
        <v>0</v>
      </c>
      <c r="H144">
        <v>0</v>
      </c>
    </row>
    <row r="145" spans="1:8">
      <c r="A145">
        <v>8</v>
      </c>
      <c r="B145" t="s">
        <v>196</v>
      </c>
      <c r="C145">
        <v>6.5</v>
      </c>
      <c r="D145">
        <v>1</v>
      </c>
      <c r="F145">
        <v>1</v>
      </c>
      <c r="G145">
        <v>0</v>
      </c>
      <c r="H145">
        <v>0</v>
      </c>
    </row>
    <row r="146" spans="1:8">
      <c r="A146">
        <v>8</v>
      </c>
      <c r="B146" t="s">
        <v>198</v>
      </c>
      <c r="C146">
        <v>3.9</v>
      </c>
      <c r="D146">
        <v>1</v>
      </c>
      <c r="F146">
        <v>1</v>
      </c>
      <c r="G146">
        <v>0</v>
      </c>
      <c r="H146">
        <v>0</v>
      </c>
    </row>
    <row r="147" spans="1:8">
      <c r="A147">
        <v>8</v>
      </c>
      <c r="B147" t="s">
        <v>190</v>
      </c>
      <c r="C147">
        <v>5</v>
      </c>
      <c r="D147">
        <v>1</v>
      </c>
      <c r="F147">
        <v>1</v>
      </c>
      <c r="G147">
        <v>0</v>
      </c>
      <c r="H147">
        <v>0</v>
      </c>
    </row>
    <row r="148" spans="1:8">
      <c r="A148">
        <v>8</v>
      </c>
      <c r="B148" t="s">
        <v>909</v>
      </c>
      <c r="C148">
        <v>3</v>
      </c>
      <c r="D148">
        <v>1</v>
      </c>
      <c r="F148">
        <v>1</v>
      </c>
      <c r="G148">
        <v>0</v>
      </c>
      <c r="H148">
        <v>0</v>
      </c>
    </row>
    <row r="149" spans="1:8">
      <c r="A149">
        <v>8</v>
      </c>
      <c r="B149" t="s">
        <v>7</v>
      </c>
      <c r="C149">
        <v>3</v>
      </c>
      <c r="D149">
        <v>1</v>
      </c>
      <c r="F149">
        <v>1</v>
      </c>
      <c r="G149">
        <v>0</v>
      </c>
      <c r="H149">
        <v>0</v>
      </c>
    </row>
    <row r="150" spans="1:8">
      <c r="A150">
        <v>8</v>
      </c>
      <c r="B150" t="s">
        <v>193</v>
      </c>
      <c r="C150">
        <v>3</v>
      </c>
      <c r="D150">
        <v>1</v>
      </c>
      <c r="F150">
        <v>1</v>
      </c>
      <c r="G150">
        <v>0</v>
      </c>
      <c r="H150">
        <v>0</v>
      </c>
    </row>
    <row r="151" spans="1:8">
      <c r="A151">
        <v>8</v>
      </c>
      <c r="B151" t="s">
        <v>8</v>
      </c>
      <c r="C151">
        <v>2</v>
      </c>
      <c r="D151">
        <v>1</v>
      </c>
      <c r="F151">
        <v>1</v>
      </c>
      <c r="G151">
        <v>0</v>
      </c>
      <c r="H151">
        <v>0</v>
      </c>
    </row>
    <row r="152" spans="1:8">
      <c r="A152">
        <v>8</v>
      </c>
      <c r="B152" t="s">
        <v>9</v>
      </c>
      <c r="C152">
        <v>2.6</v>
      </c>
      <c r="D152">
        <v>1</v>
      </c>
      <c r="F152">
        <v>1</v>
      </c>
      <c r="G152">
        <v>0</v>
      </c>
      <c r="H152">
        <v>0</v>
      </c>
    </row>
    <row r="153" spans="1:8">
      <c r="A153">
        <v>8</v>
      </c>
      <c r="B153" t="s">
        <v>249</v>
      </c>
      <c r="C153">
        <v>5.9</v>
      </c>
      <c r="D153">
        <v>1</v>
      </c>
      <c r="F153">
        <v>1</v>
      </c>
      <c r="G153">
        <v>0</v>
      </c>
      <c r="H153">
        <v>0</v>
      </c>
    </row>
    <row r="154" spans="1:8">
      <c r="A154">
        <v>8</v>
      </c>
      <c r="B154" t="s">
        <v>251</v>
      </c>
      <c r="C154">
        <v>7.7</v>
      </c>
      <c r="D154">
        <v>1</v>
      </c>
      <c r="F154">
        <v>1</v>
      </c>
      <c r="G154">
        <v>0</v>
      </c>
      <c r="H154">
        <v>0</v>
      </c>
    </row>
    <row r="155" spans="1:8">
      <c r="A155">
        <v>8</v>
      </c>
      <c r="B155" t="s">
        <v>252</v>
      </c>
      <c r="C155">
        <v>8.3000000000000007</v>
      </c>
      <c r="D155">
        <v>1</v>
      </c>
      <c r="F155">
        <v>1</v>
      </c>
      <c r="G155">
        <v>0</v>
      </c>
      <c r="H155">
        <v>0</v>
      </c>
    </row>
    <row r="156" spans="1:8">
      <c r="A156">
        <v>8</v>
      </c>
      <c r="B156" t="s">
        <v>253</v>
      </c>
      <c r="C156">
        <v>8.9</v>
      </c>
      <c r="D156">
        <v>1</v>
      </c>
      <c r="F156">
        <v>1</v>
      </c>
      <c r="G156">
        <v>0</v>
      </c>
      <c r="H156">
        <v>0</v>
      </c>
    </row>
    <row r="157" spans="1:8">
      <c r="A157">
        <v>8</v>
      </c>
      <c r="B157" t="s">
        <v>10</v>
      </c>
      <c r="C157">
        <v>9.1999999999999993</v>
      </c>
      <c r="D157">
        <v>1</v>
      </c>
      <c r="F157">
        <v>1</v>
      </c>
      <c r="G157">
        <v>0</v>
      </c>
      <c r="H157">
        <v>0</v>
      </c>
    </row>
    <row r="158" spans="1:8">
      <c r="A158">
        <v>8</v>
      </c>
      <c r="B158" t="s">
        <v>843</v>
      </c>
      <c r="C158">
        <v>0</v>
      </c>
      <c r="D158">
        <v>1</v>
      </c>
      <c r="F158">
        <v>1</v>
      </c>
      <c r="G158">
        <v>0</v>
      </c>
      <c r="H158">
        <v>0</v>
      </c>
    </row>
    <row r="159" spans="1:8">
      <c r="A159">
        <v>9</v>
      </c>
      <c r="B159" t="s">
        <v>112</v>
      </c>
      <c r="C159">
        <v>1.5</v>
      </c>
      <c r="D159">
        <v>1</v>
      </c>
      <c r="F159">
        <v>1</v>
      </c>
      <c r="G159">
        <v>0</v>
      </c>
      <c r="H159">
        <v>0</v>
      </c>
    </row>
    <row r="160" spans="1:8">
      <c r="A160">
        <v>9</v>
      </c>
      <c r="B160" t="s">
        <v>113</v>
      </c>
      <c r="C160">
        <v>2</v>
      </c>
      <c r="D160">
        <v>1</v>
      </c>
      <c r="F160">
        <v>1</v>
      </c>
      <c r="G160">
        <v>0</v>
      </c>
      <c r="H160">
        <v>0</v>
      </c>
    </row>
    <row r="161" spans="1:8">
      <c r="A161">
        <v>9</v>
      </c>
      <c r="B161" t="s">
        <v>115</v>
      </c>
      <c r="C161">
        <v>2.2999999999999998</v>
      </c>
      <c r="D161">
        <v>1</v>
      </c>
      <c r="F161">
        <v>1</v>
      </c>
      <c r="G161">
        <v>0</v>
      </c>
      <c r="H161">
        <v>0</v>
      </c>
    </row>
    <row r="162" spans="1:8">
      <c r="A162">
        <v>9</v>
      </c>
      <c r="B162" t="s">
        <v>116</v>
      </c>
      <c r="C162">
        <v>2.2999999999999998</v>
      </c>
      <c r="D162">
        <v>1</v>
      </c>
      <c r="F162">
        <v>1</v>
      </c>
      <c r="G162">
        <v>0</v>
      </c>
      <c r="H162">
        <v>0</v>
      </c>
    </row>
    <row r="163" spans="1:8">
      <c r="A163">
        <v>9</v>
      </c>
      <c r="B163" t="s">
        <v>114</v>
      </c>
      <c r="C163">
        <v>2.5</v>
      </c>
      <c r="D163">
        <v>1</v>
      </c>
      <c r="F163">
        <v>1</v>
      </c>
      <c r="G163">
        <v>0</v>
      </c>
      <c r="H163">
        <v>0</v>
      </c>
    </row>
    <row r="164" spans="1:8">
      <c r="A164">
        <v>9</v>
      </c>
      <c r="B164" t="s">
        <v>15</v>
      </c>
      <c r="C164">
        <v>2</v>
      </c>
      <c r="D164">
        <v>1</v>
      </c>
      <c r="F164">
        <v>1</v>
      </c>
      <c r="G164">
        <v>0</v>
      </c>
      <c r="H164">
        <v>0</v>
      </c>
    </row>
    <row r="165" spans="1:8">
      <c r="A165">
        <v>9</v>
      </c>
      <c r="B165" t="s">
        <v>14</v>
      </c>
      <c r="C165">
        <v>4.5</v>
      </c>
      <c r="D165">
        <v>1</v>
      </c>
      <c r="F165">
        <v>1</v>
      </c>
      <c r="G165">
        <v>0</v>
      </c>
      <c r="H165">
        <v>0</v>
      </c>
    </row>
    <row r="166" spans="1:8">
      <c r="A166">
        <v>9</v>
      </c>
      <c r="B166" t="s">
        <v>13</v>
      </c>
      <c r="C166">
        <v>5</v>
      </c>
      <c r="D166">
        <v>1</v>
      </c>
      <c r="F166">
        <v>1</v>
      </c>
      <c r="G166">
        <v>0</v>
      </c>
      <c r="H166">
        <v>0</v>
      </c>
    </row>
    <row r="167" spans="1:8">
      <c r="A167">
        <v>9</v>
      </c>
      <c r="B167" t="s">
        <v>26</v>
      </c>
      <c r="C167">
        <v>5.5</v>
      </c>
      <c r="D167">
        <v>1</v>
      </c>
      <c r="F167">
        <v>1</v>
      </c>
      <c r="G167">
        <v>0</v>
      </c>
      <c r="H167">
        <v>0</v>
      </c>
    </row>
    <row r="168" spans="1:8">
      <c r="A168">
        <v>9</v>
      </c>
      <c r="B168" t="s">
        <v>845</v>
      </c>
      <c r="C168">
        <v>0</v>
      </c>
      <c r="D168">
        <v>1</v>
      </c>
      <c r="F168">
        <v>1</v>
      </c>
      <c r="G168">
        <v>0</v>
      </c>
      <c r="H168">
        <v>0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105" r:id="rId4" name="Button 1">
              <controlPr defaultSize="0" print="0" autoFill="0" autoPict="0" macro="[0]!btnMAJExpProduits">
                <anchor moveWithCells="1">
                  <from>
                    <xdr:col>9</xdr:col>
                    <xdr:colOff>50800</xdr:colOff>
                    <xdr:row>0</xdr:row>
                    <xdr:rowOff>31750</xdr:rowOff>
                  </from>
                  <to>
                    <xdr:col>11</xdr:col>
                    <xdr:colOff>12700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H214"/>
  <sheetViews>
    <sheetView zoomScale="85" zoomScaleNormal="85" workbookViewId="0">
      <pane ySplit="1" topLeftCell="A2" activePane="bottomLeft" state="frozen"/>
      <selection pane="bottomLeft" activeCell="C11" sqref="C11"/>
    </sheetView>
  </sheetViews>
  <sheetFormatPr baseColWidth="10" defaultRowHeight="14.5"/>
  <cols>
    <col min="1" max="1" width="19.26953125" customWidth="1"/>
    <col min="2" max="2" width="36.26953125" customWidth="1"/>
    <col min="3" max="3" width="10.26953125" bestFit="1" customWidth="1"/>
    <col min="4" max="4" width="9.54296875" bestFit="1" customWidth="1"/>
    <col min="5" max="5" width="11" bestFit="1" customWidth="1"/>
    <col min="6" max="6" width="12.81640625" bestFit="1" customWidth="1"/>
    <col min="7" max="7" width="9.81640625" bestFit="1" customWidth="1"/>
    <col min="8" max="8" width="5.81640625" bestFit="1" customWidth="1"/>
  </cols>
  <sheetData>
    <row r="1" spans="1:8">
      <c r="A1" s="305" t="s">
        <v>111</v>
      </c>
      <c r="B1" s="305" t="s">
        <v>386</v>
      </c>
      <c r="C1" s="305" t="s">
        <v>846</v>
      </c>
      <c r="D1" s="305" t="s">
        <v>847</v>
      </c>
      <c r="E1" s="305" t="s">
        <v>848</v>
      </c>
      <c r="F1" s="305" t="s">
        <v>849</v>
      </c>
      <c r="G1" s="305" t="s">
        <v>850</v>
      </c>
      <c r="H1" s="305" t="s">
        <v>851</v>
      </c>
    </row>
    <row r="2" spans="1:8">
      <c r="A2">
        <f>IF(Produits!G13&lt;&gt;"",Produits!G13,"")</f>
        <v>1</v>
      </c>
      <c r="B2" t="str">
        <f>IF(Produits!A13&lt;&gt;"",Produits!A13,"")</f>
        <v>Baguette</v>
      </c>
      <c r="C2" t="str">
        <f>IF(Produits!B13&lt;&gt;"",SUBSTITUTE(Produits!B13,",","."),"")</f>
        <v>0.95</v>
      </c>
      <c r="D2">
        <v>1</v>
      </c>
      <c r="F2">
        <v>1</v>
      </c>
      <c r="G2">
        <v>0</v>
      </c>
      <c r="H2">
        <v>0</v>
      </c>
    </row>
    <row r="3" spans="1:8">
      <c r="A3">
        <f>IF(Produits!G14&lt;&gt;"",Produits!G14,"")</f>
        <v>1</v>
      </c>
      <c r="B3" t="str">
        <f>IF(Produits!A14&lt;&gt;"",Produits!A14,"")</f>
        <v>Demi-Graines, Sésames ou Pavot</v>
      </c>
      <c r="C3" t="str">
        <f>IF(Produits!B14&lt;&gt;"",SUBSTITUTE(Produits!B14,",","."),"")</f>
        <v>0.7</v>
      </c>
      <c r="D3">
        <v>1</v>
      </c>
      <c r="F3">
        <v>1</v>
      </c>
      <c r="G3">
        <v>0</v>
      </c>
      <c r="H3">
        <v>0</v>
      </c>
    </row>
    <row r="4" spans="1:8">
      <c r="A4">
        <f>IF(Produits!G15&lt;&gt;"",Produits!G15,"")</f>
        <v>1</v>
      </c>
      <c r="B4" t="str">
        <f>IF(Produits!A15&lt;&gt;"",Produits!A15,"")</f>
        <v>Pain Bûcheron</v>
      </c>
      <c r="C4" t="str">
        <f>IF(Produits!B15&lt;&gt;"",SUBSTITUTE(Produits!B15,",","."),"")</f>
        <v>2.75</v>
      </c>
      <c r="D4">
        <v>1</v>
      </c>
      <c r="F4">
        <v>1</v>
      </c>
      <c r="G4">
        <v>0</v>
      </c>
      <c r="H4">
        <v>0</v>
      </c>
    </row>
    <row r="5" spans="1:8">
      <c r="A5">
        <f>IF(Produits!G16&lt;&gt;"",Produits!G16,"")</f>
        <v>1</v>
      </c>
      <c r="B5" t="str">
        <f>IF(Produits!A16&lt;&gt;"",Produits!A16,"")</f>
        <v>Pain de Campagne</v>
      </c>
      <c r="C5" t="str">
        <f>IF(Produits!B16&lt;&gt;"",SUBSTITUTE(Produits!B16,",","."),"")</f>
        <v>5</v>
      </c>
      <c r="D5">
        <v>1</v>
      </c>
      <c r="F5">
        <v>1</v>
      </c>
      <c r="G5">
        <v>0</v>
      </c>
      <c r="H5">
        <v>0</v>
      </c>
    </row>
    <row r="6" spans="1:8">
      <c r="A6">
        <f>IF(Produits!G17&lt;&gt;"",Produits!G17,"")</f>
        <v>1</v>
      </c>
      <c r="B6" t="str">
        <f>IF(Produits!A17&lt;&gt;"",Produits!A17,"")</f>
        <v>Pain de Mie</v>
      </c>
      <c r="C6" t="str">
        <f>IF(Produits!B17&lt;&gt;"",SUBSTITUTE(Produits!B17,",","."),"")</f>
        <v>2.3</v>
      </c>
      <c r="D6">
        <v>1</v>
      </c>
      <c r="F6">
        <v>1</v>
      </c>
      <c r="G6">
        <v>0</v>
      </c>
      <c r="H6">
        <v>0</v>
      </c>
    </row>
    <row r="7" spans="1:8">
      <c r="A7">
        <f>IF(Produits!G18&lt;&gt;"",Produits!G18,"")</f>
        <v>1</v>
      </c>
      <c r="B7" t="str">
        <f>IF(Produits!A18&lt;&gt;"",Produits!A18,"")</f>
        <v>Pain de Seigle</v>
      </c>
      <c r="C7" t="str">
        <f>IF(Produits!B18&lt;&gt;"",SUBSTITUTE(Produits!B18,",","."),"")</f>
        <v>2.6</v>
      </c>
      <c r="D7">
        <v>1</v>
      </c>
      <c r="F7">
        <v>1</v>
      </c>
      <c r="G7">
        <v>0</v>
      </c>
      <c r="H7">
        <v>0</v>
      </c>
    </row>
    <row r="8" spans="1:8">
      <c r="A8">
        <f>IF(Produits!G19&lt;&gt;"",Produits!G19,"")</f>
        <v>1</v>
      </c>
      <c r="B8" t="str">
        <f>IF(Produits!A19&lt;&gt;"",Produits!A19,"")</f>
        <v>Pain Fruitier</v>
      </c>
      <c r="C8" t="str">
        <f>IF(Produits!B19&lt;&gt;"",SUBSTITUTE(Produits!B19,",","."),"")</f>
        <v>2.85</v>
      </c>
      <c r="D8">
        <v>1</v>
      </c>
      <c r="F8">
        <v>1</v>
      </c>
      <c r="G8">
        <v>0</v>
      </c>
      <c r="H8">
        <v>0</v>
      </c>
    </row>
    <row r="9" spans="1:8">
      <c r="A9">
        <f>IF(Produits!G20&lt;&gt;"",Produits!G20,"")</f>
        <v>1</v>
      </c>
      <c r="B9" t="str">
        <f>IF(Produits!A20&lt;&gt;"",Produits!A20,"")</f>
        <v>Pain Gâche</v>
      </c>
      <c r="C9" t="str">
        <f>IF(Produits!B20&lt;&gt;"",SUBSTITUTE(Produits!B20,",","."),"")</f>
        <v>1.6</v>
      </c>
      <c r="D9">
        <v>1</v>
      </c>
      <c r="F9">
        <v>1</v>
      </c>
      <c r="G9">
        <v>0</v>
      </c>
      <c r="H9">
        <v>0</v>
      </c>
    </row>
    <row r="10" spans="1:8">
      <c r="A10">
        <f>IF(Produits!G21&lt;&gt;"",Produits!G21,"")</f>
        <v>1</v>
      </c>
      <c r="B10" t="str">
        <f>IF(Produits!A21&lt;&gt;"",Produits!A21,"")</f>
        <v>Pain Maïs</v>
      </c>
      <c r="C10" t="str">
        <f>IF(Produits!B21&lt;&gt;"",SUBSTITUTE(Produits!B21,",","."),"")</f>
        <v>2.3</v>
      </c>
      <c r="D10">
        <v>1</v>
      </c>
      <c r="F10">
        <v>1</v>
      </c>
      <c r="G10">
        <v>0</v>
      </c>
      <c r="H10">
        <v>0</v>
      </c>
    </row>
    <row r="11" spans="1:8">
      <c r="A11">
        <f>IF(Produits!G22&lt;&gt;"",Produits!G22,"")</f>
        <v>1</v>
      </c>
      <c r="B11" t="str">
        <f>IF(Produits!A22&lt;&gt;"",Produits!A22,"")</f>
        <v>Pain Tartine</v>
      </c>
      <c r="C11" t="str">
        <f>IF(Produits!B22&lt;&gt;"",SUBSTITUTE(Produits!B22,",","."),"")</f>
        <v>2.6</v>
      </c>
      <c r="D11">
        <v>1</v>
      </c>
      <c r="F11">
        <v>1</v>
      </c>
      <c r="G11">
        <v>0</v>
      </c>
      <c r="H11">
        <v>0</v>
      </c>
    </row>
    <row r="12" spans="1:8">
      <c r="A12">
        <f>IF(Produits!G23&lt;&gt;"",Produits!G23,"")</f>
        <v>1</v>
      </c>
      <c r="B12" t="str">
        <f>IF(Produits!A23&lt;&gt;"",Produits!A23,"")</f>
        <v>Pain Burger</v>
      </c>
      <c r="C12" t="str">
        <f>IF(Produits!B23&lt;&gt;"",SUBSTITUTE(Produits!B23,",","."),"")</f>
        <v>1.2</v>
      </c>
      <c r="D12">
        <v>1</v>
      </c>
      <c r="F12">
        <v>1</v>
      </c>
      <c r="G12">
        <v>0</v>
      </c>
      <c r="H12">
        <v>0</v>
      </c>
    </row>
    <row r="13" spans="1:8">
      <c r="A13">
        <f>IF(Produits!G24&lt;&gt;"",Produits!G24,"")</f>
        <v>1</v>
      </c>
      <c r="B13" t="str">
        <f>IF(Produits!A24&lt;&gt;"",Produits!A24,"")</f>
        <v>Moelleux aux Noix</v>
      </c>
      <c r="C13" t="str">
        <f>IF(Produits!B24&lt;&gt;"",SUBSTITUTE(Produits!B24,",","."),"")</f>
        <v>2.8</v>
      </c>
      <c r="D13">
        <v>1</v>
      </c>
      <c r="F13">
        <v>1</v>
      </c>
      <c r="G13">
        <v>0</v>
      </c>
      <c r="H13">
        <v>0</v>
      </c>
    </row>
    <row r="14" spans="1:8">
      <c r="A14">
        <f>IF(Produits!G25&lt;&gt;"",Produits!G25,"")</f>
        <v>1</v>
      </c>
      <c r="B14" t="str">
        <f>IF(Produits!A25&lt;&gt;"",Produits!A25,"")</f>
        <v>Moelleux aux Graines</v>
      </c>
      <c r="C14" t="str">
        <f>IF(Produits!B25&lt;&gt;"",SUBSTITUTE(Produits!B25,",","."),"")</f>
        <v>2.8</v>
      </c>
      <c r="D14">
        <v>1</v>
      </c>
      <c r="F14">
        <v>1</v>
      </c>
      <c r="G14">
        <v>0</v>
      </c>
      <c r="H14">
        <v>0</v>
      </c>
    </row>
    <row r="15" spans="1:8">
      <c r="A15">
        <f>IF(Produits!G26&lt;&gt;"",Produits!G26,"")</f>
        <v>1</v>
      </c>
      <c r="B15" t="str">
        <f>IF(Produits!A26&lt;&gt;"",Produits!A26,"")</f>
        <v>Pain Nordique</v>
      </c>
      <c r="C15" t="str">
        <f>IF(Produits!B26&lt;&gt;"",SUBSTITUTE(Produits!B26,",","."),"")</f>
        <v>3</v>
      </c>
      <c r="D15">
        <v>1</v>
      </c>
      <c r="F15">
        <v>1</v>
      </c>
      <c r="G15">
        <v>0</v>
      </c>
      <c r="H15">
        <v>0</v>
      </c>
    </row>
    <row r="16" spans="1:8">
      <c r="A16">
        <f>IF(Produits!G27&lt;&gt;"",Produits!G27,"")</f>
        <v>1</v>
      </c>
      <c r="B16" t="str">
        <f>IF(Produits!A27&lt;&gt;"",Produits!A27,"")</f>
        <v>Les Petits Pains Nature</v>
      </c>
      <c r="C16" t="str">
        <f>IF(Produits!B27&lt;&gt;"",SUBSTITUTE(Produits!B27,",","."),"")</f>
        <v>0.65</v>
      </c>
      <c r="D16">
        <v>1</v>
      </c>
      <c r="F16">
        <v>1</v>
      </c>
      <c r="G16">
        <v>0</v>
      </c>
      <c r="H16">
        <v>0</v>
      </c>
    </row>
    <row r="17" spans="1:8">
      <c r="A17">
        <f>IF(Produits!G28&lt;&gt;"",Produits!G28,"")</f>
        <v>1</v>
      </c>
      <c r="B17" t="str">
        <f>IF(Produits!A28&lt;&gt;"",Produits!A28,"")</f>
        <v>Petits Pains Maïs-Chocolat</v>
      </c>
      <c r="C17" t="str">
        <f>IF(Produits!B28&lt;&gt;"",SUBSTITUTE(Produits!B28,",","."),"")</f>
        <v>0.65</v>
      </c>
      <c r="D17">
        <v>1</v>
      </c>
      <c r="F17">
        <v>1</v>
      </c>
      <c r="G17">
        <v>0</v>
      </c>
      <c r="H17">
        <v>0</v>
      </c>
    </row>
    <row r="18" spans="1:8">
      <c r="A18">
        <f>IF(Produits!G29&lt;&gt;"",Produits!G29,"")</f>
        <v>1</v>
      </c>
      <c r="B18" t="str">
        <f>IF(Produits!A29&lt;&gt;"",Produits!A29,"")</f>
        <v>Petits Pains Aromatisés</v>
      </c>
      <c r="C18" t="str">
        <f>IF(Produits!B29&lt;&gt;"",SUBSTITUTE(Produits!B29,",","."),"")</f>
        <v>1.5</v>
      </c>
      <c r="D18">
        <v>1</v>
      </c>
      <c r="F18">
        <v>1</v>
      </c>
      <c r="G18">
        <v>0</v>
      </c>
      <c r="H18">
        <v>0</v>
      </c>
    </row>
    <row r="19" spans="1:8">
      <c r="A19">
        <f>IF(Produits!G30&lt;&gt;"",Produits!G30,"")</f>
        <v>1</v>
      </c>
      <c r="B19" t="str">
        <f>IF(Produits!A30&lt;&gt;"",Produits!A30,"")</f>
        <v>Divers Boulangerie</v>
      </c>
      <c r="C19" t="str">
        <f>IF(Produits!B30&lt;&gt;"",SUBSTITUTE(Produits!B30,",","."),"")</f>
        <v>0</v>
      </c>
      <c r="D19">
        <v>1</v>
      </c>
      <c r="F19">
        <v>1</v>
      </c>
      <c r="G19">
        <v>0</v>
      </c>
      <c r="H19">
        <v>0</v>
      </c>
    </row>
    <row r="20" spans="1:8">
      <c r="A20">
        <f>IF(Produits!G31&lt;&gt;"",Produits!G31,"")</f>
        <v>2</v>
      </c>
      <c r="B20" t="str">
        <f>IF(Produits!A31&lt;&gt;"",Produits!A31,"")</f>
        <v>Croissant</v>
      </c>
      <c r="C20" t="str">
        <f>IF(Produits!B31&lt;&gt;"",SUBSTITUTE(Produits!B31,",","."),"")</f>
        <v>1.05</v>
      </c>
      <c r="D20">
        <v>1</v>
      </c>
      <c r="F20">
        <v>1</v>
      </c>
      <c r="G20">
        <v>0</v>
      </c>
      <c r="H20">
        <v>0</v>
      </c>
    </row>
    <row r="21" spans="1:8">
      <c r="A21">
        <f>IF(Produits!G32&lt;&gt;"",Produits!G32,"")</f>
        <v>2</v>
      </c>
      <c r="B21" t="str">
        <f>IF(Produits!A32&lt;&gt;"",Produits!A32,"")</f>
        <v>Croissant Ordinaire</v>
      </c>
      <c r="C21" t="str">
        <f>IF(Produits!B32&lt;&gt;"",SUBSTITUTE(Produits!B32,",","."),"")</f>
        <v>1</v>
      </c>
      <c r="D21">
        <v>1</v>
      </c>
      <c r="F21">
        <v>1</v>
      </c>
      <c r="G21">
        <v>0</v>
      </c>
      <c r="H21">
        <v>0</v>
      </c>
    </row>
    <row r="22" spans="1:8">
      <c r="A22">
        <f>IF(Produits!G33&lt;&gt;"",Produits!G33,"")</f>
        <v>2</v>
      </c>
      <c r="B22" t="str">
        <f>IF(Produits!A33&lt;&gt;"",Produits!A33,"")</f>
        <v>Croissant aux Amandes</v>
      </c>
      <c r="C22" t="str">
        <f>IF(Produits!B33&lt;&gt;"",SUBSTITUTE(Produits!B33,",","."),"")</f>
        <v>1.5</v>
      </c>
      <c r="D22">
        <v>1</v>
      </c>
      <c r="F22">
        <v>1</v>
      </c>
      <c r="G22">
        <v>0</v>
      </c>
      <c r="H22">
        <v>0</v>
      </c>
    </row>
    <row r="23" spans="1:8">
      <c r="A23">
        <f>IF(Produits!G34&lt;&gt;"",Produits!G34,"")</f>
        <v>2</v>
      </c>
      <c r="B23" t="str">
        <f>IF(Produits!A34&lt;&gt;"",Produits!A34,"")</f>
        <v>Pain au Chocolat</v>
      </c>
      <c r="C23" t="str">
        <f>IF(Produits!B34&lt;&gt;"",SUBSTITUTE(Produits!B34,",","."),"")</f>
        <v>1.15</v>
      </c>
      <c r="D23">
        <v>1</v>
      </c>
      <c r="F23">
        <v>1</v>
      </c>
      <c r="G23">
        <v>0</v>
      </c>
      <c r="H23">
        <v>0</v>
      </c>
    </row>
    <row r="24" spans="1:8">
      <c r="A24">
        <f>IF(Produits!G35&lt;&gt;"",Produits!G35,"")</f>
        <v>2</v>
      </c>
      <c r="B24" t="str">
        <f>IF(Produits!A35&lt;&gt;"",Produits!A35,"")</f>
        <v>Pain au Chocolat aux Amandes</v>
      </c>
      <c r="C24" t="str">
        <f>IF(Produits!B35&lt;&gt;"",SUBSTITUTE(Produits!B35,",","."),"")</f>
        <v>1.5</v>
      </c>
      <c r="D24">
        <v>1</v>
      </c>
      <c r="F24">
        <v>1</v>
      </c>
      <c r="G24">
        <v>0</v>
      </c>
      <c r="H24">
        <v>0</v>
      </c>
    </row>
    <row r="25" spans="1:8">
      <c r="A25">
        <f>IF(Produits!G36&lt;&gt;"",Produits!G36,"")</f>
        <v>2</v>
      </c>
      <c r="B25" t="str">
        <f>IF(Produits!A36&lt;&gt;"",Produits!A36,"")</f>
        <v>Pain aux Raisins</v>
      </c>
      <c r="C25" t="str">
        <f>IF(Produits!B36&lt;&gt;"",SUBSTITUTE(Produits!B36,",","."),"")</f>
        <v>1.45</v>
      </c>
      <c r="D25">
        <v>1</v>
      </c>
      <c r="F25">
        <v>1</v>
      </c>
      <c r="G25">
        <v>0</v>
      </c>
      <c r="H25">
        <v>0</v>
      </c>
    </row>
    <row r="26" spans="1:8">
      <c r="A26">
        <f>IF(Produits!G37&lt;&gt;"",Produits!G37,"")</f>
        <v>2</v>
      </c>
      <c r="B26" t="str">
        <f>IF(Produits!A37&lt;&gt;"",Produits!A37,"")</f>
        <v>Chausson aux Pommes</v>
      </c>
      <c r="C26" t="str">
        <f>IF(Produits!B37&lt;&gt;"",SUBSTITUTE(Produits!B37,",","."),"")</f>
        <v>1.45</v>
      </c>
      <c r="D26">
        <v>1</v>
      </c>
      <c r="F26">
        <v>1</v>
      </c>
      <c r="G26">
        <v>0</v>
      </c>
      <c r="H26">
        <v>0</v>
      </c>
    </row>
    <row r="27" spans="1:8">
      <c r="A27">
        <f>IF(Produits!G38&lt;&gt;"",Produits!G38,"")</f>
        <v>2</v>
      </c>
      <c r="B27" t="str">
        <f>IF(Produits!A38&lt;&gt;"",Produits!A38,"")</f>
        <v>Viennoise Nature</v>
      </c>
      <c r="C27" t="str">
        <f>IF(Produits!B38&lt;&gt;"",SUBSTITUTE(Produits!B38,",","."),"")</f>
        <v>1.2</v>
      </c>
      <c r="D27">
        <v>1</v>
      </c>
      <c r="F27">
        <v>1</v>
      </c>
      <c r="G27">
        <v>0</v>
      </c>
      <c r="H27">
        <v>0</v>
      </c>
    </row>
    <row r="28" spans="1:8">
      <c r="A28">
        <f>IF(Produits!G39&lt;&gt;"",Produits!G39,"")</f>
        <v>2</v>
      </c>
      <c r="B28" t="str">
        <f>IF(Produits!A39&lt;&gt;"",Produits!A39,"")</f>
        <v>Viennoise au Chocolat</v>
      </c>
      <c r="C28" t="str">
        <f>IF(Produits!B39&lt;&gt;"",SUBSTITUTE(Produits!B39,",","."),"")</f>
        <v>1.4</v>
      </c>
      <c r="D28">
        <v>1</v>
      </c>
      <c r="F28">
        <v>1</v>
      </c>
      <c r="G28">
        <v>0</v>
      </c>
      <c r="H28">
        <v>0</v>
      </c>
    </row>
    <row r="29" spans="1:8">
      <c r="A29">
        <f>IF(Produits!G40&lt;&gt;"",Produits!G40,"")</f>
        <v>2</v>
      </c>
      <c r="B29" t="str">
        <f>IF(Produits!A40&lt;&gt;"",Produits!A40,"")</f>
        <v>Chouquettes</v>
      </c>
      <c r="C29" t="str">
        <f>IF(Produits!B40&lt;&gt;"",SUBSTITUTE(Produits!B40,",","."),"")</f>
        <v>0.25</v>
      </c>
      <c r="D29">
        <v>1</v>
      </c>
      <c r="F29">
        <v>1</v>
      </c>
      <c r="G29">
        <v>0</v>
      </c>
      <c r="H29">
        <v>0</v>
      </c>
    </row>
    <row r="30" spans="1:8">
      <c r="A30">
        <f>IF(Produits!G41&lt;&gt;"",Produits!G41,"")</f>
        <v>2</v>
      </c>
      <c r="B30" t="str">
        <f>IF(Produits!A41&lt;&gt;"",Produits!A41,"")</f>
        <v>Mini Viennoiserie</v>
      </c>
      <c r="C30" t="str">
        <f>IF(Produits!B41&lt;&gt;"",SUBSTITUTE(Produits!B41,",","."),"")</f>
        <v>0.55</v>
      </c>
      <c r="D30">
        <v>1</v>
      </c>
      <c r="F30">
        <v>1</v>
      </c>
      <c r="G30">
        <v>0</v>
      </c>
      <c r="H30">
        <v>0</v>
      </c>
    </row>
    <row r="31" spans="1:8">
      <c r="A31">
        <f>IF(Produits!G42&lt;&gt;"",Produits!G42,"")</f>
        <v>2</v>
      </c>
      <c r="B31" t="str">
        <f>IF(Produits!A42&lt;&gt;"",Produits!A42,"")</f>
        <v>Barre Energétique</v>
      </c>
      <c r="C31" t="str">
        <f>IF(Produits!B42&lt;&gt;"",SUBSTITUTE(Produits!B42,",","."),"")</f>
        <v>1.5</v>
      </c>
      <c r="D31">
        <v>1</v>
      </c>
      <c r="F31">
        <v>1</v>
      </c>
      <c r="G31">
        <v>0</v>
      </c>
      <c r="H31">
        <v>0</v>
      </c>
    </row>
    <row r="32" spans="1:8">
      <c r="A32">
        <f>IF(Produits!G43&lt;&gt;"",Produits!G43,"")</f>
        <v>2</v>
      </c>
      <c r="B32" t="str">
        <f>IF(Produits!A43&lt;&gt;"",Produits!A43,"")</f>
        <v>Brioche Aromatisée</v>
      </c>
      <c r="C32" t="str">
        <f>IF(Produits!B43&lt;&gt;"",SUBSTITUTE(Produits!B43,",","."),"")</f>
        <v>1.35</v>
      </c>
      <c r="D32">
        <v>1</v>
      </c>
      <c r="F32">
        <v>1</v>
      </c>
      <c r="G32">
        <v>0</v>
      </c>
      <c r="H32">
        <v>0</v>
      </c>
    </row>
    <row r="33" spans="1:8">
      <c r="A33">
        <f>IF(Produits!G44&lt;&gt;"",Produits!G44,"")</f>
        <v>2</v>
      </c>
      <c r="B33" t="str">
        <f>IF(Produits!A44&lt;&gt;"",Produits!A44,"")</f>
        <v>Brioche Nature</v>
      </c>
      <c r="C33" t="str">
        <f>IF(Produits!B44&lt;&gt;"",SUBSTITUTE(Produits!B44,",","."),"")</f>
        <v>1.35</v>
      </c>
      <c r="D33">
        <v>1</v>
      </c>
      <c r="F33">
        <v>1</v>
      </c>
      <c r="G33">
        <v>0</v>
      </c>
      <c r="H33">
        <v>0</v>
      </c>
    </row>
    <row r="34" spans="1:8">
      <c r="A34">
        <f>IF(Produits!G45&lt;&gt;"",Produits!G45,"")</f>
        <v>2</v>
      </c>
      <c r="B34" t="str">
        <f>IF(Produits!A45&lt;&gt;"",Produits!A45,"")</f>
        <v>Brioche au Sucre</v>
      </c>
      <c r="C34" t="str">
        <f>IF(Produits!B45&lt;&gt;"",SUBSTITUTE(Produits!B45,",","."),"")</f>
        <v>1.35</v>
      </c>
      <c r="D34">
        <v>1</v>
      </c>
      <c r="F34">
        <v>1</v>
      </c>
      <c r="G34">
        <v>0</v>
      </c>
      <c r="H34">
        <v>0</v>
      </c>
    </row>
    <row r="35" spans="1:8">
      <c r="A35">
        <f>IF(Produits!G46&lt;&gt;"",Produits!G46,"")</f>
        <v>2</v>
      </c>
      <c r="B35" t="str">
        <f>IF(Produits!A46&lt;&gt;"",Produits!A46,"")</f>
        <v>Brioche Suisse</v>
      </c>
      <c r="C35" t="str">
        <f>IF(Produits!B46&lt;&gt;"",SUBSTITUTE(Produits!B46,",","."),"")</f>
        <v>1.45</v>
      </c>
      <c r="D35">
        <v>1</v>
      </c>
      <c r="F35">
        <v>1</v>
      </c>
      <c r="G35">
        <v>0</v>
      </c>
      <c r="H35">
        <v>0</v>
      </c>
    </row>
    <row r="36" spans="1:8">
      <c r="A36">
        <f>IF(Produits!G47&lt;&gt;"",Produits!G47,"")</f>
        <v>2</v>
      </c>
      <c r="B36" t="str">
        <f>IF(Produits!A47&lt;&gt;"",Produits!A47,"")</f>
        <v>Brioche Parisienne</v>
      </c>
      <c r="C36" t="str">
        <f>IF(Produits!B47&lt;&gt;"",SUBSTITUTE(Produits!B47,",","."),"")</f>
        <v>4</v>
      </c>
      <c r="D36">
        <v>1</v>
      </c>
      <c r="F36">
        <v>1</v>
      </c>
      <c r="G36">
        <v>0</v>
      </c>
      <c r="H36">
        <v>0</v>
      </c>
    </row>
    <row r="37" spans="1:8">
      <c r="A37">
        <f>IF(Produits!G48&lt;&gt;"",Produits!G48,"")</f>
        <v>2</v>
      </c>
      <c r="B37" t="str">
        <f>IF(Produits!A48&lt;&gt;"",Produits!A48,"")</f>
        <v>Mini Beignet</v>
      </c>
      <c r="C37" t="str">
        <f>IF(Produits!B48&lt;&gt;"",SUBSTITUTE(Produits!B48,",","."),"")</f>
        <v>0.65</v>
      </c>
      <c r="D37">
        <v>1</v>
      </c>
      <c r="F37">
        <v>1</v>
      </c>
      <c r="G37">
        <v>0</v>
      </c>
      <c r="H37">
        <v>0</v>
      </c>
    </row>
    <row r="38" spans="1:8">
      <c r="A38">
        <f>IF(Produits!G49&lt;&gt;"",Produits!G49,"")</f>
        <v>2</v>
      </c>
      <c r="B38" t="str">
        <f>IF(Produits!A49&lt;&gt;"",Produits!A49,"")</f>
        <v>Cookie</v>
      </c>
      <c r="C38" t="str">
        <f>IF(Produits!B49&lt;&gt;"",SUBSTITUTE(Produits!B49,",","."),"")</f>
        <v>1.2</v>
      </c>
      <c r="D38">
        <v>1</v>
      </c>
      <c r="F38">
        <v>1</v>
      </c>
      <c r="G38">
        <v>0</v>
      </c>
      <c r="H38">
        <v>0</v>
      </c>
    </row>
    <row r="39" spans="1:8">
      <c r="A39">
        <f>IF(Produits!G50&lt;&gt;"",Produits!G50,"")</f>
        <v>2</v>
      </c>
      <c r="B39" t="str">
        <f>IF(Produits!A50&lt;&gt;"",Produits!A50,"")</f>
        <v>Brownie</v>
      </c>
      <c r="C39" t="str">
        <f>IF(Produits!B50&lt;&gt;"",SUBSTITUTE(Produits!B50,",","."),"")</f>
        <v>2.3</v>
      </c>
      <c r="D39">
        <v>1</v>
      </c>
      <c r="F39">
        <v>1</v>
      </c>
      <c r="G39">
        <v>0</v>
      </c>
      <c r="H39">
        <v>0</v>
      </c>
    </row>
    <row r="40" spans="1:8">
      <c r="A40">
        <f>IF(Produits!G51&lt;&gt;"",Produits!G51,"")</f>
        <v>2</v>
      </c>
      <c r="B40" t="str">
        <f>IF(Produits!A51&lt;&gt;"",Produits!A51,"")</f>
        <v>Muffin Caramel</v>
      </c>
      <c r="C40" t="str">
        <f>IF(Produits!B51&lt;&gt;"",SUBSTITUTE(Produits!B51,",","."),"")</f>
        <v>2.3</v>
      </c>
      <c r="D40">
        <v>1</v>
      </c>
      <c r="F40">
        <v>1</v>
      </c>
      <c r="G40">
        <v>0</v>
      </c>
      <c r="H40">
        <v>0</v>
      </c>
    </row>
    <row r="41" spans="1:8">
      <c r="A41">
        <f>IF(Produits!G52&lt;&gt;"",Produits!G52,"")</f>
        <v>2</v>
      </c>
      <c r="B41" t="str">
        <f>IF(Produits!A52&lt;&gt;"",Produits!A52,"")</f>
        <v>Muffin Chocolat</v>
      </c>
      <c r="C41" t="str">
        <f>IF(Produits!B52&lt;&gt;"",SUBSTITUTE(Produits!B52,",","."),"")</f>
        <v>2.3</v>
      </c>
      <c r="D41">
        <v>1</v>
      </c>
      <c r="F41">
        <v>1</v>
      </c>
      <c r="G41">
        <v>0</v>
      </c>
      <c r="H41">
        <v>0</v>
      </c>
    </row>
    <row r="42" spans="1:8">
      <c r="A42">
        <f>IF(Produits!G53&lt;&gt;"",Produits!G53,"")</f>
        <v>2</v>
      </c>
      <c r="B42" t="str">
        <f>IF(Produits!A53&lt;&gt;"",Produits!A53,"")</f>
        <v>Muffin Myrtille</v>
      </c>
      <c r="C42" t="str">
        <f>IF(Produits!B53&lt;&gt;"",SUBSTITUTE(Produits!B53,",","."),"")</f>
        <v>2.3</v>
      </c>
      <c r="D42">
        <v>1</v>
      </c>
      <c r="F42">
        <v>1</v>
      </c>
      <c r="G42">
        <v>0</v>
      </c>
      <c r="H42">
        <v>0</v>
      </c>
    </row>
    <row r="43" spans="1:8">
      <c r="A43">
        <f>IF(Produits!G54&lt;&gt;"",Produits!G54,"")</f>
        <v>2</v>
      </c>
      <c r="B43" t="str">
        <f>IF(Produits!A54&lt;&gt;"",Produits!A54,"")</f>
        <v>Caramel ou Nougat</v>
      </c>
      <c r="C43" t="str">
        <f>IF(Produits!B54&lt;&gt;"",SUBSTITUTE(Produits!B54,",","."),"")</f>
        <v>3.9</v>
      </c>
      <c r="D43">
        <v>1</v>
      </c>
      <c r="F43">
        <v>1</v>
      </c>
      <c r="G43">
        <v>0</v>
      </c>
      <c r="H43">
        <v>0</v>
      </c>
    </row>
    <row r="44" spans="1:8">
      <c r="A44">
        <f>IF(Produits!G55&lt;&gt;"",Produits!G55,"")</f>
        <v>2</v>
      </c>
      <c r="B44" t="str">
        <f>IF(Produits!A55&lt;&gt;"",Produits!A55,"")</f>
        <v>Cannelé</v>
      </c>
      <c r="C44" t="str">
        <f>IF(Produits!B55&lt;&gt;"",SUBSTITUTE(Produits!B55,",","."),"")</f>
        <v>2</v>
      </c>
      <c r="D44">
        <v>1</v>
      </c>
      <c r="F44">
        <v>1</v>
      </c>
      <c r="G44">
        <v>0</v>
      </c>
      <c r="H44">
        <v>0</v>
      </c>
    </row>
    <row r="45" spans="1:8">
      <c r="A45">
        <f>IF(Produits!G56&lt;&gt;"",Produits!G56,"")</f>
        <v>2</v>
      </c>
      <c r="B45" t="str">
        <f>IF(Produits!A56&lt;&gt;"",Produits!A56,"")</f>
        <v>Fondant Chocolat</v>
      </c>
      <c r="C45" t="str">
        <f>IF(Produits!B56&lt;&gt;"",SUBSTITUTE(Produits!B56,",","."),"")</f>
        <v>2.3</v>
      </c>
      <c r="D45">
        <v>1</v>
      </c>
      <c r="F45">
        <v>1</v>
      </c>
      <c r="G45">
        <v>0</v>
      </c>
      <c r="H45">
        <v>0</v>
      </c>
    </row>
    <row r="46" spans="1:8">
      <c r="A46">
        <f>IF(Produits!G57&lt;&gt;"",Produits!G57,"")</f>
        <v>2</v>
      </c>
      <c r="B46" t="str">
        <f>IF(Produits!A57&lt;&gt;"",Produits!A57,"")</f>
        <v>Financier Chocolat</v>
      </c>
      <c r="C46" t="str">
        <f>IF(Produits!B57&lt;&gt;"",SUBSTITUTE(Produits!B57,",","."),"")</f>
        <v>2.5</v>
      </c>
      <c r="D46">
        <v>1</v>
      </c>
      <c r="F46">
        <v>1</v>
      </c>
      <c r="G46">
        <v>0</v>
      </c>
      <c r="H46">
        <v>0</v>
      </c>
    </row>
    <row r="47" spans="1:8">
      <c r="A47">
        <f>IF(Produits!G58&lt;&gt;"",Produits!G58,"")</f>
        <v>2</v>
      </c>
      <c r="B47" t="str">
        <f>IF(Produits!A58&lt;&gt;"",Produits!A58,"")</f>
        <v>Financier Framboise</v>
      </c>
      <c r="C47" t="str">
        <f>IF(Produits!B58&lt;&gt;"",SUBSTITUTE(Produits!B58,",","."),"")</f>
        <v>2.5</v>
      </c>
      <c r="D47">
        <v>1</v>
      </c>
      <c r="F47">
        <v>1</v>
      </c>
      <c r="G47">
        <v>0</v>
      </c>
      <c r="H47">
        <v>0</v>
      </c>
    </row>
    <row r="48" spans="1:8">
      <c r="A48">
        <f>IF(Produits!G59&lt;&gt;"",Produits!G59,"")</f>
        <v>2</v>
      </c>
      <c r="B48" t="str">
        <f>IF(Produits!A59&lt;&gt;"",Produits!A59,"")</f>
        <v>Financier Pistache</v>
      </c>
      <c r="C48" t="str">
        <f>IF(Produits!B59&lt;&gt;"",SUBSTITUTE(Produits!B59,",","."),"")</f>
        <v>2.5</v>
      </c>
      <c r="D48">
        <v>1</v>
      </c>
      <c r="F48">
        <v>1</v>
      </c>
      <c r="G48">
        <v>0</v>
      </c>
      <c r="H48">
        <v>0</v>
      </c>
    </row>
    <row r="49" spans="1:8">
      <c r="A49">
        <f>IF(Produits!G60&lt;&gt;"",Produits!G60,"")</f>
        <v>2</v>
      </c>
      <c r="B49" t="str">
        <f>IF(Produits!A60&lt;&gt;"",Produits!A60,"")</f>
        <v>Mini Financier 150g</v>
      </c>
      <c r="C49" t="str">
        <f>IF(Produits!B60&lt;&gt;"",SUBSTITUTE(Produits!B60,",","."),"")</f>
        <v>4.9</v>
      </c>
      <c r="D49">
        <v>1</v>
      </c>
      <c r="F49">
        <v>1</v>
      </c>
      <c r="G49">
        <v>0</v>
      </c>
      <c r="H49">
        <v>0</v>
      </c>
    </row>
    <row r="50" spans="1:8">
      <c r="A50">
        <f>IF(Produits!G61&lt;&gt;"",Produits!G61,"")</f>
        <v>2</v>
      </c>
      <c r="B50" t="str">
        <f>IF(Produits!A61&lt;&gt;"",Produits!A61,"")</f>
        <v>Mini Financier 300g</v>
      </c>
      <c r="C50" t="str">
        <f>IF(Produits!B61&lt;&gt;"",SUBSTITUTE(Produits!B61,",","."),"")</f>
        <v>8.9</v>
      </c>
      <c r="D50">
        <v>1</v>
      </c>
      <c r="F50">
        <v>1</v>
      </c>
      <c r="G50">
        <v>0</v>
      </c>
      <c r="H50">
        <v>0</v>
      </c>
    </row>
    <row r="51" spans="1:8">
      <c r="A51">
        <f>IF(Produits!G62&lt;&gt;"",Produits!G62,"")</f>
        <v>2</v>
      </c>
      <c r="B51" t="str">
        <f>IF(Produits!A62&lt;&gt;"",Produits!A62,"")</f>
        <v>Cake</v>
      </c>
      <c r="C51" t="str">
        <f>IF(Produits!B62&lt;&gt;"",SUBSTITUTE(Produits!B62,",","."),"")</f>
        <v>8</v>
      </c>
      <c r="D51">
        <v>1</v>
      </c>
      <c r="F51">
        <v>1</v>
      </c>
      <c r="G51">
        <v>0</v>
      </c>
      <c r="H51">
        <v>0</v>
      </c>
    </row>
    <row r="52" spans="1:8">
      <c r="A52">
        <f>IF(Produits!G63&lt;&gt;"",Produits!G63,"")</f>
        <v>2</v>
      </c>
      <c r="B52" t="str">
        <f>IF(Produits!A63&lt;&gt;"",Produits!A63,"")</f>
        <v>Palmier</v>
      </c>
      <c r="C52" t="str">
        <f>IF(Produits!B63&lt;&gt;"",SUBSTITUTE(Produits!B63,",","."),"")</f>
        <v>2</v>
      </c>
      <c r="D52">
        <v>1</v>
      </c>
      <c r="F52">
        <v>1</v>
      </c>
      <c r="G52">
        <v>0</v>
      </c>
      <c r="H52">
        <v>0</v>
      </c>
    </row>
    <row r="53" spans="1:8">
      <c r="A53">
        <f>IF(Produits!G70&lt;&gt;"",Produits!G70,"")</f>
        <v>2</v>
      </c>
      <c r="B53" t="str">
        <f>IF(Produits!A70&lt;&gt;"",Produits!A70,"")</f>
        <v>Sachet Bonbons</v>
      </c>
      <c r="C53" t="str">
        <f>IF(Produits!B70&lt;&gt;"",SUBSTITUTE(Produits!B70,",","."),"")</f>
        <v>1.5</v>
      </c>
      <c r="D53">
        <v>1</v>
      </c>
      <c r="F53">
        <v>1</v>
      </c>
      <c r="G53">
        <v>0</v>
      </c>
      <c r="H53">
        <v>0</v>
      </c>
    </row>
    <row r="54" spans="1:8">
      <c r="A54">
        <f>IF(Produits!G71&lt;&gt;"",Produits!G71,"")</f>
        <v>2</v>
      </c>
      <c r="B54" t="str">
        <f>IF(Produits!A71&lt;&gt;"",Produits!A71,"")</f>
        <v>Divers Viennoiserie</v>
      </c>
      <c r="C54" t="str">
        <f>IF(Produits!B71&lt;&gt;"",SUBSTITUTE(Produits!B71,",","."),"")</f>
        <v>0</v>
      </c>
      <c r="D54">
        <v>1</v>
      </c>
      <c r="F54">
        <v>1</v>
      </c>
      <c r="G54">
        <v>0</v>
      </c>
      <c r="H54">
        <v>0</v>
      </c>
    </row>
    <row r="55" spans="1:8">
      <c r="A55">
        <f>IF(Produits!G72&lt;&gt;"",Produits!G72,"")</f>
        <v>3</v>
      </c>
      <c r="B55" t="str">
        <f>IF(Produits!A72&lt;&gt;"",Produits!A72,"")</f>
        <v>Amandine</v>
      </c>
      <c r="C55" t="str">
        <f>IF(Produits!B72&lt;&gt;"",SUBSTITUTE(Produits!B72,",","."),"")</f>
        <v>2.4</v>
      </c>
      <c r="D55">
        <v>1</v>
      </c>
      <c r="F55">
        <v>1</v>
      </c>
      <c r="G55">
        <v>0</v>
      </c>
      <c r="H55">
        <v>0</v>
      </c>
    </row>
    <row r="56" spans="1:8">
      <c r="A56">
        <f>IF(Produits!G73&lt;&gt;"",Produits!G73,"")</f>
        <v>3</v>
      </c>
      <c r="B56" t="str">
        <f>IF(Produits!A73&lt;&gt;"",Produits!A73,"")</f>
        <v>Amandine Poire</v>
      </c>
      <c r="C56" t="str">
        <f>IF(Produits!B73&lt;&gt;"",SUBSTITUTE(Produits!B73,",","."),"")</f>
        <v>2.5</v>
      </c>
      <c r="D56">
        <v>1</v>
      </c>
      <c r="F56">
        <v>1</v>
      </c>
      <c r="G56">
        <v>0</v>
      </c>
      <c r="H56">
        <v>0</v>
      </c>
    </row>
    <row r="57" spans="1:8">
      <c r="A57">
        <f>IF(Produits!G74&lt;&gt;"",Produits!G74,"")</f>
        <v>3</v>
      </c>
      <c r="B57" t="str">
        <f>IF(Produits!A74&lt;&gt;"",Produits!A74,"")</f>
        <v>Baba au Rhum Maison</v>
      </c>
      <c r="C57" t="str">
        <f>IF(Produits!B74&lt;&gt;"",SUBSTITUTE(Produits!B74,",","."),"")</f>
        <v>3.9</v>
      </c>
      <c r="D57">
        <v>1</v>
      </c>
      <c r="F57">
        <v>1</v>
      </c>
      <c r="G57">
        <v>0</v>
      </c>
      <c r="H57">
        <v>0</v>
      </c>
    </row>
    <row r="58" spans="1:8">
      <c r="A58">
        <f>IF(Produits!G75&lt;&gt;"",Produits!G75,"")</f>
        <v>3</v>
      </c>
      <c r="B58" t="str">
        <f>IF(Produits!A75&lt;&gt;"",Produits!A75,"")</f>
        <v>Duchesse</v>
      </c>
      <c r="C58" t="str">
        <f>IF(Produits!B75&lt;&gt;"",SUBSTITUTE(Produits!B75,",","."),"")</f>
        <v>2.4</v>
      </c>
      <c r="D58">
        <v>1</v>
      </c>
      <c r="F58">
        <v>1</v>
      </c>
      <c r="G58">
        <v>0</v>
      </c>
      <c r="H58">
        <v>0</v>
      </c>
    </row>
    <row r="59" spans="1:8">
      <c r="A59">
        <f>IF(Produits!G76&lt;&gt;"",Produits!G76,"")</f>
        <v>3</v>
      </c>
      <c r="B59" t="str">
        <f>IF(Produits!A76&lt;&gt;"",Produits!A76,"")</f>
        <v>Courchevel</v>
      </c>
      <c r="C59" t="str">
        <f>IF(Produits!B76&lt;&gt;"",SUBSTITUTE(Produits!B76,",","."),"")</f>
        <v>4.5</v>
      </c>
      <c r="D59">
        <v>1</v>
      </c>
      <c r="F59">
        <v>1</v>
      </c>
      <c r="G59">
        <v>0</v>
      </c>
      <c r="H59">
        <v>0</v>
      </c>
    </row>
    <row r="60" spans="1:8">
      <c r="A60">
        <f>IF(Produits!G77&lt;&gt;"",Produits!G77,"")</f>
        <v>3</v>
      </c>
      <c r="B60" t="str">
        <f>IF(Produits!A77&lt;&gt;"",Produits!A77,"")</f>
        <v>Eclair Chocolat</v>
      </c>
      <c r="C60" t="str">
        <f>IF(Produits!B77&lt;&gt;"",SUBSTITUTE(Produits!B77,",","."),"")</f>
        <v>2.8</v>
      </c>
      <c r="D60">
        <v>1</v>
      </c>
      <c r="F60">
        <v>1</v>
      </c>
      <c r="G60">
        <v>0</v>
      </c>
      <c r="H60">
        <v>0</v>
      </c>
    </row>
    <row r="61" spans="1:8">
      <c r="A61">
        <f>IF(Produits!G78&lt;&gt;"",Produits!G78,"")</f>
        <v>3</v>
      </c>
      <c r="B61" t="str">
        <f>IF(Produits!A78&lt;&gt;"",Produits!A78,"")</f>
        <v>Eclair Café</v>
      </c>
      <c r="C61" t="str">
        <f>IF(Produits!B78&lt;&gt;"",SUBSTITUTE(Produits!B78,",","."),"")</f>
        <v>2.5</v>
      </c>
      <c r="D61">
        <v>1</v>
      </c>
      <c r="F61">
        <v>1</v>
      </c>
      <c r="G61">
        <v>0</v>
      </c>
      <c r="H61">
        <v>0</v>
      </c>
    </row>
    <row r="62" spans="1:8">
      <c r="A62">
        <f>IF(Produits!G79&lt;&gt;"",Produits!G79,"")</f>
        <v>3</v>
      </c>
      <c r="B62" t="str">
        <f>IF(Produits!A79&lt;&gt;"",Produits!A79,"")</f>
        <v>Eclair Caramel Beurre Salé</v>
      </c>
      <c r="C62" t="str">
        <f>IF(Produits!B79&lt;&gt;"",SUBSTITUTE(Produits!B79,",","."),"")</f>
        <v>2.7</v>
      </c>
      <c r="D62">
        <v>1</v>
      </c>
      <c r="F62">
        <v>1</v>
      </c>
      <c r="G62">
        <v>0</v>
      </c>
      <c r="H62">
        <v>0</v>
      </c>
    </row>
    <row r="63" spans="1:8">
      <c r="A63">
        <f>IF(Produits!G80&lt;&gt;"",Produits!G80,"")</f>
        <v>3</v>
      </c>
      <c r="B63" t="str">
        <f>IF(Produits!A80&lt;&gt;"",Produits!A80,"")</f>
        <v>Eclair Spéculoos</v>
      </c>
      <c r="C63" t="str">
        <f>IF(Produits!B80&lt;&gt;"",SUBSTITUTE(Produits!B80,",","."),"")</f>
        <v>2.7</v>
      </c>
      <c r="D63">
        <v>1</v>
      </c>
      <c r="F63">
        <v>1</v>
      </c>
      <c r="G63">
        <v>0</v>
      </c>
      <c r="H63">
        <v>0</v>
      </c>
    </row>
    <row r="64" spans="1:8">
      <c r="A64">
        <f>IF(Produits!G82&lt;&gt;"",Produits!G82,"")</f>
        <v>3</v>
      </c>
      <c r="B64" t="str">
        <f>IF(Produits!A82&lt;&gt;"",Produits!A82,"")</f>
        <v>Emeraude</v>
      </c>
      <c r="C64" t="str">
        <f>IF(Produits!B82&lt;&gt;"",SUBSTITUTE(Produits!B82,",","."),"")</f>
        <v>3.9</v>
      </c>
      <c r="D64">
        <v>1</v>
      </c>
      <c r="F64">
        <v>1</v>
      </c>
      <c r="G64">
        <v>0</v>
      </c>
      <c r="H64">
        <v>0</v>
      </c>
    </row>
    <row r="65" spans="1:8">
      <c r="A65">
        <f>IF(Produits!G83&lt;&gt;"",Produits!G83,"")</f>
        <v>3</v>
      </c>
      <c r="B65" t="str">
        <f>IF(Produits!A83&lt;&gt;"",Produits!A83,"")</f>
        <v>Flan Maison</v>
      </c>
      <c r="C65" t="str">
        <f>IF(Produits!B83&lt;&gt;"",SUBSTITUTE(Produits!B83,",","."),"")</f>
        <v>2.3</v>
      </c>
      <c r="D65">
        <v>1</v>
      </c>
      <c r="F65">
        <v>1</v>
      </c>
      <c r="G65">
        <v>0</v>
      </c>
      <c r="H65">
        <v>0</v>
      </c>
    </row>
    <row r="66" spans="1:8">
      <c r="A66">
        <f>IF(Produits!G84&lt;&gt;"",Produits!G84,"")</f>
        <v>3</v>
      </c>
      <c r="B66" t="str">
        <f>IF(Produits!A84&lt;&gt;"",Produits!A84,"")</f>
        <v>Flans Spéciaux</v>
      </c>
      <c r="C66" t="str">
        <f>IF(Produits!B84&lt;&gt;"",SUBSTITUTE(Produits!B84,",","."),"")</f>
        <v>2.5</v>
      </c>
      <c r="D66">
        <v>1</v>
      </c>
      <c r="F66">
        <v>1</v>
      </c>
      <c r="G66">
        <v>0</v>
      </c>
      <c r="H66">
        <v>0</v>
      </c>
    </row>
    <row r="67" spans="1:8">
      <c r="A67">
        <f>IF(Produits!G85&lt;&gt;"",Produits!G85,"")</f>
        <v>3</v>
      </c>
      <c r="B67" t="str">
        <f>IF(Produits!A85&lt;&gt;"",Produits!A85,"")</f>
        <v>Fraisier</v>
      </c>
      <c r="C67" t="str">
        <f>IF(Produits!B85&lt;&gt;"",SUBSTITUTE(Produits!B85,",","."),"")</f>
        <v>4.5</v>
      </c>
      <c r="D67">
        <v>1</v>
      </c>
      <c r="F67">
        <v>1</v>
      </c>
      <c r="G67">
        <v>0</v>
      </c>
      <c r="H67">
        <v>0</v>
      </c>
    </row>
    <row r="68" spans="1:8">
      <c r="A68">
        <f>IF(Produits!G86&lt;&gt;"",Produits!G86,"")</f>
        <v>3</v>
      </c>
      <c r="B68" t="str">
        <f>IF(Produits!A86&lt;&gt;"",Produits!A86,"")</f>
        <v>Gianduneige</v>
      </c>
      <c r="C68" t="str">
        <f>IF(Produits!B86&lt;&gt;"",SUBSTITUTE(Produits!B86,",","."),"")</f>
        <v>3.9</v>
      </c>
      <c r="D68">
        <v>1</v>
      </c>
      <c r="F68">
        <v>1</v>
      </c>
      <c r="G68">
        <v>0</v>
      </c>
      <c r="H68">
        <v>0</v>
      </c>
    </row>
    <row r="69" spans="1:8">
      <c r="A69">
        <f>IF(Produits!G87&lt;&gt;"",Produits!G87,"")</f>
        <v>3</v>
      </c>
      <c r="B69" t="str">
        <f>IF(Produits!A87&lt;&gt;"",Produits!A87,"")</f>
        <v>Millefeuille</v>
      </c>
      <c r="C69" t="str">
        <f>IF(Produits!B87&lt;&gt;"",SUBSTITUTE(Produits!B87,",","."),"")</f>
        <v>3.9</v>
      </c>
      <c r="D69">
        <v>1</v>
      </c>
      <c r="F69">
        <v>1</v>
      </c>
      <c r="G69">
        <v>0</v>
      </c>
      <c r="H69">
        <v>0</v>
      </c>
    </row>
    <row r="70" spans="1:8">
      <c r="A70">
        <f>IF(Produits!G88&lt;&gt;"",Produits!G88,"")</f>
        <v>3</v>
      </c>
      <c r="B70" t="str">
        <f>IF(Produits!A88&lt;&gt;"",Produits!A88,"")</f>
        <v>Noisetier</v>
      </c>
      <c r="C70" t="str">
        <f>IF(Produits!B88&lt;&gt;"",SUBSTITUTE(Produits!B88,",","."),"")</f>
        <v>3.9</v>
      </c>
      <c r="D70">
        <v>1</v>
      </c>
      <c r="F70">
        <v>1</v>
      </c>
      <c r="G70">
        <v>0</v>
      </c>
      <c r="H70">
        <v>0</v>
      </c>
    </row>
    <row r="71" spans="1:8">
      <c r="A71">
        <f>IF(Produits!G89&lt;&gt;"",Produits!G89,"")</f>
        <v>3</v>
      </c>
      <c r="B71" t="str">
        <f>IF(Produits!A89&lt;&gt;"",Produits!A89,"")</f>
        <v>Paris-Brest</v>
      </c>
      <c r="C71" t="str">
        <f>IF(Produits!B89&lt;&gt;"",SUBSTITUTE(Produits!B89,",","."),"")</f>
        <v>3.5</v>
      </c>
      <c r="D71">
        <v>1</v>
      </c>
      <c r="F71">
        <v>1</v>
      </c>
      <c r="G71">
        <v>0</v>
      </c>
      <c r="H71">
        <v>0</v>
      </c>
    </row>
    <row r="72" spans="1:8">
      <c r="A72">
        <f>IF(Produits!G90&lt;&gt;"",Produits!G90,"")</f>
        <v>3</v>
      </c>
      <c r="B72" t="str">
        <f>IF(Produits!A90&lt;&gt;"",Produits!A90,"")</f>
        <v>Religieuse Café</v>
      </c>
      <c r="C72" t="str">
        <f>IF(Produits!B90&lt;&gt;"",SUBSTITUTE(Produits!B90,",","."),"")</f>
        <v>3.2</v>
      </c>
      <c r="D72">
        <v>1</v>
      </c>
      <c r="F72">
        <v>1</v>
      </c>
      <c r="G72">
        <v>0</v>
      </c>
      <c r="H72">
        <v>0</v>
      </c>
    </row>
    <row r="73" spans="1:8">
      <c r="A73">
        <f>IF(Produits!G91&lt;&gt;"",Produits!G91,"")</f>
        <v>3</v>
      </c>
      <c r="B73" t="str">
        <f>IF(Produits!A91&lt;&gt;"",Produits!A91,"")</f>
        <v>Religieuse Chocolat</v>
      </c>
      <c r="C73" t="str">
        <f>IF(Produits!B91&lt;&gt;"",SUBSTITUTE(Produits!B91,",","."),"")</f>
        <v>3.2</v>
      </c>
      <c r="D73">
        <v>1</v>
      </c>
      <c r="F73">
        <v>1</v>
      </c>
      <c r="G73">
        <v>0</v>
      </c>
      <c r="H73">
        <v>0</v>
      </c>
    </row>
    <row r="74" spans="1:8">
      <c r="A74">
        <f>IF(Produits!G92&lt;&gt;"",Produits!G92,"")</f>
        <v>3</v>
      </c>
      <c r="B74" t="str">
        <f>IF(Produits!A92&lt;&gt;"",Produits!A92,"")</f>
        <v>Richelieu</v>
      </c>
      <c r="C74" t="str">
        <f>IF(Produits!B92&lt;&gt;"",SUBSTITUTE(Produits!B92,",","."),"")</f>
        <v>3.9</v>
      </c>
      <c r="D74">
        <v>1</v>
      </c>
      <c r="F74">
        <v>1</v>
      </c>
      <c r="G74">
        <v>0</v>
      </c>
      <c r="H74">
        <v>0</v>
      </c>
    </row>
    <row r="75" spans="1:8">
      <c r="A75">
        <f>IF(Produits!G93&lt;&gt;"",Produits!G93,"")</f>
        <v>3</v>
      </c>
      <c r="B75" t="str">
        <f>IF(Produits!A93&lt;&gt;"",Produits!A93,"")</f>
        <v>Saint Honoré</v>
      </c>
      <c r="C75" t="str">
        <f>IF(Produits!B93&lt;&gt;"",SUBSTITUTE(Produits!B93,",","."),"")</f>
        <v>4.5</v>
      </c>
      <c r="D75">
        <v>1</v>
      </c>
      <c r="F75">
        <v>1</v>
      </c>
      <c r="G75">
        <v>0</v>
      </c>
      <c r="H75">
        <v>0</v>
      </c>
    </row>
    <row r="76" spans="1:8">
      <c r="A76">
        <f>IF(Produits!G94&lt;&gt;"",Produits!G94,"")</f>
        <v>3</v>
      </c>
      <c r="B76" t="str">
        <f>IF(Produits!A94&lt;&gt;"",Produits!A94,"")</f>
        <v>Clafoutis</v>
      </c>
      <c r="C76" t="str">
        <f>IF(Produits!B94&lt;&gt;"",SUBSTITUTE(Produits!B94,",","."),"")</f>
        <v>2.5</v>
      </c>
      <c r="D76">
        <v>1</v>
      </c>
      <c r="F76">
        <v>1</v>
      </c>
      <c r="G76">
        <v>0</v>
      </c>
      <c r="H76">
        <v>0</v>
      </c>
    </row>
    <row r="77" spans="1:8">
      <c r="A77">
        <f>IF(Produits!G95&lt;&gt;"",Produits!G95,"")</f>
        <v>3</v>
      </c>
      <c r="B77" t="str">
        <f>IF(Produits!A95&lt;&gt;"",Produits!A95,"")</f>
        <v>Bûchette Café</v>
      </c>
      <c r="C77" t="str">
        <f>IF(Produits!B95&lt;&gt;"",SUBSTITUTE(Produits!B95,",","."),"")</f>
        <v>3.7</v>
      </c>
      <c r="D77">
        <v>1</v>
      </c>
      <c r="F77">
        <v>1</v>
      </c>
      <c r="G77">
        <v>0</v>
      </c>
      <c r="H77">
        <v>0</v>
      </c>
    </row>
    <row r="78" spans="1:8">
      <c r="A78">
        <f>IF(Produits!G96&lt;&gt;"",Produits!G96,"")</f>
        <v>3</v>
      </c>
      <c r="B78" t="str">
        <f>IF(Produits!A96&lt;&gt;"",Produits!A96,"")</f>
        <v>Bûchette Chocolat</v>
      </c>
      <c r="C78" t="str">
        <f>IF(Produits!B96&lt;&gt;"",SUBSTITUTE(Produits!B96,",","."),"")</f>
        <v>3.7</v>
      </c>
      <c r="D78">
        <v>1</v>
      </c>
      <c r="F78">
        <v>1</v>
      </c>
      <c r="G78">
        <v>0</v>
      </c>
      <c r="H78">
        <v>0</v>
      </c>
    </row>
    <row r="79" spans="1:8">
      <c r="A79">
        <f>IF(Produits!G97&lt;&gt;"",Produits!G97,"")</f>
        <v>3</v>
      </c>
      <c r="B79" t="str">
        <f>IF(Produits!A97&lt;&gt;"",Produits!A97,"")</f>
        <v>Bûchette Spéculos</v>
      </c>
      <c r="C79" t="str">
        <f>IF(Produits!B97&lt;&gt;"",SUBSTITUTE(Produits!B97,",","."),"")</f>
        <v>3.7</v>
      </c>
      <c r="D79">
        <v>1</v>
      </c>
      <c r="F79">
        <v>1</v>
      </c>
      <c r="G79">
        <v>0</v>
      </c>
      <c r="H79">
        <v>0</v>
      </c>
    </row>
    <row r="80" spans="1:8">
      <c r="A80">
        <f>IF(Produits!G98&lt;&gt;"",Produits!G98,"")</f>
        <v>3</v>
      </c>
      <c r="B80" t="str">
        <f>IF(Produits!A98&lt;&gt;"",Produits!A98,"")</f>
        <v>Bûchette Praline</v>
      </c>
      <c r="C80" t="str">
        <f>IF(Produits!B98&lt;&gt;"",SUBSTITUTE(Produits!B98,",","."),"")</f>
        <v>3.7</v>
      </c>
      <c r="D80">
        <v>1</v>
      </c>
      <c r="F80">
        <v>1</v>
      </c>
      <c r="G80">
        <v>0</v>
      </c>
      <c r="H80">
        <v>0</v>
      </c>
    </row>
    <row r="81" spans="1:8">
      <c r="A81">
        <f>IF(Produits!G99&lt;&gt;"",Produits!G99,"")</f>
        <v>3</v>
      </c>
      <c r="B81" t="str">
        <f>IF(Produits!A99&lt;&gt;"",Produits!A99,"")</f>
        <v>Bûchette Baiser de Margot</v>
      </c>
      <c r="C81" t="str">
        <f>IF(Produits!B99&lt;&gt;"",SUBSTITUTE(Produits!B99,",","."),"")</f>
        <v>4.1</v>
      </c>
      <c r="D81">
        <v>1</v>
      </c>
      <c r="F81">
        <v>1</v>
      </c>
      <c r="G81">
        <v>0</v>
      </c>
      <c r="H81">
        <v>0</v>
      </c>
    </row>
    <row r="82" spans="1:8">
      <c r="A82">
        <f>IF(Produits!G100&lt;&gt;"",Produits!G100,"")</f>
        <v>3</v>
      </c>
      <c r="B82" t="str">
        <f>IF(Produits!A100&lt;&gt;"",Produits!A100,"")</f>
        <v>Bûchette Gianduneige</v>
      </c>
      <c r="C82" t="str">
        <f>IF(Produits!B100&lt;&gt;"",SUBSTITUTE(Produits!B100,",","."),"")</f>
        <v>4.1</v>
      </c>
      <c r="D82">
        <v>1</v>
      </c>
      <c r="F82">
        <v>1</v>
      </c>
      <c r="G82">
        <v>0</v>
      </c>
      <c r="H82">
        <v>0</v>
      </c>
    </row>
    <row r="83" spans="1:8">
      <c r="A83">
        <f>IF(Produits!G101&lt;&gt;"",Produits!G101,"")</f>
        <v>3</v>
      </c>
      <c r="B83" t="str">
        <f>IF(Produits!A101&lt;&gt;"",Produits!A101,"")</f>
        <v>Bûchette Richeulieu</v>
      </c>
      <c r="C83" t="str">
        <f>IF(Produits!B101&lt;&gt;"",SUBSTITUTE(Produits!B101,",","."),"")</f>
        <v>4.1</v>
      </c>
      <c r="D83">
        <v>1</v>
      </c>
      <c r="F83">
        <v>1</v>
      </c>
      <c r="G83">
        <v>0</v>
      </c>
      <c r="H83">
        <v>0</v>
      </c>
    </row>
    <row r="84" spans="1:8">
      <c r="A84">
        <f>IF(Produits!G102&lt;&gt;"",Produits!G102,"")</f>
        <v>3</v>
      </c>
      <c r="B84" t="str">
        <f>IF(Produits!A102&lt;&gt;"",Produits!A102,"")</f>
        <v>Bûchette Ecureuil</v>
      </c>
      <c r="C84" t="str">
        <f>IF(Produits!B102&lt;&gt;"",SUBSTITUTE(Produits!B102,",","."),"")</f>
        <v>4.1</v>
      </c>
      <c r="D84">
        <v>1</v>
      </c>
      <c r="F84">
        <v>1</v>
      </c>
      <c r="G84">
        <v>0</v>
      </c>
      <c r="H84">
        <v>0</v>
      </c>
    </row>
    <row r="85" spans="1:8">
      <c r="A85">
        <f>IF(Produits!G103&lt;&gt;"",Produits!G103,"")</f>
        <v>3</v>
      </c>
      <c r="B85" t="str">
        <f>IF(Produits!A103&lt;&gt;"",Produits!A103,"")</f>
        <v>Bûchette Passion-Framboise</v>
      </c>
      <c r="C85" t="str">
        <f>IF(Produits!B103&lt;&gt;"",SUBSTITUTE(Produits!B103,",","."),"")</f>
        <v>4.1</v>
      </c>
      <c r="D85">
        <v>1</v>
      </c>
      <c r="F85">
        <v>1</v>
      </c>
      <c r="G85">
        <v>0</v>
      </c>
      <c r="H85">
        <v>0</v>
      </c>
    </row>
    <row r="86" spans="1:8">
      <c r="A86">
        <f>IF(Produits!G104&lt;&gt;"",Produits!G104,"")</f>
        <v>3</v>
      </c>
      <c r="B86" t="str">
        <f>IF(Produits!A104&lt;&gt;"",Produits!A104,"")</f>
        <v>Tarte fine</v>
      </c>
      <c r="C86" t="str">
        <f>IF(Produits!B104&lt;&gt;"",SUBSTITUTE(Produits!B104,",","."),"")</f>
        <v>2.8</v>
      </c>
      <c r="D86">
        <v>1</v>
      </c>
      <c r="F86">
        <v>1</v>
      </c>
      <c r="G86">
        <v>0</v>
      </c>
      <c r="H86">
        <v>0</v>
      </c>
    </row>
    <row r="87" spans="1:8">
      <c r="A87">
        <f>IF(Produits!G105&lt;&gt;"",Produits!G105,"")</f>
        <v>3</v>
      </c>
      <c r="B87" t="str">
        <f>IF(Produits!A105&lt;&gt;"",Produits!A105,"")</f>
        <v>Tarte fine Abricots</v>
      </c>
      <c r="C87" t="str">
        <f>IF(Produits!B105&lt;&gt;"",SUBSTITUTE(Produits!B105,",","."),"")</f>
        <v>2.8</v>
      </c>
      <c r="D87">
        <v>1</v>
      </c>
      <c r="F87">
        <v>1</v>
      </c>
      <c r="G87">
        <v>0</v>
      </c>
      <c r="H87">
        <v>0</v>
      </c>
    </row>
    <row r="88" spans="1:8">
      <c r="A88">
        <f>IF(Produits!G106&lt;&gt;"",Produits!G106,"")</f>
        <v>3</v>
      </c>
      <c r="B88" t="str">
        <f>IF(Produits!A106&lt;&gt;"",Produits!A106,"")</f>
        <v>Tarte fine Mirabelles</v>
      </c>
      <c r="C88" t="str">
        <f>IF(Produits!B106&lt;&gt;"",SUBSTITUTE(Produits!B106,",","."),"")</f>
        <v>2.8</v>
      </c>
      <c r="D88">
        <v>1</v>
      </c>
      <c r="F88">
        <v>1</v>
      </c>
      <c r="G88">
        <v>0</v>
      </c>
      <c r="H88">
        <v>0</v>
      </c>
    </row>
    <row r="89" spans="1:8">
      <c r="A89">
        <f>IF(Produits!G107&lt;&gt;"",Produits!G107,"")</f>
        <v>3</v>
      </c>
      <c r="B89" t="str">
        <f>IF(Produits!A107&lt;&gt;"",Produits!A107,"")</f>
        <v>Tarte fine Poires</v>
      </c>
      <c r="C89" t="str">
        <f>IF(Produits!B107&lt;&gt;"",SUBSTITUTE(Produits!B107,",","."),"")</f>
        <v>2.8</v>
      </c>
      <c r="D89">
        <v>1</v>
      </c>
      <c r="F89">
        <v>1</v>
      </c>
      <c r="G89">
        <v>0</v>
      </c>
      <c r="H89">
        <v>0</v>
      </c>
    </row>
    <row r="90" spans="1:8">
      <c r="A90">
        <f>IF(Produits!G108&lt;&gt;"",Produits!G108,"")</f>
        <v>3</v>
      </c>
      <c r="B90" t="str">
        <f>IF(Produits!A108&lt;&gt;"",Produits!A108,"")</f>
        <v>Tarte fine Pommes</v>
      </c>
      <c r="C90" t="str">
        <f>IF(Produits!B108&lt;&gt;"",SUBSTITUTE(Produits!B108,",","."),"")</f>
        <v>2.8</v>
      </c>
      <c r="D90">
        <v>1</v>
      </c>
      <c r="F90">
        <v>1</v>
      </c>
      <c r="G90">
        <v>0</v>
      </c>
      <c r="H90">
        <v>0</v>
      </c>
    </row>
    <row r="91" spans="1:8">
      <c r="A91">
        <f>IF(Produits!G109&lt;&gt;"",Produits!G109,"")</f>
        <v>3</v>
      </c>
      <c r="B91" t="str">
        <f>IF(Produits!A109&lt;&gt;"",Produits!A109,"")</f>
        <v>Tarte Fruits Rouges et Crumble</v>
      </c>
      <c r="C91" t="str">
        <f>IF(Produits!B109&lt;&gt;"",SUBSTITUTE(Produits!B109,",","."),"")</f>
        <v>2.8</v>
      </c>
      <c r="D91">
        <v>1</v>
      </c>
      <c r="F91">
        <v>1</v>
      </c>
      <c r="G91">
        <v>0</v>
      </c>
      <c r="H91">
        <v>0</v>
      </c>
    </row>
    <row r="92" spans="1:8">
      <c r="A92">
        <f>IF(Produits!G110&lt;&gt;"",Produits!G110,"")</f>
        <v>3</v>
      </c>
      <c r="B92" t="str">
        <f>IF(Produits!A110&lt;&gt;"",Produits!A110,"")</f>
        <v>Tartelette Chocolat</v>
      </c>
      <c r="C92" t="str">
        <f>IF(Produits!B110&lt;&gt;"",SUBSTITUTE(Produits!B110,",","."),"")</f>
        <v>2.5</v>
      </c>
      <c r="D92">
        <v>1</v>
      </c>
      <c r="F92">
        <v>1</v>
      </c>
      <c r="G92">
        <v>0</v>
      </c>
      <c r="H92">
        <v>0</v>
      </c>
    </row>
    <row r="93" spans="1:8">
      <c r="A93">
        <f>IF(Produits!G111&lt;&gt;"",Produits!G111,"")</f>
        <v>3</v>
      </c>
      <c r="B93" t="str">
        <f>IF(Produits!A111&lt;&gt;"",Produits!A111,"")</f>
        <v>Tartelette Citron Meringuée</v>
      </c>
      <c r="C93" t="str">
        <f>IF(Produits!B111&lt;&gt;"",SUBSTITUTE(Produits!B111,",","."),"")</f>
        <v>3.6</v>
      </c>
      <c r="D93">
        <v>1</v>
      </c>
      <c r="F93">
        <v>1</v>
      </c>
      <c r="G93">
        <v>0</v>
      </c>
      <c r="H93">
        <v>0</v>
      </c>
    </row>
    <row r="94" spans="1:8">
      <c r="A94">
        <f>IF(Produits!G112&lt;&gt;"",Produits!G112,"")</f>
        <v>3</v>
      </c>
      <c r="B94" t="str">
        <f>IF(Produits!A112&lt;&gt;"",Produits!A112,"")</f>
        <v>Tartelette Tatin</v>
      </c>
      <c r="C94" t="str">
        <f>IF(Produits!B112&lt;&gt;"",SUBSTITUTE(Produits!B112,",","."),"")</f>
        <v>3.9</v>
      </c>
      <c r="D94">
        <v>1</v>
      </c>
      <c r="F94">
        <v>1</v>
      </c>
      <c r="G94">
        <v>0</v>
      </c>
      <c r="H94">
        <v>0</v>
      </c>
    </row>
    <row r="95" spans="1:8">
      <c r="A95">
        <f>IF(Produits!G113&lt;&gt;"",Produits!G113,"")</f>
        <v>3</v>
      </c>
      <c r="B95" t="str">
        <f>IF(Produits!A113&lt;&gt;"",Produits!A113,"")</f>
        <v>Tartelette Fraise</v>
      </c>
      <c r="C95" t="str">
        <f>IF(Produits!B113&lt;&gt;"",SUBSTITUTE(Produits!B113,",","."),"")</f>
        <v>3</v>
      </c>
      <c r="D95">
        <v>1</v>
      </c>
      <c r="F95">
        <v>1</v>
      </c>
      <c r="G95">
        <v>0</v>
      </c>
      <c r="H95">
        <v>0</v>
      </c>
    </row>
    <row r="96" spans="1:8">
      <c r="A96">
        <f>IF(Produits!G114&lt;&gt;"",Produits!G114,"")</f>
        <v>3</v>
      </c>
      <c r="B96" t="str">
        <f>IF(Produits!A114&lt;&gt;"",Produits!A114,"")</f>
        <v>Tartelette Framboise</v>
      </c>
      <c r="C96" t="str">
        <f>IF(Produits!B114&lt;&gt;"",SUBSTITUTE(Produits!B114,",","."),"")</f>
        <v>3.5</v>
      </c>
      <c r="D96">
        <v>1</v>
      </c>
      <c r="F96">
        <v>1</v>
      </c>
      <c r="G96">
        <v>0</v>
      </c>
      <c r="H96">
        <v>0</v>
      </c>
    </row>
    <row r="97" spans="1:8">
      <c r="A97">
        <f>IF(Produits!G115&lt;&gt;"",Produits!G115,"")</f>
        <v>3</v>
      </c>
      <c r="B97" t="str">
        <f>IF(Produits!A115&lt;&gt;"",Produits!A115,"")</f>
        <v>Tarte Automne</v>
      </c>
      <c r="C97" t="str">
        <f>IF(Produits!B115&lt;&gt;"",SUBSTITUTE(Produits!B115,",","."),"")</f>
        <v>3.2</v>
      </c>
      <c r="D97">
        <v>1</v>
      </c>
      <c r="F97">
        <v>1</v>
      </c>
      <c r="G97">
        <v>0</v>
      </c>
      <c r="H97">
        <v>0</v>
      </c>
    </row>
    <row r="98" spans="1:8">
      <c r="A98">
        <f>IF(Produits!G116&lt;&gt;"",Produits!G116,"")</f>
        <v>3</v>
      </c>
      <c r="B98" t="str">
        <f>IF(Produits!A116&lt;&gt;"",Produits!A116,"")</f>
        <v>Tarte Fraises 4pers</v>
      </c>
      <c r="C98" t="str">
        <f>IF(Produits!B116&lt;&gt;"",SUBSTITUTE(Produits!B116,",","."),"")</f>
        <v>16</v>
      </c>
      <c r="D98">
        <v>1</v>
      </c>
      <c r="F98">
        <v>1</v>
      </c>
      <c r="G98">
        <v>0</v>
      </c>
      <c r="H98">
        <v>0</v>
      </c>
    </row>
    <row r="99" spans="1:8">
      <c r="A99">
        <f>IF(Produits!G117&lt;&gt;"",Produits!G117,"")</f>
        <v>3</v>
      </c>
      <c r="B99" t="str">
        <f>IF(Produits!A117&lt;&gt;"",Produits!A117,"")</f>
        <v>Tarte Fraises 6pers</v>
      </c>
      <c r="C99" t="str">
        <f>IF(Produits!B117&lt;&gt;"",SUBSTITUTE(Produits!B117,",","."),"")</f>
        <v>24</v>
      </c>
      <c r="D99">
        <v>1</v>
      </c>
      <c r="F99">
        <v>1</v>
      </c>
      <c r="G99">
        <v>0</v>
      </c>
      <c r="H99">
        <v>0</v>
      </c>
    </row>
    <row r="100" spans="1:8">
      <c r="A100">
        <f>IF(Produits!G118&lt;&gt;"",Produits!G118,"")</f>
        <v>3</v>
      </c>
      <c r="B100" t="str">
        <f>IF(Produits!A118&lt;&gt;"",Produits!A118,"")</f>
        <v>Tarte Framboises 4pers</v>
      </c>
      <c r="C100" t="str">
        <f>IF(Produits!B118&lt;&gt;"",SUBSTITUTE(Produits!B118,",","."),"")</f>
        <v>16</v>
      </c>
      <c r="D100">
        <v>1</v>
      </c>
      <c r="F100">
        <v>1</v>
      </c>
      <c r="G100">
        <v>0</v>
      </c>
      <c r="H100">
        <v>0</v>
      </c>
    </row>
    <row r="101" spans="1:8">
      <c r="A101">
        <f>IF(Produits!G119&lt;&gt;"",Produits!G119,"")</f>
        <v>3</v>
      </c>
      <c r="B101" t="str">
        <f>IF(Produits!A119&lt;&gt;"",Produits!A119,"")</f>
        <v>Tarte Framboises 6pers</v>
      </c>
      <c r="C101" t="str">
        <f>IF(Produits!B119&lt;&gt;"",SUBSTITUTE(Produits!B119,",","."),"")</f>
        <v>24</v>
      </c>
      <c r="D101">
        <v>1</v>
      </c>
      <c r="F101">
        <v>1</v>
      </c>
      <c r="G101">
        <v>0</v>
      </c>
      <c r="H101">
        <v>0</v>
      </c>
    </row>
    <row r="102" spans="1:8">
      <c r="A102">
        <f>IF(Produits!G120&lt;&gt;"",Produits!G120,"")</f>
        <v>3</v>
      </c>
      <c r="B102" t="str">
        <f>IF(Produits!A120&lt;&gt;"",Produits!A120,"")</f>
        <v>Tarte Fraises Framboises 4pers</v>
      </c>
      <c r="C102" t="str">
        <f>IF(Produits!B120&lt;&gt;"",SUBSTITUTE(Produits!B120,",","."),"")</f>
        <v>16</v>
      </c>
      <c r="D102">
        <v>1</v>
      </c>
      <c r="F102">
        <v>1</v>
      </c>
      <c r="G102">
        <v>0</v>
      </c>
      <c r="H102">
        <v>0</v>
      </c>
    </row>
    <row r="103" spans="1:8">
      <c r="A103">
        <f>IF(Produits!G121&lt;&gt;"",Produits!G121,"")</f>
        <v>3</v>
      </c>
      <c r="B103" t="str">
        <f>IF(Produits!A121&lt;&gt;"",Produits!A121,"")</f>
        <v>Tarte Fraises Framboises 6pers</v>
      </c>
      <c r="C103" t="str">
        <f>IF(Produits!B121&lt;&gt;"",SUBSTITUTE(Produits!B121,",","."),"")</f>
        <v>24</v>
      </c>
      <c r="D103">
        <v>1</v>
      </c>
      <c r="F103">
        <v>1</v>
      </c>
      <c r="G103">
        <v>0</v>
      </c>
      <c r="H103">
        <v>0</v>
      </c>
    </row>
    <row r="104" spans="1:8">
      <c r="A104">
        <f>IF(Produits!G122&lt;&gt;"",Produits!G122,"")</f>
        <v>3</v>
      </c>
      <c r="B104" t="str">
        <f>IF(Produits!A122&lt;&gt;"",Produits!A122,"")</f>
        <v>Fraisier 4 pers</v>
      </c>
      <c r="C104" t="str">
        <f>IF(Produits!B122&lt;&gt;"",SUBSTITUTE(Produits!B122,",","."),"")</f>
        <v>19</v>
      </c>
      <c r="D104">
        <v>1</v>
      </c>
      <c r="F104">
        <v>1</v>
      </c>
      <c r="G104">
        <v>0</v>
      </c>
      <c r="H104">
        <v>0</v>
      </c>
    </row>
    <row r="105" spans="1:8">
      <c r="A105">
        <f>IF(Produits!G123&lt;&gt;"",Produits!G123,"")</f>
        <v>3</v>
      </c>
      <c r="B105" t="str">
        <f>IF(Produits!A123&lt;&gt;"",Produits!A123,"")</f>
        <v>Fraisier 6 pers</v>
      </c>
      <c r="C105" t="str">
        <f>IF(Produits!B123&lt;&gt;"",SUBSTITUTE(Produits!B123,",","."),"")</f>
        <v>28.5</v>
      </c>
      <c r="D105">
        <v>1</v>
      </c>
      <c r="F105">
        <v>1</v>
      </c>
      <c r="G105">
        <v>0</v>
      </c>
      <c r="H105">
        <v>0</v>
      </c>
    </row>
    <row r="106" spans="1:8">
      <c r="A106">
        <f>IF(Produits!G124&lt;&gt;"",Produits!G124,"")</f>
        <v>3</v>
      </c>
      <c r="B106" t="str">
        <f>IF(Produits!A124&lt;&gt;"",Produits!A124,"")</f>
        <v>Richelieu 4 pers</v>
      </c>
      <c r="C106" t="str">
        <f>IF(Produits!B124&lt;&gt;"",SUBSTITUTE(Produits!B124,",","."),"")</f>
        <v>19</v>
      </c>
      <c r="D106">
        <v>1</v>
      </c>
      <c r="F106">
        <v>1</v>
      </c>
      <c r="G106">
        <v>0</v>
      </c>
      <c r="H106">
        <v>0</v>
      </c>
    </row>
    <row r="107" spans="1:8">
      <c r="A107">
        <f>IF(Produits!G125&lt;&gt;"",Produits!G125,"")</f>
        <v>3</v>
      </c>
      <c r="B107" t="str">
        <f>IF(Produits!A125&lt;&gt;"",Produits!A125,"")</f>
        <v>Richelieu 6 pers</v>
      </c>
      <c r="C107" t="str">
        <f>IF(Produits!B125&lt;&gt;"",SUBSTITUTE(Produits!B125,",","."),"")</f>
        <v>28.5</v>
      </c>
      <c r="D107">
        <v>1</v>
      </c>
      <c r="F107">
        <v>1</v>
      </c>
      <c r="G107">
        <v>0</v>
      </c>
      <c r="H107">
        <v>0</v>
      </c>
    </row>
    <row r="108" spans="1:8">
      <c r="A108">
        <f>IF(Produits!G126&lt;&gt;"",Produits!G126,"")</f>
        <v>3</v>
      </c>
      <c r="B108" t="str">
        <f>IF(Produits!A126&lt;&gt;"",Produits!A126,"")</f>
        <v>Courchevel 4 pers</v>
      </c>
      <c r="C108" t="str">
        <f>IF(Produits!B126&lt;&gt;"",SUBSTITUTE(Produits!B126,",","."),"")</f>
        <v>20</v>
      </c>
      <c r="D108">
        <v>1</v>
      </c>
      <c r="F108">
        <v>1</v>
      </c>
      <c r="G108">
        <v>0</v>
      </c>
      <c r="H108">
        <v>0</v>
      </c>
    </row>
    <row r="109" spans="1:8">
      <c r="A109">
        <f>IF(Produits!G127&lt;&gt;"",Produits!G127,"")</f>
        <v>3</v>
      </c>
      <c r="B109" t="str">
        <f>IF(Produits!A127&lt;&gt;"",Produits!A127,"")</f>
        <v>Courchevel 6 pers</v>
      </c>
      <c r="C109" t="str">
        <f>IF(Produits!B127&lt;&gt;"",SUBSTITUTE(Produits!B127,",","."),"")</f>
        <v>29</v>
      </c>
      <c r="D109">
        <v>1</v>
      </c>
      <c r="F109">
        <v>1</v>
      </c>
      <c r="G109">
        <v>0</v>
      </c>
      <c r="H109">
        <v>0</v>
      </c>
    </row>
    <row r="110" spans="1:8">
      <c r="A110">
        <f>IF(Produits!G128&lt;&gt;"",Produits!G128,"")</f>
        <v>3</v>
      </c>
      <c r="B110" t="str">
        <f>IF(Produits!A128&lt;&gt;"",Produits!A128,"")</f>
        <v>Saint-Honoré 4 pers</v>
      </c>
      <c r="C110" t="str">
        <f>IF(Produits!B128&lt;&gt;"",SUBSTITUTE(Produits!B128,",","."),"")</f>
        <v>20</v>
      </c>
      <c r="D110">
        <v>1</v>
      </c>
      <c r="F110">
        <v>1</v>
      </c>
      <c r="G110">
        <v>0</v>
      </c>
      <c r="H110">
        <v>0</v>
      </c>
    </row>
    <row r="111" spans="1:8">
      <c r="A111">
        <f>IF(Produits!G129&lt;&gt;"",Produits!G129,"")</f>
        <v>3</v>
      </c>
      <c r="B111" t="str">
        <f>IF(Produits!A129&lt;&gt;"",Produits!A129,"")</f>
        <v>Saint-Honoré 6 pers</v>
      </c>
      <c r="C111" t="str">
        <f>IF(Produits!B129&lt;&gt;"",SUBSTITUTE(Produits!B129,",","."),"")</f>
        <v>29</v>
      </c>
      <c r="D111">
        <v>1</v>
      </c>
      <c r="F111">
        <v>1</v>
      </c>
      <c r="G111">
        <v>0</v>
      </c>
      <c r="H111">
        <v>0</v>
      </c>
    </row>
    <row r="112" spans="1:8">
      <c r="A112">
        <f>IF(Produits!G130&lt;&gt;"",Produits!G130,"")</f>
        <v>3</v>
      </c>
      <c r="B112" t="str">
        <f>IF(Produits!A130&lt;&gt;"",Produits!A130,"")</f>
        <v>Tarte Fine Abricots 6 pers</v>
      </c>
      <c r="C112" t="str">
        <f>IF(Produits!B130&lt;&gt;"",SUBSTITUTE(Produits!B130,",","."),"")</f>
        <v>15</v>
      </c>
      <c r="D112">
        <v>1</v>
      </c>
      <c r="F112">
        <v>1</v>
      </c>
      <c r="G112">
        <v>0</v>
      </c>
      <c r="H112">
        <v>0</v>
      </c>
    </row>
    <row r="113" spans="1:8">
      <c r="A113">
        <f>IF(Produits!G131&lt;&gt;"",Produits!G131,"")</f>
        <v>3</v>
      </c>
      <c r="B113" t="str">
        <f>IF(Produits!A131&lt;&gt;"",Produits!A131,"")</f>
        <v>Tarte Fine Mirabelles 6 pers</v>
      </c>
      <c r="C113" t="str">
        <f>IF(Produits!B131&lt;&gt;"",SUBSTITUTE(Produits!B131,",","."),"")</f>
        <v>15</v>
      </c>
      <c r="D113">
        <v>1</v>
      </c>
      <c r="F113">
        <v>1</v>
      </c>
      <c r="G113">
        <v>0</v>
      </c>
      <c r="H113">
        <v>0</v>
      </c>
    </row>
    <row r="114" spans="1:8">
      <c r="A114">
        <f>IF(Produits!G132&lt;&gt;"",Produits!G132,"")</f>
        <v>3</v>
      </c>
      <c r="B114" t="str">
        <f>IF(Produits!A132&lt;&gt;"",Produits!A132,"")</f>
        <v>Tarte Fine Poires 6 pers</v>
      </c>
      <c r="C114" t="str">
        <f>IF(Produits!B132&lt;&gt;"",SUBSTITUTE(Produits!B132,",","."),"")</f>
        <v>15</v>
      </c>
      <c r="D114">
        <v>1</v>
      </c>
      <c r="F114">
        <v>1</v>
      </c>
      <c r="G114">
        <v>0</v>
      </c>
      <c r="H114">
        <v>0</v>
      </c>
    </row>
    <row r="115" spans="1:8">
      <c r="A115">
        <f>IF(Produits!G133&lt;&gt;"",Produits!G133,"")</f>
        <v>3</v>
      </c>
      <c r="B115" t="str">
        <f>IF(Produits!A133&lt;&gt;"",Produits!A133,"")</f>
        <v>Tarte Fine Pommes 6 pers</v>
      </c>
      <c r="C115" t="str">
        <f>IF(Produits!B133&lt;&gt;"",SUBSTITUTE(Produits!B133,",","."),"")</f>
        <v>15</v>
      </c>
      <c r="D115">
        <v>1</v>
      </c>
      <c r="F115">
        <v>1</v>
      </c>
      <c r="G115">
        <v>0</v>
      </c>
      <c r="H115">
        <v>0</v>
      </c>
    </row>
    <row r="116" spans="1:8">
      <c r="A116">
        <f>IF(Produits!G134&lt;&gt;"",Produits!G134,"")</f>
        <v>3</v>
      </c>
      <c r="B116" t="str">
        <f>IF(Produits!A134&lt;&gt;"",Produits!A134,"")</f>
        <v>Bûche Café 4 pers</v>
      </c>
      <c r="C116" t="str">
        <f>IF(Produits!B134&lt;&gt;"",SUBSTITUTE(Produits!B134,",","."),"")</f>
        <v>16</v>
      </c>
      <c r="D116">
        <v>1</v>
      </c>
      <c r="F116">
        <v>1</v>
      </c>
      <c r="G116">
        <v>0</v>
      </c>
      <c r="H116">
        <v>0</v>
      </c>
    </row>
    <row r="117" spans="1:8">
      <c r="A117">
        <f>IF(Produits!G135&lt;&gt;"",Produits!G135,"")</f>
        <v>3</v>
      </c>
      <c r="B117" t="str">
        <f>IF(Produits!A135&lt;&gt;"",Produits!A135,"")</f>
        <v>Bûche Café 6 pers</v>
      </c>
      <c r="C117" t="str">
        <f>IF(Produits!B135&lt;&gt;"",SUBSTITUTE(Produits!B135,",","."),"")</f>
        <v>24</v>
      </c>
      <c r="D117">
        <v>1</v>
      </c>
      <c r="F117">
        <v>1</v>
      </c>
      <c r="G117">
        <v>0</v>
      </c>
      <c r="H117">
        <v>0</v>
      </c>
    </row>
    <row r="118" spans="1:8">
      <c r="A118">
        <f>IF(Produits!G136&lt;&gt;"",Produits!G136,"")</f>
        <v>3</v>
      </c>
      <c r="B118" t="str">
        <f>IF(Produits!A136&lt;&gt;"",Produits!A136,"")</f>
        <v>Bûche Café 8 pers</v>
      </c>
      <c r="C118" t="str">
        <f>IF(Produits!B136&lt;&gt;"",SUBSTITUTE(Produits!B136,",","."),"")</f>
        <v>32</v>
      </c>
      <c r="D118">
        <v>1</v>
      </c>
      <c r="F118">
        <v>1</v>
      </c>
      <c r="G118">
        <v>0</v>
      </c>
      <c r="H118">
        <v>0</v>
      </c>
    </row>
    <row r="119" spans="1:8">
      <c r="A119">
        <f>IF(Produits!G137&lt;&gt;"",Produits!G137,"")</f>
        <v>3</v>
      </c>
      <c r="B119" t="str">
        <f>IF(Produits!A137&lt;&gt;"",Produits!A137,"")</f>
        <v>Bûche Chocolat 4 pers</v>
      </c>
      <c r="C119" t="str">
        <f>IF(Produits!B137&lt;&gt;"",SUBSTITUTE(Produits!B137,",","."),"")</f>
        <v>16</v>
      </c>
      <c r="D119">
        <v>1</v>
      </c>
      <c r="F119">
        <v>1</v>
      </c>
      <c r="G119">
        <v>0</v>
      </c>
      <c r="H119">
        <v>0</v>
      </c>
    </row>
    <row r="120" spans="1:8">
      <c r="A120">
        <f>IF(Produits!G138&lt;&gt;"",Produits!G138,"")</f>
        <v>3</v>
      </c>
      <c r="B120" t="str">
        <f>IF(Produits!A138&lt;&gt;"",Produits!A138,"")</f>
        <v>Bûche Chocolat 6 pers</v>
      </c>
      <c r="C120" t="str">
        <f>IF(Produits!B138&lt;&gt;"",SUBSTITUTE(Produits!B138,",","."),"")</f>
        <v>24</v>
      </c>
      <c r="D120">
        <v>1</v>
      </c>
      <c r="F120">
        <v>1</v>
      </c>
      <c r="G120">
        <v>0</v>
      </c>
      <c r="H120">
        <v>0</v>
      </c>
    </row>
    <row r="121" spans="1:8">
      <c r="A121">
        <f>IF(Produits!G139&lt;&gt;"",Produits!G139,"")</f>
        <v>3</v>
      </c>
      <c r="B121" t="str">
        <f>IF(Produits!A139&lt;&gt;"",Produits!A139,"")</f>
        <v>Bûche Chocolat 8 pers</v>
      </c>
      <c r="C121" t="str">
        <f>IF(Produits!B139&lt;&gt;"",SUBSTITUTE(Produits!B139,",","."),"")</f>
        <v>32</v>
      </c>
      <c r="D121">
        <v>1</v>
      </c>
      <c r="F121">
        <v>1</v>
      </c>
      <c r="G121">
        <v>0</v>
      </c>
      <c r="H121">
        <v>0</v>
      </c>
    </row>
    <row r="122" spans="1:8">
      <c r="A122">
        <f>IF(Produits!G140&lt;&gt;"",Produits!G140,"")</f>
        <v>3</v>
      </c>
      <c r="B122" t="str">
        <f>IF(Produits!A140&lt;&gt;"",Produits!A140,"")</f>
        <v>Bûche Baiser de Margot 4 pers</v>
      </c>
      <c r="C122" t="str">
        <f>IF(Produits!B140&lt;&gt;"",SUBSTITUTE(Produits!B140,",","."),"")</f>
        <v>19</v>
      </c>
      <c r="D122">
        <v>1</v>
      </c>
      <c r="F122">
        <v>1</v>
      </c>
      <c r="G122">
        <v>0</v>
      </c>
      <c r="H122">
        <v>0</v>
      </c>
    </row>
    <row r="123" spans="1:8">
      <c r="A123">
        <f>IF(Produits!G141&lt;&gt;"",Produits!G141,"")</f>
        <v>3</v>
      </c>
      <c r="B123" t="str">
        <f>IF(Produits!A141&lt;&gt;"",Produits!A141,"")</f>
        <v>Bûche Baiser de Margot 6 pers</v>
      </c>
      <c r="C123" t="str">
        <f>IF(Produits!B141&lt;&gt;"",SUBSTITUTE(Produits!B141,",","."),"")</f>
        <v>28</v>
      </c>
      <c r="D123">
        <v>1</v>
      </c>
      <c r="F123">
        <v>1</v>
      </c>
      <c r="G123">
        <v>0</v>
      </c>
      <c r="H123">
        <v>0</v>
      </c>
    </row>
    <row r="124" spans="1:8">
      <c r="A124">
        <f>IF(Produits!G142&lt;&gt;"",Produits!G142,"")</f>
        <v>3</v>
      </c>
      <c r="B124" t="str">
        <f>IF(Produits!A142&lt;&gt;"",Produits!A142,"")</f>
        <v>Bûche Baiser de Margot 8 pers</v>
      </c>
      <c r="C124" t="str">
        <f>IF(Produits!B142&lt;&gt;"",SUBSTITUTE(Produits!B142,",","."),"")</f>
        <v>38</v>
      </c>
      <c r="D124">
        <v>1</v>
      </c>
      <c r="F124">
        <v>1</v>
      </c>
      <c r="G124">
        <v>0</v>
      </c>
      <c r="H124">
        <v>0</v>
      </c>
    </row>
    <row r="125" spans="1:8">
      <c r="A125">
        <f>IF(Produits!G143&lt;&gt;"",Produits!G143,"")</f>
        <v>3</v>
      </c>
      <c r="B125" t="str">
        <f>IF(Produits!A143&lt;&gt;"",Produits!A143,"")</f>
        <v>Bûche Gianduneige 4 pers</v>
      </c>
      <c r="C125" t="str">
        <f>IF(Produits!B143&lt;&gt;"",SUBSTITUTE(Produits!B143,",","."),"")</f>
        <v>19</v>
      </c>
      <c r="D125">
        <v>1</v>
      </c>
      <c r="F125">
        <v>1</v>
      </c>
      <c r="G125">
        <v>0</v>
      </c>
      <c r="H125">
        <v>0</v>
      </c>
    </row>
    <row r="126" spans="1:8">
      <c r="A126">
        <f>IF(Produits!G144&lt;&gt;"",Produits!G144,"")</f>
        <v>3</v>
      </c>
      <c r="B126" t="str">
        <f>IF(Produits!A144&lt;&gt;"",Produits!A144,"")</f>
        <v>Bûche Gianduneige 6 pers</v>
      </c>
      <c r="C126" t="str">
        <f>IF(Produits!B144&lt;&gt;"",SUBSTITUTE(Produits!B144,",","."),"")</f>
        <v>28</v>
      </c>
      <c r="D126">
        <v>1</v>
      </c>
      <c r="F126">
        <v>1</v>
      </c>
      <c r="G126">
        <v>0</v>
      </c>
      <c r="H126">
        <v>0</v>
      </c>
    </row>
    <row r="127" spans="1:8">
      <c r="A127">
        <f>IF(Produits!G145&lt;&gt;"",Produits!G145,"")</f>
        <v>3</v>
      </c>
      <c r="B127" t="str">
        <f>IF(Produits!A145&lt;&gt;"",Produits!A145,"")</f>
        <v>Bûche Gianduneige 8 pers</v>
      </c>
      <c r="C127" t="str">
        <f>IF(Produits!B145&lt;&gt;"",SUBSTITUTE(Produits!B145,",","."),"")</f>
        <v>38</v>
      </c>
      <c r="D127">
        <v>1</v>
      </c>
      <c r="F127">
        <v>1</v>
      </c>
      <c r="G127">
        <v>0</v>
      </c>
      <c r="H127">
        <v>0</v>
      </c>
    </row>
    <row r="128" spans="1:8">
      <c r="A128">
        <f>IF(Produits!G146&lt;&gt;"",Produits!G146,"")</f>
        <v>3</v>
      </c>
      <c r="B128" t="str">
        <f>IF(Produits!A146&lt;&gt;"",Produits!A146,"")</f>
        <v>Bûche Richeulieu 4 pers</v>
      </c>
      <c r="C128" t="str">
        <f>IF(Produits!B146&lt;&gt;"",SUBSTITUTE(Produits!B146,",","."),"")</f>
        <v>19</v>
      </c>
      <c r="D128">
        <v>1</v>
      </c>
      <c r="F128">
        <v>1</v>
      </c>
      <c r="G128">
        <v>0</v>
      </c>
      <c r="H128">
        <v>0</v>
      </c>
    </row>
    <row r="129" spans="1:8">
      <c r="A129">
        <f>IF(Produits!G147&lt;&gt;"",Produits!G147,"")</f>
        <v>3</v>
      </c>
      <c r="B129" t="str">
        <f>IF(Produits!A147&lt;&gt;"",Produits!A147,"")</f>
        <v>Bûche Richeulieu 6 pers</v>
      </c>
      <c r="C129" t="str">
        <f>IF(Produits!B147&lt;&gt;"",SUBSTITUTE(Produits!B147,",","."),"")</f>
        <v>28</v>
      </c>
      <c r="D129">
        <v>1</v>
      </c>
      <c r="F129">
        <v>1</v>
      </c>
      <c r="G129">
        <v>0</v>
      </c>
      <c r="H129">
        <v>0</v>
      </c>
    </row>
    <row r="130" spans="1:8">
      <c r="A130">
        <f>IF(Produits!G148&lt;&gt;"",Produits!G148,"")</f>
        <v>3</v>
      </c>
      <c r="B130" t="str">
        <f>IF(Produits!A148&lt;&gt;"",Produits!A148,"")</f>
        <v>Bûche Richeulieu 8 pers</v>
      </c>
      <c r="C130" t="str">
        <f>IF(Produits!B148&lt;&gt;"",SUBSTITUTE(Produits!B148,",","."),"")</f>
        <v>38</v>
      </c>
      <c r="D130">
        <v>1</v>
      </c>
      <c r="F130">
        <v>1</v>
      </c>
      <c r="G130">
        <v>0</v>
      </c>
      <c r="H130">
        <v>0</v>
      </c>
    </row>
    <row r="131" spans="1:8">
      <c r="A131">
        <f>IF(Produits!G149&lt;&gt;"",Produits!G149,"")</f>
        <v>3</v>
      </c>
      <c r="B131" t="str">
        <f>IF(Produits!A149&lt;&gt;"",Produits!A149,"")</f>
        <v>Bûche Ecureuil 4 pers</v>
      </c>
      <c r="C131" t="str">
        <f>IF(Produits!B149&lt;&gt;"",SUBSTITUTE(Produits!B149,",","."),"")</f>
        <v>19</v>
      </c>
      <c r="D131">
        <v>1</v>
      </c>
      <c r="F131">
        <v>1</v>
      </c>
      <c r="G131">
        <v>0</v>
      </c>
      <c r="H131">
        <v>0</v>
      </c>
    </row>
    <row r="132" spans="1:8">
      <c r="A132">
        <f>IF(Produits!G150&lt;&gt;"",Produits!G150,"")</f>
        <v>3</v>
      </c>
      <c r="B132" t="str">
        <f>IF(Produits!A150&lt;&gt;"",Produits!A150,"")</f>
        <v>Bûche Ecureuil 6 pers</v>
      </c>
      <c r="C132" t="str">
        <f>IF(Produits!B150&lt;&gt;"",SUBSTITUTE(Produits!B150,",","."),"")</f>
        <v>28</v>
      </c>
      <c r="D132">
        <v>1</v>
      </c>
      <c r="F132">
        <v>1</v>
      </c>
      <c r="G132">
        <v>0</v>
      </c>
      <c r="H132">
        <v>0</v>
      </c>
    </row>
    <row r="133" spans="1:8">
      <c r="A133">
        <f>IF(Produits!G151&lt;&gt;"",Produits!G151,"")</f>
        <v>3</v>
      </c>
      <c r="B133" t="str">
        <f>IF(Produits!A151&lt;&gt;"",Produits!A151,"")</f>
        <v>Bûche Ecureuil 8 pers</v>
      </c>
      <c r="C133" t="str">
        <f>IF(Produits!B151&lt;&gt;"",SUBSTITUTE(Produits!B151,",","."),"")</f>
        <v>38</v>
      </c>
      <c r="D133">
        <v>1</v>
      </c>
      <c r="F133">
        <v>1</v>
      </c>
      <c r="G133">
        <v>0</v>
      </c>
      <c r="H133">
        <v>0</v>
      </c>
    </row>
    <row r="134" spans="1:8">
      <c r="A134">
        <f>IF(Produits!G152&lt;&gt;"",Produits!G152,"")</f>
        <v>3</v>
      </c>
      <c r="B134" t="str">
        <f>IF(Produits!A152&lt;&gt;"",Produits!A152,"")</f>
        <v>Bûche Passion-Framboise 4 pers</v>
      </c>
      <c r="C134" t="str">
        <f>IF(Produits!B152&lt;&gt;"",SUBSTITUTE(Produits!B152,",","."),"")</f>
        <v>19</v>
      </c>
      <c r="D134">
        <v>1</v>
      </c>
      <c r="F134">
        <v>1</v>
      </c>
      <c r="G134">
        <v>0</v>
      </c>
      <c r="H134">
        <v>0</v>
      </c>
    </row>
    <row r="135" spans="1:8">
      <c r="A135">
        <f>IF(Produits!G153&lt;&gt;"",Produits!G153,"")</f>
        <v>3</v>
      </c>
      <c r="B135" t="str">
        <f>IF(Produits!A153&lt;&gt;"",Produits!A153,"")</f>
        <v>Bûche Passion-Framboise  6 pers</v>
      </c>
      <c r="C135" t="str">
        <f>IF(Produits!B153&lt;&gt;"",SUBSTITUTE(Produits!B153,",","."),"")</f>
        <v>28</v>
      </c>
      <c r="D135">
        <v>1</v>
      </c>
      <c r="F135">
        <v>1</v>
      </c>
      <c r="G135">
        <v>0</v>
      </c>
      <c r="H135">
        <v>0</v>
      </c>
    </row>
    <row r="136" spans="1:8">
      <c r="A136">
        <f>IF(Produits!G154&lt;&gt;"",Produits!G154,"")</f>
        <v>3</v>
      </c>
      <c r="B136" t="str">
        <f>IF(Produits!A154&lt;&gt;"",Produits!A154,"")</f>
        <v>Bûche Passion-Framboise  8 pers</v>
      </c>
      <c r="C136" t="str">
        <f>IF(Produits!B154&lt;&gt;"",SUBSTITUTE(Produits!B154,",","."),"")</f>
        <v>38</v>
      </c>
      <c r="D136">
        <v>1</v>
      </c>
      <c r="F136">
        <v>1</v>
      </c>
      <c r="G136">
        <v>0</v>
      </c>
      <c r="H136">
        <v>0</v>
      </c>
    </row>
    <row r="137" spans="1:8">
      <c r="A137">
        <f>IF(Produits!G155&lt;&gt;"",Produits!G155,"")</f>
        <v>3</v>
      </c>
      <c r="B137" t="str">
        <f>IF(Produits!A155&lt;&gt;"",Produits!A155,"")</f>
        <v>Divers Patisserie</v>
      </c>
      <c r="C137" t="str">
        <f>IF(Produits!B155&lt;&gt;"",SUBSTITUTE(Produits!B155,",","."),"")</f>
        <v>0</v>
      </c>
      <c r="D137">
        <v>1</v>
      </c>
      <c r="F137">
        <v>1</v>
      </c>
      <c r="G137">
        <v>0</v>
      </c>
      <c r="H137">
        <v>0</v>
      </c>
    </row>
    <row r="138" spans="1:8">
      <c r="A138">
        <f>IF(Produits!G156&lt;&gt;"",Produits!G156,"")</f>
        <v>6</v>
      </c>
      <c r="B138" t="str">
        <f>IF(Produits!A156&lt;&gt;"",Produits!A156,"")</f>
        <v>Cristaline</v>
      </c>
      <c r="C138" t="str">
        <f>IF(Produits!B156&lt;&gt;"",SUBSTITUTE(Produits!B156,",","."),"")</f>
        <v>1</v>
      </c>
      <c r="D138">
        <v>1</v>
      </c>
      <c r="F138">
        <v>1</v>
      </c>
      <c r="G138">
        <v>0</v>
      </c>
      <c r="H138">
        <v>0</v>
      </c>
    </row>
    <row r="139" spans="1:8">
      <c r="A139">
        <f>IF(Produits!G157&lt;&gt;"",Produits!G157,"")</f>
        <v>6</v>
      </c>
      <c r="B139" t="str">
        <f>IF(Produits!A157&lt;&gt;"",Produits!A157,"")</f>
        <v>Badoit</v>
      </c>
      <c r="C139" t="str">
        <f>IF(Produits!B157&lt;&gt;"",SUBSTITUTE(Produits!B157,",","."),"")</f>
        <v>1.5</v>
      </c>
      <c r="D139">
        <v>1</v>
      </c>
      <c r="F139">
        <v>1</v>
      </c>
      <c r="G139">
        <v>0</v>
      </c>
      <c r="H139">
        <v>0</v>
      </c>
    </row>
    <row r="140" spans="1:8">
      <c r="A140">
        <f>IF(Produits!G158&lt;&gt;"",Produits!G158,"")</f>
        <v>6</v>
      </c>
      <c r="B140" t="str">
        <f>IF(Produits!A158&lt;&gt;"",Produits!A158,"")</f>
        <v>Evian</v>
      </c>
      <c r="C140" t="str">
        <f>IF(Produits!B158&lt;&gt;"",SUBSTITUTE(Produits!B158,",","."),"")</f>
        <v>1.5</v>
      </c>
      <c r="D140">
        <v>1</v>
      </c>
      <c r="F140">
        <v>1</v>
      </c>
      <c r="G140">
        <v>0</v>
      </c>
      <c r="H140">
        <v>0</v>
      </c>
    </row>
    <row r="141" spans="1:8">
      <c r="A141">
        <f>IF(Produits!G159&lt;&gt;"",Produits!G159,"")</f>
        <v>6</v>
      </c>
      <c r="B141" t="str">
        <f>IF(Produits!A159&lt;&gt;"",Produits!A159,"")</f>
        <v>Canette</v>
      </c>
      <c r="C141" t="str">
        <f>IF(Produits!B159&lt;&gt;"",SUBSTITUTE(Produits!B159,",","."),"")</f>
        <v>1.7</v>
      </c>
      <c r="D141">
        <v>1</v>
      </c>
      <c r="F141">
        <v>1</v>
      </c>
      <c r="G141">
        <v>0</v>
      </c>
      <c r="H141">
        <v>0</v>
      </c>
    </row>
    <row r="142" spans="1:8">
      <c r="A142">
        <f>IF(Produits!G160&lt;&gt;"",Produits!G160,"")</f>
        <v>6</v>
      </c>
      <c r="B142" t="str">
        <f>IF(Produits!A160&lt;&gt;"",Produits!A160,"")</f>
        <v>Café Expresso</v>
      </c>
      <c r="C142" t="str">
        <f>IF(Produits!B160&lt;&gt;"",SUBSTITUTE(Produits!B160,",","."),"")</f>
        <v>1</v>
      </c>
      <c r="D142">
        <v>1</v>
      </c>
      <c r="F142">
        <v>1</v>
      </c>
      <c r="G142">
        <v>0</v>
      </c>
      <c r="H142">
        <v>0</v>
      </c>
    </row>
    <row r="143" spans="1:8">
      <c r="A143">
        <f>IF(Produits!G161&lt;&gt;"",Produits!G161,"")</f>
        <v>6</v>
      </c>
      <c r="B143" t="str">
        <f>IF(Produits!A161&lt;&gt;"",Produits!A161,"")</f>
        <v>Café Long</v>
      </c>
      <c r="C143" t="str">
        <f>IF(Produits!B161&lt;&gt;"",SUBSTITUTE(Produits!B161,",","."),"")</f>
        <v>1.2</v>
      </c>
      <c r="D143">
        <v>1</v>
      </c>
      <c r="F143">
        <v>1</v>
      </c>
      <c r="G143">
        <v>0</v>
      </c>
      <c r="H143">
        <v>0</v>
      </c>
    </row>
    <row r="144" spans="1:8">
      <c r="A144">
        <f>IF(Produits!G162&lt;&gt;"",Produits!G162,"")</f>
        <v>6</v>
      </c>
      <c r="B144" t="str">
        <f>IF(Produits!A162&lt;&gt;"",Produits!A162,"")</f>
        <v>Café au Lait</v>
      </c>
      <c r="C144" t="str">
        <f>IF(Produits!B162&lt;&gt;"",SUBSTITUTE(Produits!B162,",","."),"")</f>
        <v>1.5</v>
      </c>
      <c r="D144">
        <v>1</v>
      </c>
      <c r="F144">
        <v>1</v>
      </c>
      <c r="G144">
        <v>0</v>
      </c>
      <c r="H144">
        <v>0</v>
      </c>
    </row>
    <row r="145" spans="1:8">
      <c r="A145">
        <f>IF(Produits!G163&lt;&gt;"",Produits!G163,"")</f>
        <v>6</v>
      </c>
      <c r="B145" t="str">
        <f>IF(Produits!A163&lt;&gt;"",Produits!A163,"")</f>
        <v>Thé</v>
      </c>
      <c r="C145" t="str">
        <f>IF(Produits!B163&lt;&gt;"",SUBSTITUTE(Produits!B163,",","."),"")</f>
        <v>1.5</v>
      </c>
      <c r="D145">
        <v>1</v>
      </c>
      <c r="F145">
        <v>1</v>
      </c>
      <c r="G145">
        <v>0</v>
      </c>
      <c r="H145">
        <v>0</v>
      </c>
    </row>
    <row r="146" spans="1:8">
      <c r="A146">
        <f>IF(Produits!G164&lt;&gt;"",Produits!G164,"")</f>
        <v>6</v>
      </c>
      <c r="B146" t="str">
        <f>IF(Produits!A164&lt;&gt;"",Produits!A164,"")</f>
        <v>Zenat</v>
      </c>
      <c r="C146" t="str">
        <f>IF(Produits!B164&lt;&gt;"",SUBSTITUTE(Produits!B164,",","."),"")</f>
        <v>2.8</v>
      </c>
      <c r="D146">
        <v>1</v>
      </c>
      <c r="F146">
        <v>1</v>
      </c>
      <c r="G146">
        <v>0</v>
      </c>
      <c r="H146">
        <v>0</v>
      </c>
    </row>
    <row r="147" spans="1:8">
      <c r="A147">
        <f>IF(Produits!G165&lt;&gt;"",Produits!G165,"")</f>
        <v>6</v>
      </c>
      <c r="B147" t="str">
        <f>IF(Produits!A165&lt;&gt;"",Produits!A165,"")</f>
        <v>Confiture</v>
      </c>
      <c r="C147" t="str">
        <f>IF(Produits!B165&lt;&gt;"",SUBSTITUTE(Produits!B165,",","."),"")</f>
        <v>4</v>
      </c>
      <c r="D147">
        <v>1</v>
      </c>
      <c r="F147">
        <v>1</v>
      </c>
      <c r="G147">
        <v>0</v>
      </c>
      <c r="H147">
        <v>0</v>
      </c>
    </row>
    <row r="148" spans="1:8">
      <c r="A148">
        <f>IF(Produits!G166&lt;&gt;"",Produits!G166,"")</f>
        <v>6</v>
      </c>
      <c r="B148" t="str">
        <f>IF(Produits!A166&lt;&gt;"",Produits!A166,"")</f>
        <v>Pago</v>
      </c>
      <c r="C148" t="str">
        <f>IF(Produits!B166&lt;&gt;"",SUBSTITUTE(Produits!B166,",","."),"")</f>
        <v>2.5</v>
      </c>
      <c r="D148">
        <v>1</v>
      </c>
      <c r="F148">
        <v>1</v>
      </c>
      <c r="G148">
        <v>0</v>
      </c>
      <c r="H148">
        <v>0</v>
      </c>
    </row>
    <row r="149" spans="1:8">
      <c r="A149">
        <f>IF(Produits!G167&lt;&gt;"",Produits!G167,"")</f>
        <v>6</v>
      </c>
      <c r="B149" t="str">
        <f>IF(Produits!A167&lt;&gt;"",Produits!A167,"")</f>
        <v>Bouteille de Vin Rouge</v>
      </c>
      <c r="C149" t="str">
        <f>IF(Produits!B167&lt;&gt;"",SUBSTITUTE(Produits!B167,",","."),"")</f>
        <v>7.8</v>
      </c>
      <c r="D149">
        <v>1</v>
      </c>
      <c r="F149">
        <v>1</v>
      </c>
      <c r="G149">
        <v>0</v>
      </c>
      <c r="H149">
        <v>0</v>
      </c>
    </row>
    <row r="150" spans="1:8">
      <c r="A150">
        <f>IF(Produits!G168&lt;&gt;"",Produits!G168,"")</f>
        <v>6</v>
      </c>
      <c r="B150" t="str">
        <f>IF(Produits!A168&lt;&gt;"",Produits!A168,"")</f>
        <v>Bouteille de Vin Blanc</v>
      </c>
      <c r="C150" t="str">
        <f>IF(Produits!B168&lt;&gt;"",SUBSTITUTE(Produits!B168,",","."),"")</f>
        <v>7.8</v>
      </c>
      <c r="D150">
        <v>1</v>
      </c>
      <c r="F150">
        <v>1</v>
      </c>
      <c r="G150">
        <v>0</v>
      </c>
      <c r="H150">
        <v>0</v>
      </c>
    </row>
    <row r="151" spans="1:8">
      <c r="A151">
        <f>IF(Produits!G169&lt;&gt;"",Produits!G169,"")</f>
        <v>6</v>
      </c>
      <c r="B151" t="str">
        <f>IF(Produits!A169&lt;&gt;"",Produits!A169,"")</f>
        <v>Champagne</v>
      </c>
      <c r="C151" t="str">
        <f>IF(Produits!B169&lt;&gt;"",SUBSTITUTE(Produits!B169,",","."),"")</f>
        <v>38</v>
      </c>
      <c r="D151">
        <v>1</v>
      </c>
      <c r="F151">
        <v>1</v>
      </c>
      <c r="G151">
        <v>0</v>
      </c>
      <c r="H151">
        <v>0</v>
      </c>
    </row>
    <row r="152" spans="1:8">
      <c r="A152">
        <f>IF(Produits!G170&lt;&gt;"",Produits!G170,"")</f>
        <v>6</v>
      </c>
      <c r="B152" t="str">
        <f>IF(Produits!A170&lt;&gt;"",Produits!A170,"")</f>
        <v>Divers Boisson</v>
      </c>
      <c r="C152" t="str">
        <f>IF(Produits!B170&lt;&gt;"",SUBSTITUTE(Produits!B170,",","."),"")</f>
        <v>0</v>
      </c>
      <c r="D152">
        <v>1</v>
      </c>
      <c r="F152">
        <v>1</v>
      </c>
      <c r="G152">
        <v>0</v>
      </c>
      <c r="H152">
        <v>0</v>
      </c>
    </row>
    <row r="153" spans="1:8">
      <c r="A153">
        <f>IF(Produits!G171&lt;&gt;"",Produits!G171,"")</f>
        <v>8</v>
      </c>
      <c r="B153" t="str">
        <f>IF(Produits!A171&lt;&gt;"",Produits!A171,"")</f>
        <v>Sandwich Jambon Fromage</v>
      </c>
      <c r="C153" t="str">
        <f>IF(Produits!B171&lt;&gt;"",SUBSTITUTE(Produits!B171,",","."),"")</f>
        <v>3.4</v>
      </c>
      <c r="D153">
        <v>1</v>
      </c>
      <c r="F153">
        <v>1</v>
      </c>
      <c r="G153">
        <v>0</v>
      </c>
      <c r="H153">
        <v>0</v>
      </c>
    </row>
    <row r="154" spans="1:8">
      <c r="A154">
        <f>IF(Produits!G172&lt;&gt;"",Produits!G172,"")</f>
        <v>8</v>
      </c>
      <c r="B154" t="str">
        <f>IF(Produits!A172&lt;&gt;"",Produits!A172,"")</f>
        <v>Sandwich Jambon Beurre</v>
      </c>
      <c r="C154" t="str">
        <f>IF(Produits!B172&lt;&gt;"",SUBSTITUTE(Produits!B172,",","."),"")</f>
        <v>3.1</v>
      </c>
      <c r="D154">
        <v>1</v>
      </c>
      <c r="F154">
        <v>1</v>
      </c>
      <c r="G154">
        <v>0</v>
      </c>
      <c r="H154">
        <v>0</v>
      </c>
    </row>
    <row r="155" spans="1:8">
      <c r="A155">
        <f>IF(Produits!G173&lt;&gt;"",Produits!G173,"")</f>
        <v>8</v>
      </c>
      <c r="B155" t="str">
        <f>IF(Produits!A173&lt;&gt;"",Produits!A173,"")</f>
        <v>Sandwich Jambon Pays</v>
      </c>
      <c r="C155" t="str">
        <f>IF(Produits!B173&lt;&gt;"",SUBSTITUTE(Produits!B173,",","."),"")</f>
        <v>3.4</v>
      </c>
      <c r="D155">
        <v>1</v>
      </c>
      <c r="F155">
        <v>1</v>
      </c>
      <c r="G155">
        <v>0</v>
      </c>
      <c r="H155">
        <v>0</v>
      </c>
    </row>
    <row r="156" spans="1:8">
      <c r="A156">
        <f>IF(Produits!G174&lt;&gt;"",Produits!G174,"")</f>
        <v>8</v>
      </c>
      <c r="B156" t="str">
        <f>IF(Produits!A174&lt;&gt;"",Produits!A174,"")</f>
        <v>Sandwich Saucisson</v>
      </c>
      <c r="C156" t="str">
        <f>IF(Produits!B174&lt;&gt;"",SUBSTITUTE(Produits!B174,",","."),"")</f>
        <v>3.4</v>
      </c>
      <c r="D156">
        <v>1</v>
      </c>
      <c r="F156">
        <v>1</v>
      </c>
      <c r="G156">
        <v>0</v>
      </c>
      <c r="H156">
        <v>0</v>
      </c>
    </row>
    <row r="157" spans="1:8">
      <c r="A157">
        <f>IF(Produits!G175&lt;&gt;"",Produits!G175,"")</f>
        <v>8</v>
      </c>
      <c r="B157" t="str">
        <f>IF(Produits!A175&lt;&gt;"",Produits!A175,"")</f>
        <v>Sandwich Rillettes</v>
      </c>
      <c r="C157" t="str">
        <f>IF(Produits!B175&lt;&gt;"",SUBSTITUTE(Produits!B175,",","."),"")</f>
        <v>3.4</v>
      </c>
      <c r="D157">
        <v>1</v>
      </c>
      <c r="F157">
        <v>1</v>
      </c>
      <c r="G157">
        <v>0</v>
      </c>
      <c r="H157">
        <v>0</v>
      </c>
    </row>
    <row r="158" spans="1:8">
      <c r="A158">
        <f>IF(Produits!G176&lt;&gt;"",Produits!G176,"")</f>
        <v>8</v>
      </c>
      <c r="B158" t="str">
        <f>IF(Produits!A176&lt;&gt;"",Produits!A176,"")</f>
        <v>Sandwich Brie</v>
      </c>
      <c r="C158" t="str">
        <f>IF(Produits!B176&lt;&gt;"",SUBSTITUTE(Produits!B176,",","."),"")</f>
        <v>3.4</v>
      </c>
      <c r="D158">
        <v>1</v>
      </c>
      <c r="F158">
        <v>1</v>
      </c>
      <c r="G158">
        <v>0</v>
      </c>
      <c r="H158">
        <v>0</v>
      </c>
    </row>
    <row r="159" spans="1:8">
      <c r="A159">
        <f>IF(Produits!G177&lt;&gt;"",Produits!G177,"")</f>
        <v>8</v>
      </c>
      <c r="B159" t="str">
        <f>IF(Produits!A177&lt;&gt;"",Produits!A177,"")</f>
        <v>Sandwich Poulet Moutarde</v>
      </c>
      <c r="C159" t="str">
        <f>IF(Produits!B177&lt;&gt;"",SUBSTITUTE(Produits!B177,",","."),"")</f>
        <v>5</v>
      </c>
      <c r="D159">
        <v>1</v>
      </c>
      <c r="F159">
        <v>1</v>
      </c>
      <c r="G159">
        <v>0</v>
      </c>
      <c r="H159">
        <v>0</v>
      </c>
    </row>
    <row r="160" spans="1:8">
      <c r="A160">
        <f>IF(Produits!G178&lt;&gt;"",Produits!G178,"")</f>
        <v>8</v>
      </c>
      <c r="B160" t="str">
        <f>IF(Produits!A178&lt;&gt;"",Produits!A178,"")</f>
        <v>Sandwich Saumon</v>
      </c>
      <c r="C160" t="str">
        <f>IF(Produits!B178&lt;&gt;"",SUBSTITUTE(Produits!B178,",","."),"")</f>
        <v>5</v>
      </c>
      <c r="D160">
        <v>1</v>
      </c>
      <c r="F160">
        <v>1</v>
      </c>
      <c r="G160">
        <v>0</v>
      </c>
      <c r="H160">
        <v>0</v>
      </c>
    </row>
    <row r="161" spans="1:8">
      <c r="A161">
        <f>IF(Produits!G179&lt;&gt;"",Produits!G179,"")</f>
        <v>8</v>
      </c>
      <c r="B161" t="str">
        <f>IF(Produits!A179&lt;&gt;"",Produits!A179,"")</f>
        <v>Sandwich Végétarien</v>
      </c>
      <c r="C161" t="str">
        <f>IF(Produits!B179&lt;&gt;"",SUBSTITUTE(Produits!B179,",","."),"")</f>
        <v>5</v>
      </c>
      <c r="D161">
        <v>1</v>
      </c>
      <c r="F161">
        <v>1</v>
      </c>
      <c r="G161">
        <v>0</v>
      </c>
      <c r="H161">
        <v>0</v>
      </c>
    </row>
    <row r="162" spans="1:8">
      <c r="A162">
        <f>IF(Produits!G180&lt;&gt;"",Produits!G180,"")</f>
        <v>8</v>
      </c>
      <c r="B162" t="str">
        <f>IF(Produits!A180&lt;&gt;"",Produits!A180,"")</f>
        <v>Sandwich Italien</v>
      </c>
      <c r="C162" t="str">
        <f>IF(Produits!B180&lt;&gt;"",SUBSTITUTE(Produits!B180,",","."),"")</f>
        <v>5</v>
      </c>
      <c r="D162">
        <v>1</v>
      </c>
      <c r="F162">
        <v>1</v>
      </c>
      <c r="G162">
        <v>0</v>
      </c>
      <c r="H162">
        <v>0</v>
      </c>
    </row>
    <row r="163" spans="1:8">
      <c r="A163">
        <f>IF(Produits!G181&lt;&gt;"",Produits!G181,"")</f>
        <v>8</v>
      </c>
      <c r="B163" t="str">
        <f>IF(Produits!A181&lt;&gt;"",Produits!A181,"")</f>
        <v>Sandwich Suédois Poulet</v>
      </c>
      <c r="C163" t="str">
        <f>IF(Produits!B181&lt;&gt;"",SUBSTITUTE(Produits!B181,",","."),"")</f>
        <v>4.5</v>
      </c>
      <c r="D163">
        <v>1</v>
      </c>
      <c r="F163">
        <v>1</v>
      </c>
      <c r="G163">
        <v>0</v>
      </c>
      <c r="H163">
        <v>0</v>
      </c>
    </row>
    <row r="164" spans="1:8">
      <c r="A164">
        <f>IF(Produits!G182&lt;&gt;"",Produits!G182,"")</f>
        <v>8</v>
      </c>
      <c r="B164" t="str">
        <f>IF(Produits!A182&lt;&gt;"",Produits!A182,"")</f>
        <v>Sandwich Suédois Thon</v>
      </c>
      <c r="C164" t="str">
        <f>IF(Produits!B182&lt;&gt;"",SUBSTITUTE(Produits!B182,",","."),"")</f>
        <v>4.5</v>
      </c>
      <c r="D164">
        <v>1</v>
      </c>
      <c r="F164">
        <v>1</v>
      </c>
      <c r="G164">
        <v>0</v>
      </c>
      <c r="H164">
        <v>0</v>
      </c>
    </row>
    <row r="165" spans="1:8">
      <c r="A165">
        <f>IF(Produits!G183&lt;&gt;"",Produits!G183,"")</f>
        <v>8</v>
      </c>
      <c r="B165" t="str">
        <f>IF(Produits!A183&lt;&gt;"",Produits!A183,"")</f>
        <v>Sandwich Chèvre Crudités</v>
      </c>
      <c r="C165" t="str">
        <f>IF(Produits!B183&lt;&gt;"",SUBSTITUTE(Produits!B183,",","."),"")</f>
        <v>4.5</v>
      </c>
      <c r="D165">
        <v>1</v>
      </c>
      <c r="F165">
        <v>1</v>
      </c>
      <c r="G165">
        <v>0</v>
      </c>
      <c r="H165">
        <v>0</v>
      </c>
    </row>
    <row r="166" spans="1:8">
      <c r="A166">
        <f>IF(Produits!G184&lt;&gt;"",Produits!G184,"")</f>
        <v>8</v>
      </c>
      <c r="B166" t="str">
        <f>IF(Produits!A184&lt;&gt;"",Produits!A184,"")</f>
        <v>Sandwich Suédois Saumon</v>
      </c>
      <c r="C166" t="str">
        <f>IF(Produits!B184&lt;&gt;"",SUBSTITUTE(Produits!B184,",","."),"")</f>
        <v>4.5</v>
      </c>
      <c r="D166">
        <v>1</v>
      </c>
      <c r="F166">
        <v>1</v>
      </c>
      <c r="G166">
        <v>0</v>
      </c>
      <c r="H166">
        <v>0</v>
      </c>
    </row>
    <row r="167" spans="1:8">
      <c r="A167">
        <f>IF(Produits!G185&lt;&gt;"",Produits!G185,"")</f>
        <v>8</v>
      </c>
      <c r="B167" t="str">
        <f>IF(Produits!A185&lt;&gt;"",Produits!A185,"")</f>
        <v>Sandwich Jambon Crudités</v>
      </c>
      <c r="C167" t="str">
        <f>IF(Produits!B185&lt;&gt;"",SUBSTITUTE(Produits!B185,",","."),"")</f>
        <v>4.5</v>
      </c>
      <c r="D167">
        <v>1</v>
      </c>
      <c r="F167">
        <v>1</v>
      </c>
      <c r="G167">
        <v>0</v>
      </c>
      <c r="H167">
        <v>0</v>
      </c>
    </row>
    <row r="168" spans="1:8">
      <c r="A168">
        <f>IF(Produits!G186&lt;&gt;"",Produits!G186,"")</f>
        <v>8</v>
      </c>
      <c r="B168" t="str">
        <f>IF(Produits!A186&lt;&gt;"",Produits!A186,"")</f>
        <v>Bagnat Poulet, Thon ou Jambon</v>
      </c>
      <c r="C168" t="str">
        <f>IF(Produits!B186&lt;&gt;"",SUBSTITUTE(Produits!B186,",","."),"")</f>
        <v>4.8</v>
      </c>
      <c r="D168">
        <v>1</v>
      </c>
      <c r="F168">
        <v>1</v>
      </c>
      <c r="G168">
        <v>0</v>
      </c>
      <c r="H168">
        <v>0</v>
      </c>
    </row>
    <row r="169" spans="1:8">
      <c r="A169">
        <f>IF(Produits!G187&lt;&gt;"",Produits!G187,"")</f>
        <v>8</v>
      </c>
      <c r="B169" t="str">
        <f>IF(Produits!A187&lt;&gt;"",Produits!A187,"")</f>
        <v>Soupe</v>
      </c>
      <c r="C169" t="str">
        <f>IF(Produits!B187&lt;&gt;"",SUBSTITUTE(Produits!B187,",","."),"")</f>
        <v>3.1</v>
      </c>
      <c r="D169">
        <v>1</v>
      </c>
      <c r="F169">
        <v>1</v>
      </c>
      <c r="G169">
        <v>0</v>
      </c>
      <c r="H169">
        <v>0</v>
      </c>
    </row>
    <row r="170" spans="1:8">
      <c r="A170">
        <f>IF(Produits!G188&lt;&gt;"",Produits!G188,"")</f>
        <v>8</v>
      </c>
      <c r="B170" t="str">
        <f>IF(Produits!A188&lt;&gt;"",Produits!A188,"")</f>
        <v>Pâté en Croûte</v>
      </c>
      <c r="C170" t="str">
        <f>IF(Produits!B188&lt;&gt;"",SUBSTITUTE(Produits!B188,",","."),"")</f>
        <v>3</v>
      </c>
      <c r="D170">
        <v>1</v>
      </c>
      <c r="F170">
        <v>1</v>
      </c>
      <c r="G170">
        <v>0</v>
      </c>
      <c r="H170">
        <v>0</v>
      </c>
    </row>
    <row r="171" spans="1:8">
      <c r="A171">
        <f>IF(Produits!G189&lt;&gt;"",Produits!G189,"")</f>
        <v>8</v>
      </c>
      <c r="B171" t="str">
        <f>IF(Produits!A189&lt;&gt;"",Produits!A189,"")</f>
        <v>Croissant au Jambon</v>
      </c>
      <c r="C171" t="str">
        <f>IF(Produits!B189&lt;&gt;"",SUBSTITUTE(Produits!B189,",","."),"")</f>
        <v>3.2</v>
      </c>
      <c r="D171">
        <v>1</v>
      </c>
      <c r="F171">
        <v>1</v>
      </c>
      <c r="G171">
        <v>0</v>
      </c>
      <c r="H171">
        <v>0</v>
      </c>
    </row>
    <row r="172" spans="1:8">
      <c r="A172">
        <f>IF(Produits!G190&lt;&gt;"",Produits!G190,"")</f>
        <v>8</v>
      </c>
      <c r="B172" t="str">
        <f>IF(Produits!A190&lt;&gt;"",Produits!A190,"")</f>
        <v>Croque Monsieur</v>
      </c>
      <c r="C172" t="str">
        <f>IF(Produits!B190&lt;&gt;"",SUBSTITUTE(Produits!B190,",","."),"")</f>
        <v>3.5</v>
      </c>
      <c r="D172">
        <v>1</v>
      </c>
      <c r="F172">
        <v>1</v>
      </c>
      <c r="G172">
        <v>0</v>
      </c>
      <c r="H172">
        <v>0</v>
      </c>
    </row>
    <row r="173" spans="1:8">
      <c r="A173">
        <f>IF(Produits!G191&lt;&gt;"",Produits!G191,"")</f>
        <v>8</v>
      </c>
      <c r="B173" t="str">
        <f>IF(Produits!A191&lt;&gt;"",Produits!A191,"")</f>
        <v>Panini</v>
      </c>
      <c r="C173" t="str">
        <f>IF(Produits!B191&lt;&gt;"",SUBSTITUTE(Produits!B191,",","."),"")</f>
        <v>4.7</v>
      </c>
      <c r="D173">
        <v>1</v>
      </c>
      <c r="F173">
        <v>1</v>
      </c>
      <c r="G173">
        <v>0</v>
      </c>
      <c r="H173">
        <v>0</v>
      </c>
    </row>
    <row r="174" spans="1:8">
      <c r="A174">
        <f>IF(Produits!G192&lt;&gt;"",Produits!G192,"")</f>
        <v>8</v>
      </c>
      <c r="B174" t="str">
        <f>IF(Produits!A192&lt;&gt;"",Produits!A192,"")</f>
        <v>Pizza</v>
      </c>
      <c r="C174" t="str">
        <f>IF(Produits!B192&lt;&gt;"",SUBSTITUTE(Produits!B192,",","."),"")</f>
        <v>4</v>
      </c>
      <c r="D174">
        <v>1</v>
      </c>
      <c r="F174">
        <v>1</v>
      </c>
      <c r="G174">
        <v>0</v>
      </c>
      <c r="H174">
        <v>0</v>
      </c>
    </row>
    <row r="175" spans="1:8">
      <c r="A175">
        <f>IF(Produits!G193&lt;&gt;"",Produits!G193,"")</f>
        <v>8</v>
      </c>
      <c r="B175" t="str">
        <f>IF(Produits!A193&lt;&gt;"",Produits!A193,"")</f>
        <v>Plat du Jour</v>
      </c>
      <c r="C175" t="str">
        <f>IF(Produits!B193&lt;&gt;"",SUBSTITUTE(Produits!B193,",","."),"")</f>
        <v>6.5</v>
      </c>
      <c r="D175">
        <v>1</v>
      </c>
      <c r="F175">
        <v>1</v>
      </c>
      <c r="G175">
        <v>0</v>
      </c>
      <c r="H175">
        <v>0</v>
      </c>
    </row>
    <row r="176" spans="1:8">
      <c r="A176">
        <f>IF(Produits!G194&lt;&gt;"",Produits!G194,"")</f>
        <v>8</v>
      </c>
      <c r="B176" t="str">
        <f>IF(Produits!A194&lt;&gt;"",Produits!A194,"")</f>
        <v>Quiche Individuelle</v>
      </c>
      <c r="C176" t="str">
        <f>IF(Produits!B194&lt;&gt;"",SUBSTITUTE(Produits!B194,",","."),"")</f>
        <v>3.9</v>
      </c>
      <c r="D176">
        <v>1</v>
      </c>
      <c r="F176">
        <v>1</v>
      </c>
      <c r="G176">
        <v>0</v>
      </c>
      <c r="H176">
        <v>0</v>
      </c>
    </row>
    <row r="177" spans="1:8">
      <c r="A177">
        <f>IF(Produits!G195&lt;&gt;"",Produits!G195,"")</f>
        <v>8</v>
      </c>
      <c r="B177" t="str">
        <f>IF(Produits!A195&lt;&gt;"",Produits!A195,"")</f>
        <v>Salade Fraîcheur</v>
      </c>
      <c r="C177" t="str">
        <f>IF(Produits!B195&lt;&gt;"",SUBSTITUTE(Produits!B195,",","."),"")</f>
        <v>5</v>
      </c>
      <c r="D177">
        <v>1</v>
      </c>
      <c r="F177">
        <v>1</v>
      </c>
      <c r="G177">
        <v>0</v>
      </c>
      <c r="H177">
        <v>0</v>
      </c>
    </row>
    <row r="178" spans="1:8">
      <c r="A178">
        <f>IF(Produits!G196&lt;&gt;"",Produits!G196,"")</f>
        <v>8</v>
      </c>
      <c r="B178" t="str">
        <f>IF(Produits!A196&lt;&gt;"",Produits!A196,"")</f>
        <v>Salade Poulet</v>
      </c>
      <c r="C178" t="str">
        <f>IF(Produits!B196&lt;&gt;"",SUBSTITUTE(Produits!B196,",","."),"")</f>
        <v>5</v>
      </c>
      <c r="D178">
        <v>1</v>
      </c>
      <c r="F178">
        <v>1</v>
      </c>
      <c r="G178">
        <v>0</v>
      </c>
      <c r="H178">
        <v>0</v>
      </c>
    </row>
    <row r="179" spans="1:8">
      <c r="A179">
        <f>IF(Produits!G197&lt;&gt;"",Produits!G197,"")</f>
        <v>8</v>
      </c>
      <c r="B179" t="str">
        <f>IF(Produits!A197&lt;&gt;"",Produits!A197,"")</f>
        <v>Salade Saumon</v>
      </c>
      <c r="C179" t="str">
        <f>IF(Produits!B197&lt;&gt;"",SUBSTITUTE(Produits!B197,",","."),"")</f>
        <v>5</v>
      </c>
      <c r="D179">
        <v>1</v>
      </c>
      <c r="F179">
        <v>1</v>
      </c>
      <c r="G179">
        <v>0</v>
      </c>
      <c r="H179">
        <v>0</v>
      </c>
    </row>
    <row r="180" spans="1:8">
      <c r="A180">
        <f>IF(Produits!G198&lt;&gt;"",Produits!G198,"")</f>
        <v>8</v>
      </c>
      <c r="B180" t="str">
        <f>IF(Produits!A198&lt;&gt;"",Produits!A198,"")</f>
        <v>Salade Roquefort</v>
      </c>
      <c r="C180" t="str">
        <f>IF(Produits!B198&lt;&gt;"",SUBSTITUTE(Produits!B198,",","."),"")</f>
        <v>5</v>
      </c>
      <c r="D180">
        <v>1</v>
      </c>
      <c r="F180">
        <v>1</v>
      </c>
      <c r="G180">
        <v>0</v>
      </c>
      <c r="H180">
        <v>0</v>
      </c>
    </row>
    <row r="181" spans="1:8">
      <c r="A181">
        <f>IF(Produits!G199&lt;&gt;"",Produits!G199,"")</f>
        <v>8</v>
      </c>
      <c r="B181" t="str">
        <f>IF(Produits!A199&lt;&gt;"",Produits!A199,"")</f>
        <v>Salade Magret de Canard</v>
      </c>
      <c r="C181" t="str">
        <f>IF(Produits!B199&lt;&gt;"",SUBSTITUTE(Produits!B199,",","."),"")</f>
        <v>5</v>
      </c>
      <c r="D181">
        <v>1</v>
      </c>
      <c r="F181">
        <v>1</v>
      </c>
      <c r="G181">
        <v>0</v>
      </c>
      <c r="H181">
        <v>0</v>
      </c>
    </row>
    <row r="182" spans="1:8">
      <c r="A182">
        <f>IF(Produits!G200&lt;&gt;"",Produits!G200,"")</f>
        <v>8</v>
      </c>
      <c r="B182" t="str">
        <f>IF(Produits!A200&lt;&gt;"",Produits!A200,"")</f>
        <v>Salade Végétarienne</v>
      </c>
      <c r="C182" t="str">
        <f>IF(Produits!B200&lt;&gt;"",SUBSTITUTE(Produits!B200,",","."),"")</f>
        <v>5</v>
      </c>
      <c r="D182">
        <v>1</v>
      </c>
      <c r="F182">
        <v>1</v>
      </c>
      <c r="G182">
        <v>0</v>
      </c>
      <c r="H182">
        <v>0</v>
      </c>
    </row>
    <row r="183" spans="1:8">
      <c r="A183">
        <f>IF(Produits!G201&lt;&gt;"",Produits!G201,"")</f>
        <v>8</v>
      </c>
      <c r="B183" t="str">
        <f>IF(Produits!A201&lt;&gt;"",Produits!A201,"")</f>
        <v>Salade de Concombres</v>
      </c>
      <c r="C183" t="str">
        <f>IF(Produits!B201&lt;&gt;"",SUBSTITUTE(Produits!B201,",","."),"")</f>
        <v>3</v>
      </c>
      <c r="D183">
        <v>1</v>
      </c>
      <c r="F183">
        <v>1</v>
      </c>
      <c r="G183">
        <v>0</v>
      </c>
      <c r="H183">
        <v>0</v>
      </c>
    </row>
    <row r="184" spans="1:8">
      <c r="A184">
        <f>IF(Produits!G202&lt;&gt;"",Produits!G202,"")</f>
        <v>8</v>
      </c>
      <c r="B184" t="str">
        <f>IF(Produits!A202&lt;&gt;"",Produits!A202,"")</f>
        <v>Salade de Carottes</v>
      </c>
      <c r="C184" t="str">
        <f>IF(Produits!B202&lt;&gt;"",SUBSTITUTE(Produits!B202,",","."),"")</f>
        <v>3</v>
      </c>
      <c r="D184">
        <v>1</v>
      </c>
      <c r="F184">
        <v>1</v>
      </c>
      <c r="G184">
        <v>0</v>
      </c>
      <c r="H184">
        <v>0</v>
      </c>
    </row>
    <row r="185" spans="1:8">
      <c r="A185">
        <f>IF(Produits!G204&lt;&gt;"",Produits!G204,"")</f>
        <v>8</v>
      </c>
      <c r="B185" t="str">
        <f>IF(Produits!A204&lt;&gt;"",Produits!A204,"")</f>
        <v>Salade de riz</v>
      </c>
      <c r="C185" t="str">
        <f>IF(Produits!B204&lt;&gt;"",SUBSTITUTE(Produits!B204,",","."),"")</f>
        <v>3</v>
      </c>
      <c r="D185">
        <v>1</v>
      </c>
      <c r="F185">
        <v>1</v>
      </c>
      <c r="G185">
        <v>0</v>
      </c>
      <c r="H185">
        <v>0</v>
      </c>
    </row>
    <row r="186" spans="1:8">
      <c r="A186">
        <f>IF(Produits!G205&lt;&gt;"",Produits!G205,"")</f>
        <v>8</v>
      </c>
      <c r="B186" t="str">
        <f>IF(Produits!A205&lt;&gt;"",Produits!A205,"")</f>
        <v>Petite Salade</v>
      </c>
      <c r="C186" t="str">
        <f>IF(Produits!B205&lt;&gt;"",SUBSTITUTE(Produits!B205,",","."),"")</f>
        <v>3</v>
      </c>
      <c r="D186">
        <v>1</v>
      </c>
      <c r="F186">
        <v>1</v>
      </c>
      <c r="G186">
        <v>0</v>
      </c>
      <c r="H186">
        <v>0</v>
      </c>
    </row>
    <row r="187" spans="1:8">
      <c r="A187">
        <f>IF(Produits!G206&lt;&gt;"",Produits!G206,"")</f>
        <v>8</v>
      </c>
      <c r="B187" t="str">
        <f>IF(Produits!A206&lt;&gt;"",Produits!A206,"")</f>
        <v>Verrines</v>
      </c>
      <c r="C187" t="str">
        <f>IF(Produits!B206&lt;&gt;"",SUBSTITUTE(Produits!B206,",","."),"")</f>
        <v>3</v>
      </c>
      <c r="D187">
        <v>1</v>
      </c>
      <c r="F187">
        <v>1</v>
      </c>
      <c r="G187">
        <v>0</v>
      </c>
      <c r="H187">
        <v>0</v>
      </c>
    </row>
    <row r="188" spans="1:8">
      <c r="A188">
        <f>IF(Produits!G207&lt;&gt;"",Produits!G207,"")</f>
        <v>8</v>
      </c>
      <c r="B188" t="str">
        <f>IF(Produits!A207&lt;&gt;"",Produits!A207,"")</f>
        <v>Taboulé</v>
      </c>
      <c r="C188" t="str">
        <f>IF(Produits!B207&lt;&gt;"",SUBSTITUTE(Produits!B207,",","."),"")</f>
        <v>3</v>
      </c>
      <c r="D188">
        <v>1</v>
      </c>
      <c r="F188">
        <v>1</v>
      </c>
      <c r="G188">
        <v>0</v>
      </c>
      <c r="H188">
        <v>0</v>
      </c>
    </row>
    <row r="189" spans="1:8">
      <c r="A189">
        <f>IF(Produits!G208&lt;&gt;"",Produits!G208,"")</f>
        <v>8</v>
      </c>
      <c r="B189" t="str">
        <f>IF(Produits!A208&lt;&gt;"",Produits!A208,"")</f>
        <v>Yaourt Petit Nature</v>
      </c>
      <c r="C189" t="str">
        <f>IF(Produits!B208&lt;&gt;"",SUBSTITUTE(Produits!B208,",","."),"")</f>
        <v>2</v>
      </c>
      <c r="D189">
        <v>1</v>
      </c>
      <c r="F189">
        <v>1</v>
      </c>
      <c r="G189">
        <v>0</v>
      </c>
      <c r="H189">
        <v>0</v>
      </c>
    </row>
    <row r="190" spans="1:8">
      <c r="A190">
        <f>IF(Produits!G209&lt;&gt;"",Produits!G209,"")</f>
        <v>8</v>
      </c>
      <c r="B190" t="str">
        <f>IF(Produits!A209&lt;&gt;"",Produits!A209,"")</f>
        <v>Yaourt Petit Myrtille</v>
      </c>
      <c r="C190" t="str">
        <f>IF(Produits!B209&lt;&gt;"",SUBSTITUTE(Produits!B209,",","."),"")</f>
        <v>2</v>
      </c>
      <c r="D190">
        <v>1</v>
      </c>
      <c r="F190">
        <v>1</v>
      </c>
      <c r="G190">
        <v>0</v>
      </c>
      <c r="H190">
        <v>0</v>
      </c>
    </row>
    <row r="191" spans="1:8">
      <c r="A191">
        <f>IF(Produits!G210&lt;&gt;"",Produits!G210,"")</f>
        <v>8</v>
      </c>
      <c r="B191" t="str">
        <f>IF(Produits!A210&lt;&gt;"",Produits!A210,"")</f>
        <v>Yaourt Petit Vanille</v>
      </c>
      <c r="C191" t="str">
        <f>IF(Produits!B210&lt;&gt;"",SUBSTITUTE(Produits!B210,",","."),"")</f>
        <v>2</v>
      </c>
      <c r="D191">
        <v>1</v>
      </c>
      <c r="F191">
        <v>1</v>
      </c>
      <c r="G191">
        <v>0</v>
      </c>
      <c r="H191">
        <v>0</v>
      </c>
    </row>
    <row r="192" spans="1:8">
      <c r="A192">
        <f>IF(Produits!G211&lt;&gt;"",Produits!G211,"")</f>
        <v>8</v>
      </c>
      <c r="B192" t="str">
        <f>IF(Produits!A211&lt;&gt;"",Produits!A211,"")</f>
        <v>Yaourt Petit Abricot</v>
      </c>
      <c r="C192" t="str">
        <f>IF(Produits!B211&lt;&gt;"",SUBSTITUTE(Produits!B211,",","."),"")</f>
        <v>2</v>
      </c>
      <c r="D192">
        <v>1</v>
      </c>
      <c r="F192">
        <v>1</v>
      </c>
      <c r="G192">
        <v>0</v>
      </c>
      <c r="H192">
        <v>0</v>
      </c>
    </row>
    <row r="193" spans="1:8">
      <c r="A193">
        <f>IF(Produits!G212&lt;&gt;"",Produits!G212,"")</f>
        <v>8</v>
      </c>
      <c r="B193" t="str">
        <f>IF(Produits!A212&lt;&gt;"",Produits!A212,"")</f>
        <v>Yaourt Grand</v>
      </c>
      <c r="C193" t="str">
        <f>IF(Produits!B212&lt;&gt;"",SUBSTITUTE(Produits!B212,",","."),"")</f>
        <v>2.6</v>
      </c>
      <c r="D193">
        <v>1</v>
      </c>
      <c r="F193">
        <v>1</v>
      </c>
      <c r="G193">
        <v>0</v>
      </c>
      <c r="H193">
        <v>0</v>
      </c>
    </row>
    <row r="194" spans="1:8">
      <c r="A194">
        <f>IF(Produits!G213&lt;&gt;"",Produits!G213,"")</f>
        <v>8</v>
      </c>
      <c r="B194" t="str">
        <f>IF(Produits!A213&lt;&gt;"",Produits!A213,"")</f>
        <v>Menu Express</v>
      </c>
      <c r="C194" t="str">
        <f>IF(Produits!B213&lt;&gt;"",SUBSTITUTE(Produits!B213,",","."),"")</f>
        <v>5.9</v>
      </c>
      <c r="D194">
        <v>1</v>
      </c>
      <c r="F194">
        <v>1</v>
      </c>
      <c r="G194">
        <v>0</v>
      </c>
      <c r="H194">
        <v>0</v>
      </c>
    </row>
    <row r="195" spans="1:8">
      <c r="A195">
        <f>IF(Produits!G214&lt;&gt;"",Produits!G214,"")</f>
        <v>8</v>
      </c>
      <c r="B195" t="str">
        <f>IF(Produits!A214&lt;&gt;"",Produits!A214,"")</f>
        <v>Menu Chef</v>
      </c>
      <c r="C195" t="str">
        <f>IF(Produits!B214&lt;&gt;"",SUBSTITUTE(Produits!B214,",","."),"")</f>
        <v>7.7</v>
      </c>
      <c r="D195">
        <v>1</v>
      </c>
      <c r="F195">
        <v>1</v>
      </c>
      <c r="G195">
        <v>0</v>
      </c>
      <c r="H195">
        <v>0</v>
      </c>
    </row>
    <row r="196" spans="1:8">
      <c r="A196">
        <f>IF(Produits!G215&lt;&gt;"",Produits!G215,"")</f>
        <v>8</v>
      </c>
      <c r="B196" t="str">
        <f>IF(Produits!A215&lt;&gt;"",Produits!A215,"")</f>
        <v>Menu Lévis</v>
      </c>
      <c r="C196" t="str">
        <f>IF(Produits!B215&lt;&gt;"",SUBSTITUTE(Produits!B215,",","."),"")</f>
        <v>8.3</v>
      </c>
      <c r="D196">
        <v>1</v>
      </c>
      <c r="F196">
        <v>1</v>
      </c>
      <c r="G196">
        <v>0</v>
      </c>
      <c r="H196">
        <v>0</v>
      </c>
    </row>
    <row r="197" spans="1:8">
      <c r="A197">
        <f>IF(Produits!G216&lt;&gt;"",Produits!G216,"")</f>
        <v>8</v>
      </c>
      <c r="B197" t="str">
        <f>IF(Produits!A216&lt;&gt;"",Produits!A216,"")</f>
        <v>Menu Fraîcheur</v>
      </c>
      <c r="C197" t="str">
        <f>IF(Produits!B216&lt;&gt;"",SUBSTITUTE(Produits!B216,",","."),"")</f>
        <v>8.9</v>
      </c>
      <c r="D197">
        <v>1</v>
      </c>
      <c r="F197">
        <v>1</v>
      </c>
      <c r="G197">
        <v>0</v>
      </c>
      <c r="H197">
        <v>0</v>
      </c>
    </row>
    <row r="198" spans="1:8">
      <c r="A198">
        <f>IF(Produits!G217&lt;&gt;"",Produits!G217,"")</f>
        <v>8</v>
      </c>
      <c r="B198" t="str">
        <f>IF(Produits!A217&lt;&gt;"",Produits!A217,"")</f>
        <v>Menu Galette</v>
      </c>
      <c r="C198" t="str">
        <f>IF(Produits!B217&lt;&gt;"",SUBSTITUTE(Produits!B217,",","."),"")</f>
        <v>9.2</v>
      </c>
      <c r="D198">
        <v>1</v>
      </c>
      <c r="F198">
        <v>1</v>
      </c>
      <c r="G198">
        <v>0</v>
      </c>
      <c r="H198">
        <v>0</v>
      </c>
    </row>
    <row r="199" spans="1:8">
      <c r="A199">
        <f>IF(Produits!G218&lt;&gt;"",Produits!G218,"")</f>
        <v>8</v>
      </c>
      <c r="B199" t="str">
        <f>IF(Produits!A218&lt;&gt;"",Produits!A218,"")</f>
        <v>Divers Traiteur</v>
      </c>
      <c r="C199" t="str">
        <f>IF(Produits!B218&lt;&gt;"",SUBSTITUTE(Produits!B218,",","."),"")</f>
        <v>0</v>
      </c>
      <c r="D199">
        <v>1</v>
      </c>
      <c r="F199">
        <v>1</v>
      </c>
      <c r="G199">
        <v>0</v>
      </c>
      <c r="H199">
        <v>0</v>
      </c>
    </row>
    <row r="200" spans="1:8">
      <c r="A200">
        <f>IF(Produits!G219&lt;&gt;"",Produits!G219,"")</f>
        <v>9</v>
      </c>
      <c r="B200" t="str">
        <f>IF(Produits!A219&lt;&gt;"",Produits!A219,"")</f>
        <v>Crêpe Nature</v>
      </c>
      <c r="C200" t="str">
        <f>IF(Produits!B219&lt;&gt;"",SUBSTITUTE(Produits!B219,",","."),"")</f>
        <v>1.5</v>
      </c>
      <c r="D200">
        <v>1</v>
      </c>
      <c r="F200">
        <v>1</v>
      </c>
      <c r="G200">
        <v>0</v>
      </c>
      <c r="H200">
        <v>0</v>
      </c>
    </row>
    <row r="201" spans="1:8">
      <c r="A201">
        <f>IF(Produits!G220&lt;&gt;"",Produits!G220,"")</f>
        <v>9</v>
      </c>
      <c r="B201" t="str">
        <f>IF(Produits!A220&lt;&gt;"",Produits!A220,"")</f>
        <v>Crêpe Sucre</v>
      </c>
      <c r="C201" t="str">
        <f>IF(Produits!B220&lt;&gt;"",SUBSTITUTE(Produits!B220,",","."),"")</f>
        <v>2</v>
      </c>
      <c r="D201">
        <v>1</v>
      </c>
      <c r="F201">
        <v>1</v>
      </c>
      <c r="G201">
        <v>0</v>
      </c>
      <c r="H201">
        <v>0</v>
      </c>
    </row>
    <row r="202" spans="1:8">
      <c r="A202">
        <f>IF(Produits!G221&lt;&gt;"",Produits!G221,"")</f>
        <v>9</v>
      </c>
      <c r="B202" t="str">
        <f>IF(Produits!A221&lt;&gt;"",Produits!A221,"")</f>
        <v>Crêpe Confiture</v>
      </c>
      <c r="C202" t="str">
        <f>IF(Produits!B221&lt;&gt;"",SUBSTITUTE(Produits!B221,",","."),"")</f>
        <v>2.3</v>
      </c>
      <c r="D202">
        <v>1</v>
      </c>
      <c r="F202">
        <v>1</v>
      </c>
      <c r="G202">
        <v>0</v>
      </c>
      <c r="H202">
        <v>0</v>
      </c>
    </row>
    <row r="203" spans="1:8">
      <c r="A203">
        <f>IF(Produits!G222&lt;&gt;"",Produits!G222,"")</f>
        <v>9</v>
      </c>
      <c r="B203" t="str">
        <f>IF(Produits!A222&lt;&gt;"",Produits!A222,"")</f>
        <v>Crêpe Miel</v>
      </c>
      <c r="C203" t="str">
        <f>IF(Produits!B222&lt;&gt;"",SUBSTITUTE(Produits!B222,",","."),"")</f>
        <v>2.3</v>
      </c>
      <c r="D203">
        <v>1</v>
      </c>
      <c r="F203">
        <v>1</v>
      </c>
      <c r="G203">
        <v>0</v>
      </c>
      <c r="H203">
        <v>0</v>
      </c>
    </row>
    <row r="204" spans="1:8">
      <c r="A204">
        <f>IF(Produits!G223&lt;&gt;"",Produits!G223,"")</f>
        <v>9</v>
      </c>
      <c r="B204" t="str">
        <f>IF(Produits!A223&lt;&gt;"",Produits!A223,"")</f>
        <v>Crêpe Nutella</v>
      </c>
      <c r="C204" t="str">
        <f>IF(Produits!B223&lt;&gt;"",SUBSTITUTE(Produits!B223,",","."),"")</f>
        <v>2.5</v>
      </c>
      <c r="D204">
        <v>1</v>
      </c>
      <c r="F204">
        <v>1</v>
      </c>
      <c r="G204">
        <v>0</v>
      </c>
      <c r="H204">
        <v>0</v>
      </c>
    </row>
    <row r="205" spans="1:8">
      <c r="A205">
        <f>IF(Produits!G224&lt;&gt;"",Produits!G224,"")</f>
        <v>9</v>
      </c>
      <c r="B205" t="str">
        <f>IF(Produits!A224&lt;&gt;"",Produits!A224,"")</f>
        <v>Galette Nature</v>
      </c>
      <c r="C205" t="str">
        <f>IF(Produits!B224&lt;&gt;"",SUBSTITUTE(Produits!B224,",","."),"")</f>
        <v>2</v>
      </c>
      <c r="D205">
        <v>1</v>
      </c>
      <c r="F205">
        <v>1</v>
      </c>
      <c r="G205">
        <v>0</v>
      </c>
      <c r="H205">
        <v>0</v>
      </c>
    </row>
    <row r="206" spans="1:8">
      <c r="A206">
        <f>IF(Produits!G225&lt;&gt;"",Produits!G225,"")</f>
        <v>9</v>
      </c>
      <c r="B206" t="str">
        <f>IF(Produits!A225&lt;&gt;"",Produits!A225,"")</f>
        <v>Galette Simple</v>
      </c>
      <c r="C206" t="str">
        <f>IF(Produits!B225&lt;&gt;"",SUBSTITUTE(Produits!B225,",","."),"")</f>
        <v>4.5</v>
      </c>
      <c r="D206">
        <v>1</v>
      </c>
      <c r="F206">
        <v>1</v>
      </c>
      <c r="G206">
        <v>0</v>
      </c>
      <c r="H206">
        <v>0</v>
      </c>
    </row>
    <row r="207" spans="1:8">
      <c r="A207">
        <f>IF(Produits!G226&lt;&gt;"",Produits!G226,"")</f>
        <v>9</v>
      </c>
      <c r="B207" t="str">
        <f>IF(Produits!A226&lt;&gt;"",Produits!A226,"")</f>
        <v>Galette Double</v>
      </c>
      <c r="C207" t="str">
        <f>IF(Produits!B226&lt;&gt;"",SUBSTITUTE(Produits!B226,",","."),"")</f>
        <v>5</v>
      </c>
      <c r="D207">
        <v>1</v>
      </c>
      <c r="F207">
        <v>1</v>
      </c>
      <c r="G207">
        <v>0</v>
      </c>
      <c r="H207">
        <v>0</v>
      </c>
    </row>
    <row r="208" spans="1:8">
      <c r="A208">
        <f>IF(Produits!G227&lt;&gt;"",Produits!G227,"")</f>
        <v>9</v>
      </c>
      <c r="B208" t="str">
        <f>IF(Produits!A227&lt;&gt;"",Produits!A227,"")</f>
        <v>Galette Complète</v>
      </c>
      <c r="C208" t="str">
        <f>IF(Produits!B227&lt;&gt;"",SUBSTITUTE(Produits!B227,",","."),"")</f>
        <v>5.5</v>
      </c>
      <c r="D208">
        <v>1</v>
      </c>
      <c r="F208">
        <v>1</v>
      </c>
      <c r="G208">
        <v>0</v>
      </c>
      <c r="H208">
        <v>0</v>
      </c>
    </row>
    <row r="209" spans="1:8">
      <c r="A209">
        <f>IF(Produits!G228&lt;&gt;"",Produits!G228,"")</f>
        <v>9</v>
      </c>
      <c r="B209" t="str">
        <f>IF(Produits!A228&lt;&gt;"",Produits!A228,"")</f>
        <v>Divers Crêperie</v>
      </c>
      <c r="C209" t="str">
        <f>IF(Produits!B228&lt;&gt;"",SUBSTITUTE(Produits!B228,",","."),"")</f>
        <v>0</v>
      </c>
      <c r="D209">
        <v>1</v>
      </c>
      <c r="F209">
        <v>1</v>
      </c>
      <c r="G209">
        <v>0</v>
      </c>
      <c r="H209">
        <v>0</v>
      </c>
    </row>
    <row r="210" spans="1:8">
      <c r="A210">
        <f>IF(Produits!G229&lt;&gt;"",Produits!G229,"")</f>
        <v>10</v>
      </c>
      <c r="B210" t="str">
        <f>IF(Produits!A229&lt;&gt;"",Produits!A229,"")</f>
        <v>Beurre</v>
      </c>
      <c r="C210" t="str">
        <f>IF(Produits!B229&lt;&gt;"",SUBSTITUTE(Produits!B229,",","."),"")</f>
        <v>0</v>
      </c>
      <c r="D210">
        <v>1</v>
      </c>
      <c r="F210">
        <v>1</v>
      </c>
      <c r="G210">
        <v>0</v>
      </c>
      <c r="H210">
        <v>0</v>
      </c>
    </row>
    <row r="211" spans="1:8">
      <c r="A211">
        <f>IF(Produits!G230&lt;&gt;"",Produits!G230,"")</f>
        <v>10</v>
      </c>
      <c r="B211" t="str">
        <f>IF(Produits!A230&lt;&gt;"",Produits!A230,"")</f>
        <v>Faine</v>
      </c>
      <c r="C211" t="str">
        <f>IF(Produits!B230&lt;&gt;"",SUBSTITUTE(Produits!B230,",","."),"")</f>
        <v>0</v>
      </c>
      <c r="D211">
        <v>1</v>
      </c>
      <c r="F211">
        <v>1</v>
      </c>
      <c r="G211">
        <v>0</v>
      </c>
      <c r="H211">
        <v>0</v>
      </c>
    </row>
    <row r="212" spans="1:8">
      <c r="A212">
        <f>IF(Produits!G231&lt;&gt;"",Produits!G231,"")</f>
        <v>10</v>
      </c>
      <c r="B212" t="str">
        <f>IF(Produits!A231&lt;&gt;"",Produits!A231,"")</f>
        <v>Levure</v>
      </c>
      <c r="C212" t="str">
        <f>IF(Produits!B231&lt;&gt;"",SUBSTITUTE(Produits!B231,",","."),"")</f>
        <v>0</v>
      </c>
      <c r="D212">
        <v>1</v>
      </c>
      <c r="F212">
        <v>1</v>
      </c>
      <c r="G212">
        <v>0</v>
      </c>
      <c r="H212">
        <v>0</v>
      </c>
    </row>
    <row r="213" spans="1:8">
      <c r="A213">
        <f>IF(Produits!G232&lt;&gt;"",Produits!G232,"")</f>
        <v>10</v>
      </c>
      <c r="B213" t="str">
        <f>IF(Produits!A232&lt;&gt;"",Produits!A232,"")</f>
        <v>Pate à brioche</v>
      </c>
      <c r="C213" t="str">
        <f>IF(Produits!B232&lt;&gt;"",SUBSTITUTE(Produits!B232,",","."),"")</f>
        <v>0</v>
      </c>
      <c r="D213">
        <v>1</v>
      </c>
      <c r="F213">
        <v>1</v>
      </c>
      <c r="G213">
        <v>0</v>
      </c>
      <c r="H213">
        <v>0</v>
      </c>
    </row>
    <row r="214" spans="1:8">
      <c r="A214">
        <f>IF(Produits!G233&lt;&gt;"",Produits!G233,"")</f>
        <v>10</v>
      </c>
      <c r="B214" t="str">
        <f>IF(Produits!A233&lt;&gt;"",Produits!A233,"")</f>
        <v>Sucre</v>
      </c>
      <c r="C214" t="str">
        <f>IF(Produits!B233&lt;&gt;"",SUBSTITUTE(Produits!B233,",","."),"")</f>
        <v>0</v>
      </c>
      <c r="D214">
        <v>1</v>
      </c>
      <c r="F214">
        <v>1</v>
      </c>
      <c r="G214">
        <v>0</v>
      </c>
      <c r="H214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11"/>
  <sheetViews>
    <sheetView workbookViewId="0">
      <selection activeCell="D7" sqref="D7"/>
    </sheetView>
  </sheetViews>
  <sheetFormatPr baseColWidth="10" defaultRowHeight="14.5"/>
  <cols>
    <col min="2" max="2" width="14.453125" bestFit="1" customWidth="1"/>
  </cols>
  <sheetData>
    <row r="1" spans="1:2">
      <c r="A1" t="s">
        <v>839</v>
      </c>
      <c r="B1" t="s">
        <v>409</v>
      </c>
    </row>
    <row r="2" spans="1:2">
      <c r="A2">
        <v>1</v>
      </c>
      <c r="B2" s="21" t="s">
        <v>331</v>
      </c>
    </row>
    <row r="3" spans="1:2">
      <c r="A3">
        <v>2</v>
      </c>
      <c r="B3" s="20" t="s">
        <v>275</v>
      </c>
    </row>
    <row r="4" spans="1:2">
      <c r="A4">
        <v>3</v>
      </c>
      <c r="B4" s="1" t="s">
        <v>380</v>
      </c>
    </row>
    <row r="5" spans="1:2">
      <c r="A5">
        <v>4</v>
      </c>
      <c r="B5" t="s">
        <v>838</v>
      </c>
    </row>
    <row r="6" spans="1:2">
      <c r="A6">
        <v>5</v>
      </c>
      <c r="B6" t="s">
        <v>837</v>
      </c>
    </row>
    <row r="7" spans="1:2">
      <c r="A7">
        <v>6</v>
      </c>
      <c r="B7" s="5" t="s">
        <v>307</v>
      </c>
    </row>
    <row r="8" spans="1:2">
      <c r="A8">
        <v>7</v>
      </c>
      <c r="B8" t="s">
        <v>836</v>
      </c>
    </row>
    <row r="9" spans="1:2">
      <c r="A9">
        <v>8</v>
      </c>
      <c r="B9" s="79" t="s">
        <v>276</v>
      </c>
    </row>
    <row r="10" spans="1:2">
      <c r="A10">
        <v>9</v>
      </c>
      <c r="B10" s="26" t="s">
        <v>118</v>
      </c>
    </row>
    <row r="11" spans="1:2">
      <c r="A11">
        <v>10</v>
      </c>
      <c r="B11" s="26" t="s">
        <v>306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>
    <pageSetUpPr fitToPage="1"/>
  </sheetPr>
  <dimension ref="A1:AE100"/>
  <sheetViews>
    <sheetView zoomScale="85" zoomScaleNormal="85" workbookViewId="0">
      <selection activeCell="H7" sqref="H7"/>
    </sheetView>
  </sheetViews>
  <sheetFormatPr baseColWidth="10" defaultRowHeight="14.5" outlineLevelCol="1"/>
  <cols>
    <col min="1" max="1" width="25.81640625" customWidth="1"/>
    <col min="2" max="2" width="2.453125" customWidth="1"/>
    <col min="3" max="3" width="31.54296875" style="12" hidden="1" customWidth="1" outlineLevel="1"/>
    <col min="4" max="4" width="8.453125" hidden="1" customWidth="1" outlineLevel="1"/>
    <col min="5" max="5" width="7.7265625" hidden="1" customWidth="1" outlineLevel="1"/>
    <col min="6" max="6" width="8.54296875" hidden="1" customWidth="1" outlineLevel="1"/>
    <col min="7" max="7" width="3.453125" customWidth="1" collapsed="1"/>
    <col min="8" max="8" width="33" style="12" bestFit="1" customWidth="1"/>
    <col min="9" max="17" width="5.81640625" customWidth="1"/>
    <col min="18" max="18" width="33" style="12" bestFit="1" customWidth="1"/>
    <col min="19" max="27" width="5.81640625" customWidth="1"/>
    <col min="28" max="28" width="4.7265625" customWidth="1"/>
    <col min="30" max="30" width="10.453125" customWidth="1"/>
    <col min="31" max="31" width="15" customWidth="1" outlineLevel="1"/>
  </cols>
  <sheetData>
    <row r="1" spans="1:31" ht="27.75" customHeight="1">
      <c r="A1" s="119" t="s">
        <v>86</v>
      </c>
      <c r="C1" s="152" t="s">
        <v>373</v>
      </c>
      <c r="D1" s="146" t="s">
        <v>80</v>
      </c>
      <c r="H1" s="152" t="s">
        <v>378</v>
      </c>
      <c r="I1" s="146" t="s">
        <v>80</v>
      </c>
      <c r="R1" s="152" t="s">
        <v>378</v>
      </c>
      <c r="S1" s="146" t="s">
        <v>80</v>
      </c>
    </row>
    <row r="2" spans="1:31" s="120" customFormat="1" ht="24" customHeight="1">
      <c r="A2" s="119" t="s">
        <v>331</v>
      </c>
      <c r="C2" s="141" t="str">
        <f>ListeProduitsCategrorie</f>
        <v>Boulangerie</v>
      </c>
      <c r="D2" s="153" t="s">
        <v>80</v>
      </c>
      <c r="E2" s="154"/>
      <c r="F2" s="155"/>
      <c r="H2" s="141" t="str">
        <f>ListeProduitsCategrorie</f>
        <v>Boulangerie</v>
      </c>
      <c r="I2" s="141" t="s">
        <v>362</v>
      </c>
      <c r="J2" s="142"/>
      <c r="K2" s="143"/>
      <c r="L2" s="141" t="s">
        <v>356</v>
      </c>
      <c r="M2" s="142"/>
      <c r="N2" s="143"/>
      <c r="O2" s="141" t="s">
        <v>357</v>
      </c>
      <c r="P2" s="142"/>
      <c r="Q2" s="143"/>
      <c r="R2" s="141" t="str">
        <f>ListeProduitsCategrorie</f>
        <v>Boulangerie</v>
      </c>
      <c r="S2" s="141" t="s">
        <v>359</v>
      </c>
      <c r="T2" s="142"/>
      <c r="U2" s="143"/>
      <c r="V2" s="141" t="s">
        <v>360</v>
      </c>
      <c r="W2" s="142"/>
      <c r="X2" s="143"/>
      <c r="Y2" s="141" t="s">
        <v>361</v>
      </c>
      <c r="Z2" s="142"/>
      <c r="AA2" s="143"/>
    </row>
    <row r="3" spans="1:31">
      <c r="C3" s="156" t="s">
        <v>95</v>
      </c>
      <c r="D3" s="157" t="s">
        <v>36</v>
      </c>
      <c r="E3" s="157" t="s">
        <v>81</v>
      </c>
      <c r="F3" s="157" t="s">
        <v>82</v>
      </c>
      <c r="H3" s="144" t="s">
        <v>95</v>
      </c>
      <c r="I3" s="145" t="s">
        <v>36</v>
      </c>
      <c r="J3" s="145" t="s">
        <v>81</v>
      </c>
      <c r="K3" s="145" t="s">
        <v>82</v>
      </c>
      <c r="L3" s="145" t="s">
        <v>36</v>
      </c>
      <c r="M3" s="145" t="s">
        <v>81</v>
      </c>
      <c r="N3" s="145" t="s">
        <v>82</v>
      </c>
      <c r="O3" s="145" t="s">
        <v>36</v>
      </c>
      <c r="P3" s="145" t="s">
        <v>81</v>
      </c>
      <c r="Q3" s="145" t="s">
        <v>82</v>
      </c>
      <c r="R3" s="144" t="s">
        <v>95</v>
      </c>
      <c r="S3" s="145" t="s">
        <v>36</v>
      </c>
      <c r="T3" s="145" t="s">
        <v>81</v>
      </c>
      <c r="U3" s="145" t="s">
        <v>82</v>
      </c>
      <c r="V3" s="145" t="s">
        <v>36</v>
      </c>
      <c r="W3" s="145" t="s">
        <v>81</v>
      </c>
      <c r="X3" s="145" t="s">
        <v>82</v>
      </c>
      <c r="Y3" s="145" t="s">
        <v>36</v>
      </c>
      <c r="Z3" s="145" t="s">
        <v>81</v>
      </c>
      <c r="AA3" s="145" t="s">
        <v>82</v>
      </c>
      <c r="AE3" s="12" t="s">
        <v>83</v>
      </c>
    </row>
    <row r="4" spans="1:31">
      <c r="C4" s="52" t="s">
        <v>17</v>
      </c>
      <c r="D4" s="53"/>
      <c r="E4" s="53"/>
      <c r="F4" s="53"/>
      <c r="H4" s="52" t="str">
        <f>IF(C4&lt;&gt;"",C4,"")</f>
        <v>Tradition</v>
      </c>
      <c r="I4" s="53"/>
      <c r="J4" s="53"/>
      <c r="K4" s="53"/>
      <c r="L4" s="53"/>
      <c r="M4" s="53"/>
      <c r="N4" s="53"/>
      <c r="O4" s="53"/>
      <c r="P4" s="53"/>
      <c r="Q4" s="53"/>
      <c r="R4" s="52" t="str">
        <f>IF(C4&lt;&gt;"",C4,"")</f>
        <v>Tradition</v>
      </c>
      <c r="S4" s="53"/>
      <c r="T4" s="53"/>
      <c r="U4" s="53"/>
      <c r="V4" s="53"/>
      <c r="W4" s="53"/>
      <c r="X4" s="53"/>
      <c r="Y4" s="53"/>
      <c r="Z4" s="53"/>
      <c r="AA4" s="53"/>
      <c r="AE4" t="s">
        <v>331</v>
      </c>
    </row>
    <row r="5" spans="1:31">
      <c r="C5" s="52" t="s">
        <v>23</v>
      </c>
      <c r="D5" s="53"/>
      <c r="E5" s="53"/>
      <c r="F5" s="53"/>
      <c r="H5" s="52" t="str">
        <f t="shared" ref="H5:H50" si="0">IF(C5&lt;&gt;"",C5,"")</f>
        <v>Tradition aux Graines</v>
      </c>
      <c r="I5" s="53"/>
      <c r="J5" s="53"/>
      <c r="K5" s="53"/>
      <c r="L5" s="53"/>
      <c r="M5" s="53"/>
      <c r="N5" s="53"/>
      <c r="O5" s="53"/>
      <c r="P5" s="53"/>
      <c r="Q5" s="53"/>
      <c r="R5" s="52" t="str">
        <f t="shared" ref="R5:R50" si="1">IF(C5&lt;&gt;"",C5,"")</f>
        <v>Tradition aux Graines</v>
      </c>
      <c r="S5" s="53"/>
      <c r="T5" s="53"/>
      <c r="U5" s="53"/>
      <c r="V5" s="53"/>
      <c r="W5" s="53"/>
      <c r="X5" s="53"/>
      <c r="Y5" s="53"/>
      <c r="Z5" s="53"/>
      <c r="AA5" s="53"/>
      <c r="AE5" t="s">
        <v>275</v>
      </c>
    </row>
    <row r="6" spans="1:31">
      <c r="C6" s="52" t="s">
        <v>90</v>
      </c>
      <c r="D6" s="53"/>
      <c r="E6" s="53"/>
      <c r="F6" s="53"/>
      <c r="H6" s="52" t="str">
        <f t="shared" si="0"/>
        <v>Demi-Tradition</v>
      </c>
      <c r="I6" s="53"/>
      <c r="J6" s="53"/>
      <c r="K6" s="53"/>
      <c r="L6" s="53"/>
      <c r="M6" s="53"/>
      <c r="N6" s="53"/>
      <c r="O6" s="53"/>
      <c r="P6" s="53"/>
      <c r="Q6" s="53"/>
      <c r="R6" s="52" t="str">
        <f t="shared" si="1"/>
        <v>Demi-Tradition</v>
      </c>
      <c r="S6" s="53"/>
      <c r="T6" s="53"/>
      <c r="U6" s="53"/>
      <c r="V6" s="53"/>
      <c r="W6" s="53"/>
      <c r="X6" s="53"/>
      <c r="Y6" s="53"/>
      <c r="Z6" s="53"/>
      <c r="AA6" s="53"/>
      <c r="AE6" t="s">
        <v>380</v>
      </c>
    </row>
    <row r="7" spans="1:31">
      <c r="C7" s="52" t="s">
        <v>559</v>
      </c>
      <c r="D7" s="53"/>
      <c r="E7" s="53"/>
      <c r="F7" s="53"/>
      <c r="H7" s="52" t="str">
        <f t="shared" si="0"/>
        <v>Tradition Sésame ou Pavot</v>
      </c>
      <c r="I7" s="53"/>
      <c r="J7" s="53"/>
      <c r="K7" s="53"/>
      <c r="L7" s="53"/>
      <c r="M7" s="53"/>
      <c r="N7" s="53"/>
      <c r="O7" s="53"/>
      <c r="P7" s="53"/>
      <c r="Q7" s="53"/>
      <c r="R7" s="52" t="str">
        <f t="shared" si="1"/>
        <v>Tradition Sésame ou Pavot</v>
      </c>
      <c r="S7" s="53"/>
      <c r="T7" s="53"/>
      <c r="U7" s="53"/>
      <c r="V7" s="53"/>
      <c r="W7" s="53"/>
      <c r="X7" s="53"/>
      <c r="Y7" s="53"/>
      <c r="Z7" s="53"/>
      <c r="AA7" s="53"/>
      <c r="AE7" t="s">
        <v>276</v>
      </c>
    </row>
    <row r="8" spans="1:31">
      <c r="C8" s="52" t="s">
        <v>311</v>
      </c>
      <c r="D8" s="53"/>
      <c r="E8" s="53"/>
      <c r="F8" s="53"/>
      <c r="H8" s="52" t="str">
        <f t="shared" si="0"/>
        <v>Double Tradition</v>
      </c>
      <c r="I8" s="53"/>
      <c r="J8" s="53"/>
      <c r="K8" s="53"/>
      <c r="L8" s="53"/>
      <c r="M8" s="53"/>
      <c r="N8" s="53"/>
      <c r="O8" s="53"/>
      <c r="P8" s="53"/>
      <c r="Q8" s="53"/>
      <c r="R8" s="52" t="str">
        <f t="shared" si="1"/>
        <v>Double Tradition</v>
      </c>
      <c r="S8" s="53"/>
      <c r="T8" s="53"/>
      <c r="U8" s="53"/>
      <c r="V8" s="53"/>
      <c r="W8" s="53"/>
      <c r="X8" s="53"/>
      <c r="Y8" s="53"/>
      <c r="Z8" s="53"/>
      <c r="AA8" s="53"/>
      <c r="AE8" t="s">
        <v>307</v>
      </c>
    </row>
    <row r="9" spans="1:31">
      <c r="C9" s="52" t="s">
        <v>22</v>
      </c>
      <c r="D9" s="53"/>
      <c r="E9" s="53"/>
      <c r="F9" s="53"/>
      <c r="H9" s="52" t="str">
        <f t="shared" si="0"/>
        <v>Belle Arôme</v>
      </c>
      <c r="I9" s="53"/>
      <c r="J9" s="53"/>
      <c r="K9" s="53"/>
      <c r="L9" s="53"/>
      <c r="M9" s="53"/>
      <c r="N9" s="53"/>
      <c r="O9" s="53"/>
      <c r="P9" s="53"/>
      <c r="Q9" s="53"/>
      <c r="R9" s="52" t="str">
        <f t="shared" si="1"/>
        <v>Belle Arôme</v>
      </c>
      <c r="S9" s="53"/>
      <c r="T9" s="53"/>
      <c r="U9" s="53"/>
      <c r="V9" s="53"/>
      <c r="W9" s="53"/>
      <c r="X9" s="53"/>
      <c r="Y9" s="53"/>
      <c r="Z9" s="53"/>
      <c r="AA9" s="53"/>
    </row>
    <row r="10" spans="1:31">
      <c r="C10" s="52" t="s">
        <v>310</v>
      </c>
      <c r="D10" s="53"/>
      <c r="E10" s="53"/>
      <c r="F10" s="53"/>
      <c r="H10" s="52" t="str">
        <f t="shared" si="0"/>
        <v>Ficelle</v>
      </c>
      <c r="I10" s="53"/>
      <c r="J10" s="53"/>
      <c r="K10" s="53"/>
      <c r="L10" s="53"/>
      <c r="M10" s="53"/>
      <c r="N10" s="53"/>
      <c r="O10" s="53"/>
      <c r="P10" s="53"/>
      <c r="Q10" s="53"/>
      <c r="R10" s="52" t="str">
        <f t="shared" si="1"/>
        <v>Ficelle</v>
      </c>
      <c r="S10" s="53"/>
      <c r="T10" s="53"/>
      <c r="U10" s="53"/>
      <c r="V10" s="53"/>
      <c r="W10" s="53"/>
      <c r="X10" s="53"/>
      <c r="Y10" s="53"/>
      <c r="Z10" s="53"/>
      <c r="AA10" s="53"/>
    </row>
    <row r="11" spans="1:31">
      <c r="C11" s="52" t="s">
        <v>88</v>
      </c>
      <c r="D11" s="53"/>
      <c r="E11" s="53"/>
      <c r="F11" s="53"/>
      <c r="H11" s="52" t="str">
        <f t="shared" si="0"/>
        <v>Ficelle Aromatique</v>
      </c>
      <c r="I11" s="53"/>
      <c r="J11" s="53"/>
      <c r="K11" s="53"/>
      <c r="L11" s="53"/>
      <c r="M11" s="53"/>
      <c r="N11" s="53"/>
      <c r="O11" s="53"/>
      <c r="P11" s="53"/>
      <c r="Q11" s="53"/>
      <c r="R11" s="52" t="str">
        <f t="shared" si="1"/>
        <v>Ficelle Aromatique</v>
      </c>
      <c r="S11" s="53"/>
      <c r="T11" s="53"/>
      <c r="U11" s="53"/>
      <c r="V11" s="53"/>
      <c r="W11" s="53"/>
      <c r="X11" s="53"/>
      <c r="Y11" s="53"/>
      <c r="Z11" s="53"/>
      <c r="AA11" s="53"/>
    </row>
    <row r="12" spans="1:31">
      <c r="C12" s="52" t="s">
        <v>1360</v>
      </c>
      <c r="D12" s="53"/>
      <c r="E12" s="53"/>
      <c r="F12" s="53"/>
      <c r="H12" s="52" t="str">
        <f t="shared" si="0"/>
        <v>Ficelle Lardons et Fromage</v>
      </c>
      <c r="I12" s="53"/>
      <c r="J12" s="53"/>
      <c r="K12" s="53"/>
      <c r="L12" s="53"/>
      <c r="M12" s="53"/>
      <c r="N12" s="53"/>
      <c r="O12" s="53"/>
      <c r="P12" s="53"/>
      <c r="Q12" s="53"/>
      <c r="R12" s="52" t="str">
        <f t="shared" si="1"/>
        <v>Ficelle Lardons et Fromage</v>
      </c>
      <c r="S12" s="53"/>
      <c r="T12" s="53"/>
      <c r="U12" s="53"/>
      <c r="V12" s="53"/>
      <c r="W12" s="53"/>
      <c r="X12" s="53"/>
      <c r="Y12" s="53"/>
      <c r="Z12" s="53"/>
      <c r="AA12" s="53"/>
      <c r="AD12" t="s">
        <v>489</v>
      </c>
    </row>
    <row r="13" spans="1:31">
      <c r="C13" s="52" t="s">
        <v>1361</v>
      </c>
      <c r="D13" s="53"/>
      <c r="E13" s="53"/>
      <c r="F13" s="53"/>
      <c r="H13" s="52" t="str">
        <f t="shared" si="0"/>
        <v>Ficelle Tomate Basilic</v>
      </c>
      <c r="I13" s="53"/>
      <c r="J13" s="53"/>
      <c r="K13" s="53"/>
      <c r="L13" s="53"/>
      <c r="M13" s="53"/>
      <c r="N13" s="53"/>
      <c r="O13" s="53"/>
      <c r="P13" s="53"/>
      <c r="Q13" s="53"/>
      <c r="R13" s="52" t="str">
        <f t="shared" si="1"/>
        <v>Ficelle Tomate Basilic</v>
      </c>
      <c r="S13" s="53"/>
      <c r="T13" s="53"/>
      <c r="U13" s="53"/>
      <c r="V13" s="53"/>
      <c r="W13" s="53"/>
      <c r="X13" s="53"/>
      <c r="Y13" s="53"/>
      <c r="Z13" s="53"/>
      <c r="AA13" s="53"/>
      <c r="AD13" t="s">
        <v>490</v>
      </c>
    </row>
    <row r="14" spans="1:31">
      <c r="C14" s="52" t="s">
        <v>1362</v>
      </c>
      <c r="D14" s="53"/>
      <c r="E14" s="53"/>
      <c r="F14" s="53"/>
      <c r="H14" s="52" t="str">
        <f t="shared" si="0"/>
        <v>Ficelle Chorizo Maïs</v>
      </c>
      <c r="I14" s="53"/>
      <c r="J14" s="53"/>
      <c r="K14" s="53"/>
      <c r="L14" s="53"/>
      <c r="M14" s="53"/>
      <c r="N14" s="53"/>
      <c r="O14" s="53"/>
      <c r="P14" s="53"/>
      <c r="Q14" s="53"/>
      <c r="R14" s="52" t="str">
        <f t="shared" si="1"/>
        <v>Ficelle Chorizo Maïs</v>
      </c>
      <c r="S14" s="53"/>
      <c r="T14" s="53"/>
      <c r="U14" s="53"/>
      <c r="V14" s="53"/>
      <c r="W14" s="53"/>
      <c r="X14" s="53"/>
      <c r="Y14" s="53"/>
      <c r="Z14" s="53"/>
      <c r="AA14" s="53"/>
      <c r="AD14" t="s">
        <v>491</v>
      </c>
    </row>
    <row r="15" spans="1:31">
      <c r="C15" s="52" t="s">
        <v>303</v>
      </c>
      <c r="D15" s="53"/>
      <c r="E15" s="53"/>
      <c r="F15" s="53"/>
      <c r="H15" s="52" t="str">
        <f t="shared" si="0"/>
        <v>Baguette</v>
      </c>
      <c r="I15" s="53"/>
      <c r="J15" s="53"/>
      <c r="K15" s="53"/>
      <c r="L15" s="53"/>
      <c r="M15" s="53"/>
      <c r="N15" s="53"/>
      <c r="O15" s="53"/>
      <c r="P15" s="53"/>
      <c r="Q15" s="53"/>
      <c r="R15" s="52" t="str">
        <f t="shared" si="1"/>
        <v>Baguette</v>
      </c>
      <c r="S15" s="53"/>
      <c r="T15" s="53"/>
      <c r="U15" s="53"/>
      <c r="V15" s="53"/>
      <c r="W15" s="53"/>
      <c r="X15" s="53"/>
      <c r="Y15" s="53"/>
      <c r="Z15" s="53"/>
      <c r="AA15" s="53"/>
      <c r="AD15" t="s">
        <v>486</v>
      </c>
    </row>
    <row r="16" spans="1:31">
      <c r="C16" s="52" t="s">
        <v>560</v>
      </c>
      <c r="D16" s="53"/>
      <c r="E16" s="53"/>
      <c r="F16" s="53"/>
      <c r="H16" s="52" t="str">
        <f t="shared" si="0"/>
        <v>Demi-Graines, Sésames ou Pavot</v>
      </c>
      <c r="I16" s="53"/>
      <c r="J16" s="53"/>
      <c r="K16" s="53"/>
      <c r="L16" s="53"/>
      <c r="M16" s="53"/>
      <c r="N16" s="53"/>
      <c r="O16" s="53"/>
      <c r="P16" s="53"/>
      <c r="Q16" s="53"/>
      <c r="R16" s="52" t="str">
        <f t="shared" si="1"/>
        <v>Demi-Graines, Sésames ou Pavot</v>
      </c>
      <c r="S16" s="53"/>
      <c r="T16" s="53"/>
      <c r="U16" s="53"/>
      <c r="V16" s="53"/>
      <c r="W16" s="53"/>
      <c r="X16" s="53"/>
      <c r="Y16" s="53"/>
      <c r="Z16" s="53"/>
      <c r="AA16" s="53"/>
      <c r="AD16" t="s">
        <v>487</v>
      </c>
    </row>
    <row r="17" spans="3:30">
      <c r="C17" s="52" t="s">
        <v>312</v>
      </c>
      <c r="D17" s="53"/>
      <c r="E17" s="53"/>
      <c r="F17" s="53"/>
      <c r="H17" s="52" t="str">
        <f t="shared" si="0"/>
        <v>Pain Bûcheron</v>
      </c>
      <c r="I17" s="53"/>
      <c r="J17" s="53"/>
      <c r="K17" s="53"/>
      <c r="L17" s="53"/>
      <c r="M17" s="53"/>
      <c r="N17" s="53"/>
      <c r="O17" s="53"/>
      <c r="P17" s="53"/>
      <c r="Q17" s="53"/>
      <c r="R17" s="52" t="str">
        <f t="shared" si="1"/>
        <v>Pain Bûcheron</v>
      </c>
      <c r="S17" s="53"/>
      <c r="T17" s="53"/>
      <c r="U17" s="53"/>
      <c r="V17" s="53"/>
      <c r="W17" s="53"/>
      <c r="X17" s="53"/>
      <c r="Y17" s="53"/>
      <c r="Z17" s="53"/>
      <c r="AA17" s="53"/>
      <c r="AD17" t="s">
        <v>488</v>
      </c>
    </row>
    <row r="18" spans="3:30">
      <c r="C18" s="52" t="s">
        <v>313</v>
      </c>
      <c r="D18" s="53"/>
      <c r="E18" s="53"/>
      <c r="F18" s="53"/>
      <c r="H18" s="52" t="str">
        <f t="shared" si="0"/>
        <v>Pain de Campagne</v>
      </c>
      <c r="I18" s="53"/>
      <c r="J18" s="53"/>
      <c r="K18" s="53"/>
      <c r="L18" s="53"/>
      <c r="M18" s="53"/>
      <c r="N18" s="53"/>
      <c r="O18" s="53"/>
      <c r="P18" s="53"/>
      <c r="Q18" s="53"/>
      <c r="R18" s="52" t="str">
        <f t="shared" si="1"/>
        <v>Pain de Campagne</v>
      </c>
      <c r="S18" s="53"/>
      <c r="T18" s="53"/>
      <c r="U18" s="53"/>
      <c r="V18" s="53"/>
      <c r="W18" s="53"/>
      <c r="X18" s="53"/>
      <c r="Y18" s="53"/>
      <c r="Z18" s="53"/>
      <c r="AA18" s="53"/>
    </row>
    <row r="19" spans="3:30">
      <c r="C19" s="52" t="s">
        <v>314</v>
      </c>
      <c r="D19" s="53"/>
      <c r="E19" s="53"/>
      <c r="F19" s="53"/>
      <c r="H19" s="52" t="str">
        <f t="shared" si="0"/>
        <v>Pain de Mie</v>
      </c>
      <c r="I19" s="53"/>
      <c r="J19" s="53"/>
      <c r="K19" s="53"/>
      <c r="L19" s="53"/>
      <c r="M19" s="53"/>
      <c r="N19" s="53"/>
      <c r="O19" s="53"/>
      <c r="P19" s="53"/>
      <c r="Q19" s="53"/>
      <c r="R19" s="52" t="str">
        <f t="shared" si="1"/>
        <v>Pain de Mie</v>
      </c>
      <c r="S19" s="53"/>
      <c r="T19" s="53"/>
      <c r="U19" s="53"/>
      <c r="V19" s="53"/>
      <c r="W19" s="53"/>
      <c r="X19" s="53"/>
      <c r="Y19" s="53"/>
      <c r="Z19" s="53"/>
      <c r="AA19" s="53"/>
    </row>
    <row r="20" spans="3:30">
      <c r="C20" s="52" t="s">
        <v>315</v>
      </c>
      <c r="D20" s="53"/>
      <c r="E20" s="53"/>
      <c r="F20" s="53"/>
      <c r="H20" s="52" t="str">
        <f t="shared" si="0"/>
        <v>Pain de Seigle</v>
      </c>
      <c r="I20" s="53"/>
      <c r="J20" s="53"/>
      <c r="K20" s="53"/>
      <c r="L20" s="53"/>
      <c r="M20" s="53"/>
      <c r="N20" s="53"/>
      <c r="O20" s="53"/>
      <c r="P20" s="53"/>
      <c r="Q20" s="53"/>
      <c r="R20" s="52" t="str">
        <f t="shared" si="1"/>
        <v>Pain de Seigle</v>
      </c>
      <c r="S20" s="53"/>
      <c r="T20" s="53"/>
      <c r="U20" s="53"/>
      <c r="V20" s="53"/>
      <c r="W20" s="53"/>
      <c r="X20" s="53"/>
      <c r="Y20" s="53"/>
      <c r="Z20" s="53"/>
      <c r="AA20" s="53"/>
    </row>
    <row r="21" spans="3:30">
      <c r="C21" s="52" t="s">
        <v>316</v>
      </c>
      <c r="D21" s="53"/>
      <c r="E21" s="53"/>
      <c r="F21" s="53"/>
      <c r="H21" s="52" t="str">
        <f t="shared" si="0"/>
        <v>Pain Fruitier</v>
      </c>
      <c r="I21" s="53"/>
      <c r="J21" s="53"/>
      <c r="K21" s="53"/>
      <c r="L21" s="53"/>
      <c r="M21" s="53"/>
      <c r="N21" s="53"/>
      <c r="O21" s="53"/>
      <c r="P21" s="53"/>
      <c r="Q21" s="53"/>
      <c r="R21" s="52" t="str">
        <f t="shared" si="1"/>
        <v>Pain Fruitier</v>
      </c>
      <c r="S21" s="53"/>
      <c r="T21" s="53"/>
      <c r="U21" s="53"/>
      <c r="V21" s="53"/>
      <c r="W21" s="53"/>
      <c r="X21" s="53"/>
      <c r="Y21" s="53"/>
      <c r="Z21" s="53"/>
      <c r="AA21" s="53"/>
    </row>
    <row r="22" spans="3:30">
      <c r="C22" s="52" t="s">
        <v>317</v>
      </c>
      <c r="D22" s="53"/>
      <c r="E22" s="53"/>
      <c r="F22" s="53"/>
      <c r="H22" s="52" t="str">
        <f t="shared" si="0"/>
        <v>Pain Gâche</v>
      </c>
      <c r="I22" s="53"/>
      <c r="J22" s="53"/>
      <c r="K22" s="53"/>
      <c r="L22" s="53"/>
      <c r="M22" s="53"/>
      <c r="N22" s="53"/>
      <c r="O22" s="53"/>
      <c r="P22" s="53"/>
      <c r="Q22" s="53"/>
      <c r="R22" s="52" t="str">
        <f t="shared" si="1"/>
        <v>Pain Gâche</v>
      </c>
      <c r="S22" s="53"/>
      <c r="T22" s="53"/>
      <c r="U22" s="53"/>
      <c r="V22" s="53"/>
      <c r="W22" s="53"/>
      <c r="X22" s="53"/>
      <c r="Y22" s="53"/>
      <c r="Z22" s="53"/>
      <c r="AA22" s="53"/>
    </row>
    <row r="23" spans="3:30">
      <c r="C23" s="52" t="s">
        <v>318</v>
      </c>
      <c r="D23" s="53"/>
      <c r="E23" s="53"/>
      <c r="F23" s="53"/>
      <c r="H23" s="52" t="str">
        <f t="shared" si="0"/>
        <v>Pain Maïs</v>
      </c>
      <c r="I23" s="53"/>
      <c r="J23" s="53"/>
      <c r="K23" s="53"/>
      <c r="L23" s="53"/>
      <c r="M23" s="53"/>
      <c r="N23" s="53"/>
      <c r="O23" s="53"/>
      <c r="P23" s="53"/>
      <c r="Q23" s="53"/>
      <c r="R23" s="52" t="str">
        <f t="shared" si="1"/>
        <v>Pain Maïs</v>
      </c>
      <c r="S23" s="53"/>
      <c r="T23" s="53"/>
      <c r="U23" s="53"/>
      <c r="V23" s="53"/>
      <c r="W23" s="53"/>
      <c r="X23" s="53"/>
      <c r="Y23" s="53"/>
      <c r="Z23" s="53"/>
      <c r="AA23" s="53"/>
    </row>
    <row r="24" spans="3:30">
      <c r="C24" s="52" t="s">
        <v>319</v>
      </c>
      <c r="D24" s="53"/>
      <c r="E24" s="53"/>
      <c r="F24" s="53"/>
      <c r="H24" s="52" t="str">
        <f t="shared" si="0"/>
        <v>Pain Tartine</v>
      </c>
      <c r="I24" s="53"/>
      <c r="J24" s="53"/>
      <c r="K24" s="53"/>
      <c r="L24" s="53"/>
      <c r="M24" s="53"/>
      <c r="N24" s="53"/>
      <c r="O24" s="53"/>
      <c r="P24" s="53"/>
      <c r="Q24" s="53"/>
      <c r="R24" s="52" t="str">
        <f t="shared" si="1"/>
        <v>Pain Tartine</v>
      </c>
      <c r="S24" s="53"/>
      <c r="T24" s="53"/>
      <c r="U24" s="53"/>
      <c r="V24" s="53"/>
      <c r="W24" s="53"/>
      <c r="X24" s="53"/>
      <c r="Y24" s="53"/>
      <c r="Z24" s="53"/>
      <c r="AA24" s="53"/>
    </row>
    <row r="25" spans="3:30">
      <c r="C25" s="52" t="s">
        <v>640</v>
      </c>
      <c r="D25" s="53"/>
      <c r="E25" s="53"/>
      <c r="F25" s="53"/>
      <c r="H25" s="52" t="str">
        <f t="shared" si="0"/>
        <v>Pain Burger</v>
      </c>
      <c r="I25" s="53"/>
      <c r="J25" s="53"/>
      <c r="K25" s="53"/>
      <c r="L25" s="53"/>
      <c r="M25" s="53"/>
      <c r="N25" s="53"/>
      <c r="O25" s="53"/>
      <c r="P25" s="53"/>
      <c r="Q25" s="53"/>
      <c r="R25" s="52" t="str">
        <f t="shared" si="1"/>
        <v>Pain Burger</v>
      </c>
      <c r="S25" s="53"/>
      <c r="T25" s="53"/>
      <c r="U25" s="53"/>
      <c r="V25" s="53"/>
      <c r="W25" s="53"/>
      <c r="X25" s="53"/>
      <c r="Y25" s="53"/>
      <c r="Z25" s="53"/>
      <c r="AA25" s="53"/>
    </row>
    <row r="26" spans="3:30">
      <c r="C26" s="52" t="s">
        <v>900</v>
      </c>
      <c r="D26" s="53"/>
      <c r="E26" s="53"/>
      <c r="F26" s="53"/>
      <c r="H26" s="52" t="str">
        <f t="shared" si="0"/>
        <v>Moelleux aux Noix</v>
      </c>
      <c r="I26" s="53"/>
      <c r="J26" s="53"/>
      <c r="K26" s="53"/>
      <c r="L26" s="53"/>
      <c r="M26" s="53"/>
      <c r="N26" s="53"/>
      <c r="O26" s="53"/>
      <c r="P26" s="53"/>
      <c r="Q26" s="53"/>
      <c r="R26" s="52" t="str">
        <f t="shared" si="1"/>
        <v>Moelleux aux Noix</v>
      </c>
      <c r="S26" s="53"/>
      <c r="T26" s="53"/>
      <c r="U26" s="53"/>
      <c r="V26" s="53"/>
      <c r="W26" s="53"/>
      <c r="X26" s="53"/>
      <c r="Y26" s="53"/>
      <c r="Z26" s="53"/>
      <c r="AA26" s="53"/>
    </row>
    <row r="27" spans="3:30">
      <c r="C27" s="52" t="s">
        <v>561</v>
      </c>
      <c r="D27" s="53"/>
      <c r="E27" s="53"/>
      <c r="F27" s="53"/>
      <c r="H27" s="52" t="str">
        <f t="shared" si="0"/>
        <v>Moelleux aux Graines</v>
      </c>
      <c r="I27" s="53"/>
      <c r="J27" s="53"/>
      <c r="K27" s="53"/>
      <c r="L27" s="53"/>
      <c r="M27" s="53"/>
      <c r="N27" s="53"/>
      <c r="O27" s="53"/>
      <c r="P27" s="53"/>
      <c r="Q27" s="53"/>
      <c r="R27" s="52" t="str">
        <f t="shared" si="1"/>
        <v>Moelleux aux Graines</v>
      </c>
      <c r="S27" s="53"/>
      <c r="T27" s="53"/>
      <c r="U27" s="53"/>
      <c r="V27" s="53"/>
      <c r="W27" s="53"/>
      <c r="X27" s="53"/>
      <c r="Y27" s="53"/>
      <c r="Z27" s="53"/>
      <c r="AA27" s="53"/>
    </row>
    <row r="28" spans="3:30">
      <c r="C28" s="52" t="s">
        <v>902</v>
      </c>
      <c r="D28" s="53"/>
      <c r="E28" s="53"/>
      <c r="F28" s="53"/>
      <c r="H28" s="52" t="str">
        <f t="shared" si="0"/>
        <v>Pain Nordique</v>
      </c>
      <c r="I28" s="53"/>
      <c r="J28" s="53"/>
      <c r="K28" s="53"/>
      <c r="L28" s="53"/>
      <c r="M28" s="53"/>
      <c r="N28" s="53"/>
      <c r="O28" s="53"/>
      <c r="P28" s="53"/>
      <c r="Q28" s="53"/>
      <c r="R28" s="52" t="str">
        <f t="shared" si="1"/>
        <v>Pain Nordique</v>
      </c>
      <c r="S28" s="53"/>
      <c r="T28" s="53"/>
      <c r="U28" s="53"/>
      <c r="V28" s="53"/>
      <c r="W28" s="53"/>
      <c r="X28" s="53"/>
      <c r="Y28" s="53"/>
      <c r="Z28" s="53"/>
      <c r="AA28" s="53"/>
    </row>
    <row r="29" spans="3:30">
      <c r="C29" s="52" t="s">
        <v>408</v>
      </c>
      <c r="D29" s="53"/>
      <c r="E29" s="53"/>
      <c r="F29" s="53"/>
      <c r="H29" s="52" t="str">
        <f t="shared" si="0"/>
        <v>Les Petits Pains Nature</v>
      </c>
      <c r="I29" s="53"/>
      <c r="J29" s="53"/>
      <c r="K29" s="53"/>
      <c r="L29" s="53"/>
      <c r="M29" s="53"/>
      <c r="N29" s="53"/>
      <c r="O29" s="53"/>
      <c r="P29" s="53"/>
      <c r="Q29" s="53"/>
      <c r="R29" s="52" t="str">
        <f t="shared" si="1"/>
        <v>Les Petits Pains Nature</v>
      </c>
      <c r="S29" s="53"/>
      <c r="T29" s="53"/>
      <c r="U29" s="53"/>
      <c r="V29" s="53"/>
      <c r="W29" s="53"/>
      <c r="X29" s="53"/>
      <c r="Y29" s="53"/>
      <c r="Z29" s="53"/>
      <c r="AA29" s="53"/>
    </row>
    <row r="30" spans="3:30">
      <c r="C30" s="52" t="s">
        <v>300</v>
      </c>
      <c r="D30" s="53"/>
      <c r="E30" s="53"/>
      <c r="F30" s="53"/>
      <c r="H30" s="52" t="str">
        <f t="shared" si="0"/>
        <v>Petits Pains Maïs-Chocolat</v>
      </c>
      <c r="I30" s="53"/>
      <c r="J30" s="53"/>
      <c r="K30" s="53"/>
      <c r="L30" s="53"/>
      <c r="M30" s="53"/>
      <c r="N30" s="53"/>
      <c r="O30" s="53"/>
      <c r="P30" s="53"/>
      <c r="Q30" s="53"/>
      <c r="R30" s="52" t="str">
        <f t="shared" si="1"/>
        <v>Petits Pains Maïs-Chocolat</v>
      </c>
      <c r="S30" s="53"/>
      <c r="T30" s="53"/>
      <c r="U30" s="53"/>
      <c r="V30" s="53"/>
      <c r="W30" s="53"/>
      <c r="X30" s="53"/>
      <c r="Y30" s="53"/>
      <c r="Z30" s="53"/>
      <c r="AA30" s="53"/>
      <c r="AD30" t="s">
        <v>380</v>
      </c>
    </row>
    <row r="31" spans="3:30">
      <c r="C31" s="52" t="s">
        <v>89</v>
      </c>
      <c r="D31" s="53"/>
      <c r="E31" s="53"/>
      <c r="F31" s="53"/>
      <c r="H31" s="52" t="str">
        <f t="shared" si="0"/>
        <v>Petits Pains Aromatisés</v>
      </c>
      <c r="I31" s="53"/>
      <c r="J31" s="53"/>
      <c r="K31" s="53"/>
      <c r="L31" s="53"/>
      <c r="M31" s="53"/>
      <c r="N31" s="53"/>
      <c r="O31" s="53"/>
      <c r="P31" s="53"/>
      <c r="Q31" s="53"/>
      <c r="R31" s="52" t="str">
        <f t="shared" si="1"/>
        <v>Petits Pains Aromatisés</v>
      </c>
      <c r="S31" s="53"/>
      <c r="T31" s="53"/>
      <c r="U31" s="53"/>
      <c r="V31" s="53"/>
      <c r="W31" s="53"/>
      <c r="X31" s="53"/>
      <c r="Y31" s="53"/>
      <c r="Z31" s="53"/>
      <c r="AA31" s="53"/>
    </row>
    <row r="32" spans="3:30">
      <c r="C32" s="52"/>
      <c r="D32" s="53"/>
      <c r="E32" s="53"/>
      <c r="F32" s="53"/>
      <c r="H32" s="52" t="str">
        <f t="shared" si="0"/>
        <v/>
      </c>
      <c r="I32" s="53"/>
      <c r="J32" s="53"/>
      <c r="K32" s="53"/>
      <c r="L32" s="53"/>
      <c r="M32" s="53"/>
      <c r="N32" s="53"/>
      <c r="O32" s="53"/>
      <c r="P32" s="53"/>
      <c r="Q32" s="53"/>
      <c r="R32" s="52" t="str">
        <f t="shared" si="1"/>
        <v/>
      </c>
      <c r="S32" s="53"/>
      <c r="T32" s="53"/>
      <c r="U32" s="53"/>
      <c r="V32" s="53"/>
      <c r="W32" s="53"/>
      <c r="X32" s="53"/>
      <c r="Y32" s="53"/>
      <c r="Z32" s="53"/>
      <c r="AA32" s="53"/>
    </row>
    <row r="33" spans="3:30">
      <c r="C33" s="52"/>
      <c r="D33" s="53"/>
      <c r="E33" s="53"/>
      <c r="F33" s="53"/>
      <c r="H33" s="52" t="str">
        <f t="shared" si="0"/>
        <v/>
      </c>
      <c r="I33" s="53"/>
      <c r="J33" s="53"/>
      <c r="K33" s="53"/>
      <c r="L33" s="53"/>
      <c r="M33" s="53"/>
      <c r="N33" s="53"/>
      <c r="O33" s="53"/>
      <c r="P33" s="53"/>
      <c r="Q33" s="53"/>
      <c r="R33" s="52" t="str">
        <f t="shared" si="1"/>
        <v/>
      </c>
      <c r="S33" s="53"/>
      <c r="T33" s="53"/>
      <c r="U33" s="53"/>
      <c r="V33" s="53"/>
      <c r="W33" s="53"/>
      <c r="X33" s="53"/>
      <c r="Y33" s="53"/>
      <c r="Z33" s="53"/>
      <c r="AA33" s="53"/>
    </row>
    <row r="34" spans="3:30">
      <c r="C34" s="52"/>
      <c r="D34" s="53"/>
      <c r="E34" s="53"/>
      <c r="F34" s="53"/>
      <c r="H34" s="52" t="str">
        <f t="shared" si="0"/>
        <v/>
      </c>
      <c r="I34" s="53"/>
      <c r="J34" s="53"/>
      <c r="K34" s="53"/>
      <c r="L34" s="53"/>
      <c r="M34" s="53"/>
      <c r="N34" s="53"/>
      <c r="O34" s="53"/>
      <c r="P34" s="53"/>
      <c r="Q34" s="53"/>
      <c r="R34" s="52" t="str">
        <f t="shared" si="1"/>
        <v/>
      </c>
      <c r="S34" s="53"/>
      <c r="T34" s="53"/>
      <c r="U34" s="53"/>
      <c r="V34" s="53"/>
      <c r="W34" s="53"/>
      <c r="X34" s="53"/>
      <c r="Y34" s="53"/>
      <c r="Z34" s="53"/>
      <c r="AA34" s="53"/>
    </row>
    <row r="35" spans="3:30">
      <c r="C35" s="52"/>
      <c r="D35" s="53"/>
      <c r="E35" s="53"/>
      <c r="F35" s="53"/>
      <c r="H35" s="52" t="str">
        <f t="shared" si="0"/>
        <v/>
      </c>
      <c r="I35" s="53"/>
      <c r="J35" s="53"/>
      <c r="K35" s="53"/>
      <c r="L35" s="53"/>
      <c r="M35" s="53"/>
      <c r="N35" s="53"/>
      <c r="O35" s="53"/>
      <c r="P35" s="53"/>
      <c r="Q35" s="53"/>
      <c r="R35" s="52" t="str">
        <f t="shared" si="1"/>
        <v/>
      </c>
      <c r="S35" s="53"/>
      <c r="T35" s="53"/>
      <c r="U35" s="53"/>
      <c r="V35" s="53"/>
      <c r="W35" s="53"/>
      <c r="X35" s="53"/>
      <c r="Y35" s="53"/>
      <c r="Z35" s="53"/>
      <c r="AA35" s="53"/>
      <c r="AD35" t="s">
        <v>276</v>
      </c>
    </row>
    <row r="36" spans="3:30">
      <c r="C36" s="52"/>
      <c r="D36" s="53"/>
      <c r="E36" s="53"/>
      <c r="F36" s="53"/>
      <c r="H36" s="52" t="str">
        <f t="shared" si="0"/>
        <v/>
      </c>
      <c r="I36" s="53"/>
      <c r="J36" s="53"/>
      <c r="K36" s="53"/>
      <c r="L36" s="53"/>
      <c r="M36" s="53"/>
      <c r="N36" s="53"/>
      <c r="O36" s="53"/>
      <c r="P36" s="53"/>
      <c r="Q36" s="53"/>
      <c r="R36" s="52" t="str">
        <f t="shared" si="1"/>
        <v/>
      </c>
      <c r="S36" s="53"/>
      <c r="T36" s="53"/>
      <c r="U36" s="53"/>
      <c r="V36" s="53"/>
      <c r="W36" s="53"/>
      <c r="X36" s="53"/>
      <c r="Y36" s="53"/>
      <c r="Z36" s="53"/>
      <c r="AA36" s="53"/>
    </row>
    <row r="37" spans="3:30">
      <c r="C37" s="52"/>
      <c r="D37" s="53"/>
      <c r="E37" s="53"/>
      <c r="F37" s="53"/>
      <c r="H37" s="52" t="str">
        <f t="shared" si="0"/>
        <v/>
      </c>
      <c r="I37" s="53"/>
      <c r="J37" s="53"/>
      <c r="K37" s="53"/>
      <c r="L37" s="53"/>
      <c r="M37" s="53"/>
      <c r="N37" s="53"/>
      <c r="O37" s="53"/>
      <c r="P37" s="53"/>
      <c r="Q37" s="53"/>
      <c r="R37" s="52" t="str">
        <f t="shared" si="1"/>
        <v/>
      </c>
      <c r="S37" s="53"/>
      <c r="T37" s="53"/>
      <c r="U37" s="53"/>
      <c r="V37" s="53"/>
      <c r="W37" s="53"/>
      <c r="X37" s="53"/>
      <c r="Y37" s="53"/>
      <c r="Z37" s="53"/>
      <c r="AA37" s="53"/>
    </row>
    <row r="38" spans="3:30">
      <c r="C38" s="52"/>
      <c r="D38" s="53"/>
      <c r="E38" s="53"/>
      <c r="F38" s="53"/>
      <c r="H38" s="52" t="str">
        <f t="shared" si="0"/>
        <v/>
      </c>
      <c r="I38" s="53"/>
      <c r="J38" s="53"/>
      <c r="K38" s="53"/>
      <c r="L38" s="53"/>
      <c r="M38" s="53"/>
      <c r="N38" s="53"/>
      <c r="O38" s="53"/>
      <c r="P38" s="53"/>
      <c r="Q38" s="53"/>
      <c r="R38" s="52" t="str">
        <f t="shared" si="1"/>
        <v/>
      </c>
      <c r="S38" s="53"/>
      <c r="T38" s="53"/>
      <c r="U38" s="53"/>
      <c r="V38" s="53"/>
      <c r="W38" s="53"/>
      <c r="X38" s="53"/>
      <c r="Y38" s="53"/>
      <c r="Z38" s="53"/>
      <c r="AA38" s="53"/>
    </row>
    <row r="39" spans="3:30">
      <c r="C39" s="52"/>
      <c r="D39" s="53"/>
      <c r="E39" s="53"/>
      <c r="F39" s="53"/>
      <c r="H39" s="52" t="str">
        <f t="shared" si="0"/>
        <v/>
      </c>
      <c r="I39" s="53"/>
      <c r="J39" s="53"/>
      <c r="K39" s="53"/>
      <c r="L39" s="53"/>
      <c r="M39" s="53"/>
      <c r="N39" s="53"/>
      <c r="O39" s="53"/>
      <c r="P39" s="53"/>
      <c r="Q39" s="53"/>
      <c r="R39" s="52" t="str">
        <f t="shared" si="1"/>
        <v/>
      </c>
      <c r="S39" s="53"/>
      <c r="T39" s="53"/>
      <c r="U39" s="53"/>
      <c r="V39" s="53"/>
      <c r="W39" s="53"/>
      <c r="X39" s="53"/>
      <c r="Y39" s="53"/>
      <c r="Z39" s="53"/>
      <c r="AA39" s="53"/>
    </row>
    <row r="40" spans="3:30">
      <c r="C40" s="52"/>
      <c r="D40" s="53"/>
      <c r="E40" s="53"/>
      <c r="F40" s="53"/>
      <c r="H40" s="52" t="str">
        <f t="shared" si="0"/>
        <v/>
      </c>
      <c r="I40" s="53"/>
      <c r="J40" s="53"/>
      <c r="K40" s="53"/>
      <c r="L40" s="53"/>
      <c r="M40" s="53"/>
      <c r="N40" s="53"/>
      <c r="O40" s="53"/>
      <c r="P40" s="53"/>
      <c r="Q40" s="53"/>
      <c r="R40" s="52" t="str">
        <f t="shared" si="1"/>
        <v/>
      </c>
      <c r="S40" s="53"/>
      <c r="T40" s="53"/>
      <c r="U40" s="53"/>
      <c r="V40" s="53"/>
      <c r="W40" s="53"/>
      <c r="X40" s="53"/>
      <c r="Y40" s="53"/>
      <c r="Z40" s="53"/>
      <c r="AA40" s="53"/>
      <c r="AD40" t="s">
        <v>118</v>
      </c>
    </row>
    <row r="41" spans="3:30">
      <c r="C41" s="52"/>
      <c r="D41" s="53"/>
      <c r="E41" s="53"/>
      <c r="F41" s="53"/>
      <c r="H41" s="52" t="str">
        <f t="shared" si="0"/>
        <v/>
      </c>
      <c r="I41" s="53"/>
      <c r="J41" s="53"/>
      <c r="K41" s="53"/>
      <c r="L41" s="53"/>
      <c r="M41" s="53"/>
      <c r="N41" s="53"/>
      <c r="O41" s="53"/>
      <c r="P41" s="53"/>
      <c r="Q41" s="53"/>
      <c r="R41" s="52" t="str">
        <f t="shared" si="1"/>
        <v/>
      </c>
      <c r="S41" s="53"/>
      <c r="T41" s="53"/>
      <c r="U41" s="53"/>
      <c r="V41" s="53"/>
      <c r="W41" s="53"/>
      <c r="X41" s="53"/>
      <c r="Y41" s="53"/>
      <c r="Z41" s="53"/>
      <c r="AA41" s="53"/>
    </row>
    <row r="42" spans="3:30">
      <c r="C42" s="52"/>
      <c r="D42" s="53"/>
      <c r="E42" s="53"/>
      <c r="F42" s="53"/>
      <c r="H42" s="52" t="str">
        <f t="shared" si="0"/>
        <v/>
      </c>
      <c r="I42" s="53"/>
      <c r="J42" s="53"/>
      <c r="K42" s="53"/>
      <c r="L42" s="53"/>
      <c r="M42" s="53"/>
      <c r="N42" s="53"/>
      <c r="O42" s="53"/>
      <c r="P42" s="53"/>
      <c r="Q42" s="53"/>
      <c r="R42" s="52" t="str">
        <f t="shared" si="1"/>
        <v/>
      </c>
      <c r="S42" s="53"/>
      <c r="T42" s="53"/>
      <c r="U42" s="53"/>
      <c r="V42" s="53"/>
      <c r="W42" s="53"/>
      <c r="X42" s="53"/>
      <c r="Y42" s="53"/>
      <c r="Z42" s="53"/>
      <c r="AA42" s="53"/>
    </row>
    <row r="43" spans="3:30">
      <c r="C43" s="52"/>
      <c r="D43" s="53"/>
      <c r="E43" s="53"/>
      <c r="F43" s="53"/>
      <c r="H43" s="52" t="str">
        <f t="shared" si="0"/>
        <v/>
      </c>
      <c r="I43" s="53"/>
      <c r="J43" s="53"/>
      <c r="K43" s="53"/>
      <c r="L43" s="53"/>
      <c r="M43" s="53"/>
      <c r="N43" s="53"/>
      <c r="O43" s="53"/>
      <c r="P43" s="53"/>
      <c r="Q43" s="53"/>
      <c r="R43" s="52" t="str">
        <f t="shared" si="1"/>
        <v/>
      </c>
      <c r="S43" s="53"/>
      <c r="T43" s="53"/>
      <c r="U43" s="53"/>
      <c r="V43" s="53"/>
      <c r="W43" s="53"/>
      <c r="X43" s="53"/>
      <c r="Y43" s="53"/>
      <c r="Z43" s="53"/>
      <c r="AA43" s="53"/>
    </row>
    <row r="44" spans="3:30">
      <c r="C44" s="52"/>
      <c r="D44" s="53"/>
      <c r="E44" s="53"/>
      <c r="F44" s="53"/>
      <c r="H44" s="52" t="str">
        <f t="shared" si="0"/>
        <v/>
      </c>
      <c r="I44" s="53"/>
      <c r="J44" s="53"/>
      <c r="K44" s="53"/>
      <c r="L44" s="53"/>
      <c r="M44" s="53"/>
      <c r="N44" s="53"/>
      <c r="O44" s="53"/>
      <c r="P44" s="53"/>
      <c r="Q44" s="53"/>
      <c r="R44" s="52" t="str">
        <f t="shared" si="1"/>
        <v/>
      </c>
      <c r="S44" s="53"/>
      <c r="T44" s="53"/>
      <c r="U44" s="53"/>
      <c r="V44" s="53"/>
      <c r="W44" s="53"/>
      <c r="X44" s="53"/>
      <c r="Y44" s="53"/>
      <c r="Z44" s="53"/>
      <c r="AA44" s="53"/>
    </row>
    <row r="45" spans="3:30">
      <c r="C45" s="52"/>
      <c r="D45" s="53"/>
      <c r="E45" s="53"/>
      <c r="F45" s="53"/>
      <c r="H45" s="52" t="str">
        <f t="shared" si="0"/>
        <v/>
      </c>
      <c r="I45" s="53"/>
      <c r="J45" s="53"/>
      <c r="K45" s="53"/>
      <c r="L45" s="53"/>
      <c r="M45" s="53"/>
      <c r="N45" s="53"/>
      <c r="O45" s="53"/>
      <c r="P45" s="53"/>
      <c r="Q45" s="53"/>
      <c r="R45" s="52" t="str">
        <f t="shared" si="1"/>
        <v/>
      </c>
      <c r="S45" s="53"/>
      <c r="T45" s="53"/>
      <c r="U45" s="53"/>
      <c r="V45" s="53"/>
      <c r="W45" s="53"/>
      <c r="X45" s="53"/>
      <c r="Y45" s="53"/>
      <c r="Z45" s="53"/>
      <c r="AA45" s="53"/>
      <c r="AD45" t="s">
        <v>307</v>
      </c>
    </row>
    <row r="46" spans="3:30">
      <c r="C46" s="52"/>
      <c r="D46" s="53"/>
      <c r="E46" s="53"/>
      <c r="F46" s="53"/>
      <c r="H46" s="52" t="str">
        <f t="shared" si="0"/>
        <v/>
      </c>
      <c r="I46" s="53"/>
      <c r="J46" s="53"/>
      <c r="K46" s="53"/>
      <c r="L46" s="53"/>
      <c r="M46" s="53"/>
      <c r="N46" s="53"/>
      <c r="O46" s="53"/>
      <c r="P46" s="53"/>
      <c r="Q46" s="53"/>
      <c r="R46" s="52" t="str">
        <f t="shared" si="1"/>
        <v/>
      </c>
      <c r="S46" s="53"/>
      <c r="T46" s="53"/>
      <c r="U46" s="53"/>
      <c r="V46" s="53"/>
      <c r="W46" s="53"/>
      <c r="X46" s="53"/>
      <c r="Y46" s="53"/>
      <c r="Z46" s="53"/>
      <c r="AA46" s="53"/>
    </row>
    <row r="47" spans="3:30">
      <c r="C47" s="52"/>
      <c r="D47" s="53"/>
      <c r="E47" s="53"/>
      <c r="F47" s="53"/>
      <c r="H47" s="52" t="str">
        <f t="shared" si="0"/>
        <v/>
      </c>
      <c r="I47" s="53"/>
      <c r="J47" s="53"/>
      <c r="K47" s="53"/>
      <c r="L47" s="53"/>
      <c r="M47" s="53"/>
      <c r="N47" s="53"/>
      <c r="O47" s="53"/>
      <c r="P47" s="53"/>
      <c r="Q47" s="53"/>
      <c r="R47" s="52" t="str">
        <f t="shared" si="1"/>
        <v/>
      </c>
      <c r="S47" s="53"/>
      <c r="T47" s="53"/>
      <c r="U47" s="53"/>
      <c r="V47" s="53"/>
      <c r="W47" s="53"/>
      <c r="X47" s="53"/>
      <c r="Y47" s="53"/>
      <c r="Z47" s="53"/>
      <c r="AA47" s="53"/>
    </row>
    <row r="48" spans="3:30">
      <c r="C48" s="52"/>
      <c r="D48" s="53"/>
      <c r="E48" s="53"/>
      <c r="F48" s="53"/>
      <c r="H48" s="52" t="str">
        <f t="shared" si="0"/>
        <v/>
      </c>
      <c r="I48" s="53"/>
      <c r="J48" s="53"/>
      <c r="K48" s="53"/>
      <c r="L48" s="53"/>
      <c r="M48" s="53"/>
      <c r="N48" s="53"/>
      <c r="O48" s="53"/>
      <c r="P48" s="53"/>
      <c r="Q48" s="53"/>
      <c r="R48" s="52" t="str">
        <f t="shared" si="1"/>
        <v/>
      </c>
      <c r="S48" s="53"/>
      <c r="T48" s="53"/>
      <c r="U48" s="53"/>
      <c r="V48" s="53"/>
      <c r="W48" s="53"/>
      <c r="X48" s="53"/>
      <c r="Y48" s="53"/>
      <c r="Z48" s="53"/>
      <c r="AA48" s="53"/>
    </row>
    <row r="49" spans="3:27">
      <c r="C49" s="52"/>
      <c r="D49" s="53"/>
      <c r="E49" s="53"/>
      <c r="F49" s="53"/>
      <c r="H49" s="52" t="str">
        <f t="shared" si="0"/>
        <v/>
      </c>
      <c r="I49" s="53"/>
      <c r="J49" s="53"/>
      <c r="K49" s="53"/>
      <c r="L49" s="53"/>
      <c r="M49" s="53"/>
      <c r="N49" s="53"/>
      <c r="O49" s="53"/>
      <c r="P49" s="53"/>
      <c r="Q49" s="53"/>
      <c r="R49" s="52" t="str">
        <f t="shared" si="1"/>
        <v/>
      </c>
      <c r="S49" s="53"/>
      <c r="T49" s="53"/>
      <c r="U49" s="53"/>
      <c r="V49" s="53"/>
      <c r="W49" s="53"/>
      <c r="X49" s="53"/>
      <c r="Y49" s="53"/>
      <c r="Z49" s="53"/>
      <c r="AA49" s="53"/>
    </row>
    <row r="50" spans="3:27">
      <c r="C50" s="52"/>
      <c r="D50" s="53"/>
      <c r="E50" s="53"/>
      <c r="F50" s="53"/>
      <c r="H50" s="52" t="str">
        <f t="shared" si="0"/>
        <v/>
      </c>
      <c r="I50" s="53"/>
      <c r="J50" s="53"/>
      <c r="K50" s="53"/>
      <c r="L50" s="53"/>
      <c r="M50" s="53"/>
      <c r="N50" s="53"/>
      <c r="O50" s="53"/>
      <c r="P50" s="53"/>
      <c r="Q50" s="53"/>
      <c r="R50" s="52" t="str">
        <f t="shared" si="1"/>
        <v/>
      </c>
      <c r="S50" s="53"/>
      <c r="T50" s="53"/>
      <c r="U50" s="53"/>
      <c r="V50" s="53"/>
      <c r="W50" s="53"/>
      <c r="X50" s="53"/>
      <c r="Y50" s="53"/>
      <c r="Z50" s="53"/>
      <c r="AA50" s="53"/>
    </row>
    <row r="51" spans="3:27" ht="24.75" customHeight="1">
      <c r="H51" s="152" t="s">
        <v>373</v>
      </c>
      <c r="I51" s="146" t="s">
        <v>80</v>
      </c>
      <c r="R51" s="152" t="s">
        <v>373</v>
      </c>
      <c r="S51" s="146" t="s">
        <v>80</v>
      </c>
    </row>
    <row r="52" spans="3:27" ht="18.5">
      <c r="H52" s="141" t="str">
        <f>ListeProduitsCategrorie</f>
        <v>Boulangerie</v>
      </c>
      <c r="I52" s="141" t="s">
        <v>356</v>
      </c>
      <c r="J52" s="142"/>
      <c r="K52" s="143"/>
      <c r="L52" s="141" t="s">
        <v>357</v>
      </c>
      <c r="M52" s="142"/>
      <c r="N52" s="143"/>
      <c r="O52" s="141" t="s">
        <v>358</v>
      </c>
      <c r="P52" s="142"/>
      <c r="Q52" s="143"/>
      <c r="R52" s="141" t="str">
        <f>ListeProduitsCategrorie</f>
        <v>Boulangerie</v>
      </c>
      <c r="S52" s="141" t="s">
        <v>359</v>
      </c>
      <c r="T52" s="142"/>
      <c r="U52" s="143"/>
      <c r="V52" s="141" t="s">
        <v>360</v>
      </c>
      <c r="W52" s="142"/>
      <c r="X52" s="143"/>
      <c r="Y52" s="141" t="s">
        <v>361</v>
      </c>
      <c r="Z52" s="142"/>
      <c r="AA52" s="143"/>
    </row>
    <row r="53" spans="3:27">
      <c r="H53" s="144" t="s">
        <v>95</v>
      </c>
      <c r="I53" s="145" t="s">
        <v>36</v>
      </c>
      <c r="J53" s="145" t="s">
        <v>81</v>
      </c>
      <c r="K53" s="145" t="s">
        <v>82</v>
      </c>
      <c r="L53" s="145" t="s">
        <v>36</v>
      </c>
      <c r="M53" s="145" t="s">
        <v>81</v>
      </c>
      <c r="N53" s="145" t="s">
        <v>82</v>
      </c>
      <c r="O53" s="145" t="s">
        <v>36</v>
      </c>
      <c r="P53" s="145" t="s">
        <v>81</v>
      </c>
      <c r="Q53" s="145" t="s">
        <v>82</v>
      </c>
      <c r="R53" s="144" t="s">
        <v>95</v>
      </c>
      <c r="S53" s="145" t="s">
        <v>36</v>
      </c>
      <c r="T53" s="145" t="s">
        <v>81</v>
      </c>
      <c r="U53" s="145" t="s">
        <v>82</v>
      </c>
      <c r="V53" s="145" t="s">
        <v>36</v>
      </c>
      <c r="W53" s="145" t="s">
        <v>81</v>
      </c>
      <c r="X53" s="145" t="s">
        <v>82</v>
      </c>
      <c r="Y53" s="145" t="s">
        <v>36</v>
      </c>
      <c r="Z53" s="145" t="s">
        <v>81</v>
      </c>
      <c r="AA53" s="145" t="s">
        <v>82</v>
      </c>
    </row>
    <row r="54" spans="3:27">
      <c r="H54" s="52" t="str">
        <f>IF(H4&lt;&gt;"",H4,"")</f>
        <v>Tradition</v>
      </c>
      <c r="I54" s="53"/>
      <c r="J54" s="53"/>
      <c r="K54" s="53"/>
      <c r="L54" s="53"/>
      <c r="M54" s="53"/>
      <c r="N54" s="53"/>
      <c r="O54" s="53"/>
      <c r="P54" s="53"/>
      <c r="Q54" s="53"/>
      <c r="R54" s="52" t="str">
        <f>IF(H54&lt;&gt;"",H54,"")</f>
        <v>Tradition</v>
      </c>
      <c r="S54" s="53"/>
      <c r="T54" s="53"/>
      <c r="U54" s="53"/>
      <c r="V54" s="53"/>
      <c r="W54" s="53"/>
      <c r="X54" s="53"/>
      <c r="Y54" s="53"/>
      <c r="Z54" s="53"/>
      <c r="AA54" s="53"/>
    </row>
    <row r="55" spans="3:27">
      <c r="H55" s="52" t="str">
        <f t="shared" ref="H55:H100" si="2">IF(H5&lt;&gt;"",H5,"")</f>
        <v>Tradition aux Graines</v>
      </c>
      <c r="I55" s="53"/>
      <c r="J55" s="53"/>
      <c r="K55" s="53"/>
      <c r="L55" s="53"/>
      <c r="M55" s="53"/>
      <c r="N55" s="53"/>
      <c r="O55" s="53"/>
      <c r="P55" s="53"/>
      <c r="Q55" s="53"/>
      <c r="R55" s="52" t="str">
        <f t="shared" ref="R55:R100" si="3">IF(H55&lt;&gt;"",H55,"")</f>
        <v>Tradition aux Graines</v>
      </c>
      <c r="S55" s="53"/>
      <c r="T55" s="53"/>
      <c r="U55" s="53"/>
      <c r="V55" s="53"/>
      <c r="W55" s="53"/>
      <c r="X55" s="53"/>
      <c r="Y55" s="53"/>
      <c r="Z55" s="53"/>
      <c r="AA55" s="53"/>
    </row>
    <row r="56" spans="3:27">
      <c r="H56" s="52" t="str">
        <f t="shared" si="2"/>
        <v>Demi-Tradition</v>
      </c>
      <c r="I56" s="53"/>
      <c r="J56" s="53"/>
      <c r="K56" s="53"/>
      <c r="L56" s="53"/>
      <c r="M56" s="53"/>
      <c r="N56" s="53"/>
      <c r="O56" s="53"/>
      <c r="P56" s="53"/>
      <c r="Q56" s="53"/>
      <c r="R56" s="52" t="str">
        <f t="shared" si="3"/>
        <v>Demi-Tradition</v>
      </c>
      <c r="S56" s="53"/>
      <c r="T56" s="53"/>
      <c r="U56" s="53"/>
      <c r="V56" s="53"/>
      <c r="W56" s="53"/>
      <c r="X56" s="53"/>
      <c r="Y56" s="53"/>
      <c r="Z56" s="53"/>
      <c r="AA56" s="53"/>
    </row>
    <row r="57" spans="3:27">
      <c r="H57" s="52" t="str">
        <f t="shared" si="2"/>
        <v>Tradition Sésame ou Pavot</v>
      </c>
      <c r="I57" s="53"/>
      <c r="J57" s="53"/>
      <c r="K57" s="53"/>
      <c r="L57" s="53"/>
      <c r="M57" s="53"/>
      <c r="N57" s="53"/>
      <c r="O57" s="53"/>
      <c r="P57" s="53"/>
      <c r="Q57" s="53"/>
      <c r="R57" s="52" t="str">
        <f t="shared" si="3"/>
        <v>Tradition Sésame ou Pavot</v>
      </c>
      <c r="S57" s="53"/>
      <c r="T57" s="53"/>
      <c r="U57" s="53"/>
      <c r="V57" s="53"/>
      <c r="W57" s="53"/>
      <c r="X57" s="53"/>
      <c r="Y57" s="53"/>
      <c r="Z57" s="53"/>
      <c r="AA57" s="53"/>
    </row>
    <row r="58" spans="3:27">
      <c r="H58" s="52" t="str">
        <f t="shared" si="2"/>
        <v>Double Tradition</v>
      </c>
      <c r="I58" s="53"/>
      <c r="J58" s="53"/>
      <c r="K58" s="53"/>
      <c r="L58" s="53"/>
      <c r="M58" s="53"/>
      <c r="N58" s="53"/>
      <c r="O58" s="53"/>
      <c r="P58" s="53"/>
      <c r="Q58" s="53"/>
      <c r="R58" s="52" t="str">
        <f t="shared" si="3"/>
        <v>Double Tradition</v>
      </c>
      <c r="S58" s="53"/>
      <c r="T58" s="53"/>
      <c r="U58" s="53"/>
      <c r="V58" s="53"/>
      <c r="W58" s="53"/>
      <c r="X58" s="53"/>
      <c r="Y58" s="53"/>
      <c r="Z58" s="53"/>
      <c r="AA58" s="53"/>
    </row>
    <row r="59" spans="3:27">
      <c r="H59" s="52" t="str">
        <f t="shared" si="2"/>
        <v>Belle Arôme</v>
      </c>
      <c r="I59" s="53"/>
      <c r="J59" s="53"/>
      <c r="K59" s="53"/>
      <c r="L59" s="53"/>
      <c r="M59" s="53"/>
      <c r="N59" s="53"/>
      <c r="O59" s="53"/>
      <c r="P59" s="53"/>
      <c r="Q59" s="53"/>
      <c r="R59" s="52" t="str">
        <f t="shared" si="3"/>
        <v>Belle Arôme</v>
      </c>
      <c r="S59" s="53"/>
      <c r="T59" s="53"/>
      <c r="U59" s="53"/>
      <c r="V59" s="53"/>
      <c r="W59" s="53"/>
      <c r="X59" s="53"/>
      <c r="Y59" s="53"/>
      <c r="Z59" s="53"/>
      <c r="AA59" s="53"/>
    </row>
    <row r="60" spans="3:27">
      <c r="H60" s="52" t="str">
        <f t="shared" si="2"/>
        <v>Ficelle</v>
      </c>
      <c r="I60" s="53"/>
      <c r="J60" s="53"/>
      <c r="K60" s="53"/>
      <c r="L60" s="53"/>
      <c r="M60" s="53"/>
      <c r="N60" s="53"/>
      <c r="O60" s="53"/>
      <c r="P60" s="53"/>
      <c r="Q60" s="53"/>
      <c r="R60" s="52" t="str">
        <f t="shared" si="3"/>
        <v>Ficelle</v>
      </c>
      <c r="S60" s="53"/>
      <c r="T60" s="53"/>
      <c r="U60" s="53"/>
      <c r="V60" s="53"/>
      <c r="W60" s="53"/>
      <c r="X60" s="53"/>
      <c r="Y60" s="53"/>
      <c r="Z60" s="53"/>
      <c r="AA60" s="53"/>
    </row>
    <row r="61" spans="3:27">
      <c r="H61" s="52" t="str">
        <f t="shared" si="2"/>
        <v>Ficelle Aromatique</v>
      </c>
      <c r="I61" s="53"/>
      <c r="J61" s="53"/>
      <c r="K61" s="53"/>
      <c r="L61" s="53"/>
      <c r="M61" s="53"/>
      <c r="N61" s="53"/>
      <c r="O61" s="53"/>
      <c r="P61" s="53"/>
      <c r="Q61" s="53"/>
      <c r="R61" s="52" t="str">
        <f t="shared" si="3"/>
        <v>Ficelle Aromatique</v>
      </c>
      <c r="S61" s="53"/>
      <c r="T61" s="53"/>
      <c r="U61" s="53"/>
      <c r="V61" s="53"/>
      <c r="W61" s="53"/>
      <c r="X61" s="53"/>
      <c r="Y61" s="53"/>
      <c r="Z61" s="53"/>
      <c r="AA61" s="53"/>
    </row>
    <row r="62" spans="3:27">
      <c r="H62" s="52" t="str">
        <f t="shared" si="2"/>
        <v>Ficelle Lardons et Fromage</v>
      </c>
      <c r="I62" s="53"/>
      <c r="J62" s="53"/>
      <c r="K62" s="53"/>
      <c r="L62" s="53"/>
      <c r="M62" s="53"/>
      <c r="N62" s="53"/>
      <c r="O62" s="53"/>
      <c r="P62" s="53"/>
      <c r="Q62" s="53"/>
      <c r="R62" s="52" t="str">
        <f t="shared" si="3"/>
        <v>Ficelle Lardons et Fromage</v>
      </c>
      <c r="S62" s="53"/>
      <c r="T62" s="53"/>
      <c r="U62" s="53"/>
      <c r="V62" s="53"/>
      <c r="W62" s="53"/>
      <c r="X62" s="53"/>
      <c r="Y62" s="53"/>
      <c r="Z62" s="53"/>
      <c r="AA62" s="53"/>
    </row>
    <row r="63" spans="3:27">
      <c r="H63" s="52" t="str">
        <f t="shared" si="2"/>
        <v>Ficelle Tomate Basilic</v>
      </c>
      <c r="I63" s="53"/>
      <c r="J63" s="53"/>
      <c r="K63" s="53"/>
      <c r="L63" s="53"/>
      <c r="M63" s="53"/>
      <c r="N63" s="53"/>
      <c r="O63" s="53"/>
      <c r="P63" s="53"/>
      <c r="Q63" s="53"/>
      <c r="R63" s="52" t="str">
        <f t="shared" si="3"/>
        <v>Ficelle Tomate Basilic</v>
      </c>
      <c r="S63" s="53"/>
      <c r="T63" s="53"/>
      <c r="U63" s="53"/>
      <c r="V63" s="53"/>
      <c r="W63" s="53"/>
      <c r="X63" s="53"/>
      <c r="Y63" s="53"/>
      <c r="Z63" s="53"/>
      <c r="AA63" s="53"/>
    </row>
    <row r="64" spans="3:27">
      <c r="H64" s="52" t="str">
        <f t="shared" si="2"/>
        <v>Ficelle Chorizo Maïs</v>
      </c>
      <c r="I64" s="53"/>
      <c r="J64" s="53"/>
      <c r="K64" s="53"/>
      <c r="L64" s="53"/>
      <c r="M64" s="53"/>
      <c r="N64" s="53"/>
      <c r="O64" s="53"/>
      <c r="P64" s="53"/>
      <c r="Q64" s="53"/>
      <c r="R64" s="52" t="str">
        <f t="shared" si="3"/>
        <v>Ficelle Chorizo Maïs</v>
      </c>
      <c r="S64" s="53"/>
      <c r="T64" s="53"/>
      <c r="U64" s="53"/>
      <c r="V64" s="53"/>
      <c r="W64" s="53"/>
      <c r="X64" s="53"/>
      <c r="Y64" s="53"/>
      <c r="Z64" s="53"/>
      <c r="AA64" s="53"/>
    </row>
    <row r="65" spans="8:27">
      <c r="H65" s="52" t="str">
        <f t="shared" si="2"/>
        <v>Baguette</v>
      </c>
      <c r="I65" s="53"/>
      <c r="J65" s="53"/>
      <c r="K65" s="53"/>
      <c r="L65" s="53"/>
      <c r="M65" s="53"/>
      <c r="N65" s="53"/>
      <c r="O65" s="53"/>
      <c r="P65" s="53"/>
      <c r="Q65" s="53"/>
      <c r="R65" s="52" t="str">
        <f t="shared" si="3"/>
        <v>Baguette</v>
      </c>
      <c r="S65" s="53"/>
      <c r="T65" s="53"/>
      <c r="U65" s="53"/>
      <c r="V65" s="53"/>
      <c r="W65" s="53"/>
      <c r="X65" s="53"/>
      <c r="Y65" s="53"/>
      <c r="Z65" s="53"/>
      <c r="AA65" s="53"/>
    </row>
    <row r="66" spans="8:27">
      <c r="H66" s="52" t="str">
        <f t="shared" si="2"/>
        <v>Demi-Graines, Sésames ou Pavot</v>
      </c>
      <c r="I66" s="53"/>
      <c r="J66" s="53"/>
      <c r="K66" s="53"/>
      <c r="L66" s="53"/>
      <c r="M66" s="53"/>
      <c r="N66" s="53"/>
      <c r="O66" s="53"/>
      <c r="P66" s="53"/>
      <c r="Q66" s="53"/>
      <c r="R66" s="52" t="str">
        <f t="shared" si="3"/>
        <v>Demi-Graines, Sésames ou Pavot</v>
      </c>
      <c r="S66" s="53"/>
      <c r="T66" s="53"/>
      <c r="U66" s="53"/>
      <c r="V66" s="53"/>
      <c r="W66" s="53"/>
      <c r="X66" s="53"/>
      <c r="Y66" s="53"/>
      <c r="Z66" s="53"/>
      <c r="AA66" s="53"/>
    </row>
    <row r="67" spans="8:27">
      <c r="H67" s="52" t="str">
        <f t="shared" si="2"/>
        <v>Pain Bûcheron</v>
      </c>
      <c r="I67" s="53"/>
      <c r="J67" s="53"/>
      <c r="K67" s="53"/>
      <c r="L67" s="53"/>
      <c r="M67" s="53"/>
      <c r="N67" s="53"/>
      <c r="O67" s="53"/>
      <c r="P67" s="53"/>
      <c r="Q67" s="53"/>
      <c r="R67" s="52" t="str">
        <f t="shared" si="3"/>
        <v>Pain Bûcheron</v>
      </c>
      <c r="S67" s="53"/>
      <c r="T67" s="53"/>
      <c r="U67" s="53"/>
      <c r="V67" s="53"/>
      <c r="W67" s="53"/>
      <c r="X67" s="53"/>
      <c r="Y67" s="53"/>
      <c r="Z67" s="53"/>
      <c r="AA67" s="53"/>
    </row>
    <row r="68" spans="8:27">
      <c r="H68" s="52" t="str">
        <f t="shared" si="2"/>
        <v>Pain de Campagne</v>
      </c>
      <c r="I68" s="53"/>
      <c r="J68" s="53"/>
      <c r="K68" s="53"/>
      <c r="L68" s="53"/>
      <c r="M68" s="53"/>
      <c r="N68" s="53"/>
      <c r="O68" s="53"/>
      <c r="P68" s="53"/>
      <c r="Q68" s="53"/>
      <c r="R68" s="52" t="str">
        <f t="shared" si="3"/>
        <v>Pain de Campagne</v>
      </c>
      <c r="S68" s="53"/>
      <c r="T68" s="53"/>
      <c r="U68" s="53"/>
      <c r="V68" s="53"/>
      <c r="W68" s="53"/>
      <c r="X68" s="53"/>
      <c r="Y68" s="53"/>
      <c r="Z68" s="53"/>
      <c r="AA68" s="53"/>
    </row>
    <row r="69" spans="8:27">
      <c r="H69" s="52" t="str">
        <f t="shared" si="2"/>
        <v>Pain de Mie</v>
      </c>
      <c r="I69" s="53"/>
      <c r="J69" s="53"/>
      <c r="K69" s="53"/>
      <c r="L69" s="53"/>
      <c r="M69" s="53"/>
      <c r="N69" s="53"/>
      <c r="O69" s="53"/>
      <c r="P69" s="53"/>
      <c r="Q69" s="53"/>
      <c r="R69" s="52" t="str">
        <f t="shared" si="3"/>
        <v>Pain de Mie</v>
      </c>
      <c r="S69" s="53"/>
      <c r="T69" s="53"/>
      <c r="U69" s="53"/>
      <c r="V69" s="53"/>
      <c r="W69" s="53"/>
      <c r="X69" s="53"/>
      <c r="Y69" s="53"/>
      <c r="Z69" s="53"/>
      <c r="AA69" s="53"/>
    </row>
    <row r="70" spans="8:27">
      <c r="H70" s="52" t="str">
        <f t="shared" si="2"/>
        <v>Pain de Seigle</v>
      </c>
      <c r="I70" s="53"/>
      <c r="J70" s="53"/>
      <c r="K70" s="53"/>
      <c r="L70" s="53"/>
      <c r="M70" s="53"/>
      <c r="N70" s="53"/>
      <c r="O70" s="53"/>
      <c r="P70" s="53"/>
      <c r="Q70" s="53"/>
      <c r="R70" s="52" t="str">
        <f t="shared" si="3"/>
        <v>Pain de Seigle</v>
      </c>
      <c r="S70" s="53"/>
      <c r="T70" s="53"/>
      <c r="U70" s="53"/>
      <c r="V70" s="53"/>
      <c r="W70" s="53"/>
      <c r="X70" s="53"/>
      <c r="Y70" s="53"/>
      <c r="Z70" s="53"/>
      <c r="AA70" s="53"/>
    </row>
    <row r="71" spans="8:27">
      <c r="H71" s="52" t="str">
        <f t="shared" si="2"/>
        <v>Pain Fruitier</v>
      </c>
      <c r="I71" s="53"/>
      <c r="J71" s="53"/>
      <c r="K71" s="53"/>
      <c r="L71" s="53"/>
      <c r="M71" s="53"/>
      <c r="N71" s="53"/>
      <c r="O71" s="53"/>
      <c r="P71" s="53"/>
      <c r="Q71" s="53"/>
      <c r="R71" s="52" t="str">
        <f t="shared" si="3"/>
        <v>Pain Fruitier</v>
      </c>
      <c r="S71" s="53"/>
      <c r="T71" s="53"/>
      <c r="U71" s="53"/>
      <c r="V71" s="53"/>
      <c r="W71" s="53"/>
      <c r="X71" s="53"/>
      <c r="Y71" s="53"/>
      <c r="Z71" s="53"/>
      <c r="AA71" s="53"/>
    </row>
    <row r="72" spans="8:27">
      <c r="H72" s="52" t="str">
        <f t="shared" si="2"/>
        <v>Pain Gâche</v>
      </c>
      <c r="I72" s="53"/>
      <c r="J72" s="53"/>
      <c r="K72" s="53"/>
      <c r="L72" s="53"/>
      <c r="M72" s="53"/>
      <c r="N72" s="53"/>
      <c r="O72" s="53"/>
      <c r="P72" s="53"/>
      <c r="Q72" s="53"/>
      <c r="R72" s="52" t="str">
        <f t="shared" si="3"/>
        <v>Pain Gâche</v>
      </c>
      <c r="S72" s="53"/>
      <c r="T72" s="53"/>
      <c r="U72" s="53"/>
      <c r="V72" s="53"/>
      <c r="W72" s="53"/>
      <c r="X72" s="53"/>
      <c r="Y72" s="53"/>
      <c r="Z72" s="53"/>
      <c r="AA72" s="53"/>
    </row>
    <row r="73" spans="8:27">
      <c r="H73" s="52" t="str">
        <f t="shared" si="2"/>
        <v>Pain Maïs</v>
      </c>
      <c r="I73" s="53"/>
      <c r="J73" s="53"/>
      <c r="K73" s="53"/>
      <c r="L73" s="53"/>
      <c r="M73" s="53"/>
      <c r="N73" s="53"/>
      <c r="O73" s="53"/>
      <c r="P73" s="53"/>
      <c r="Q73" s="53"/>
      <c r="R73" s="52" t="str">
        <f t="shared" si="3"/>
        <v>Pain Maïs</v>
      </c>
      <c r="S73" s="53"/>
      <c r="T73" s="53"/>
      <c r="U73" s="53"/>
      <c r="V73" s="53"/>
      <c r="W73" s="53"/>
      <c r="X73" s="53"/>
      <c r="Y73" s="53"/>
      <c r="Z73" s="53"/>
      <c r="AA73" s="53"/>
    </row>
    <row r="74" spans="8:27">
      <c r="H74" s="52" t="str">
        <f t="shared" si="2"/>
        <v>Pain Tartine</v>
      </c>
      <c r="I74" s="53"/>
      <c r="J74" s="53"/>
      <c r="K74" s="53"/>
      <c r="L74" s="53"/>
      <c r="M74" s="53"/>
      <c r="N74" s="53"/>
      <c r="O74" s="53"/>
      <c r="P74" s="53"/>
      <c r="Q74" s="53"/>
      <c r="R74" s="52" t="str">
        <f t="shared" si="3"/>
        <v>Pain Tartine</v>
      </c>
      <c r="S74" s="53"/>
      <c r="T74" s="53"/>
      <c r="U74" s="53"/>
      <c r="V74" s="53"/>
      <c r="W74" s="53"/>
      <c r="X74" s="53"/>
      <c r="Y74" s="53"/>
      <c r="Z74" s="53"/>
      <c r="AA74" s="53"/>
    </row>
    <row r="75" spans="8:27">
      <c r="H75" s="52" t="str">
        <f t="shared" si="2"/>
        <v>Pain Burger</v>
      </c>
      <c r="I75" s="53"/>
      <c r="J75" s="53"/>
      <c r="K75" s="53"/>
      <c r="L75" s="53"/>
      <c r="M75" s="53"/>
      <c r="N75" s="53"/>
      <c r="O75" s="53"/>
      <c r="P75" s="53"/>
      <c r="Q75" s="53"/>
      <c r="R75" s="52" t="str">
        <f t="shared" si="3"/>
        <v>Pain Burger</v>
      </c>
      <c r="S75" s="53"/>
      <c r="T75" s="53"/>
      <c r="U75" s="53"/>
      <c r="V75" s="53"/>
      <c r="W75" s="53"/>
      <c r="X75" s="53"/>
      <c r="Y75" s="53"/>
      <c r="Z75" s="53"/>
      <c r="AA75" s="53"/>
    </row>
    <row r="76" spans="8:27">
      <c r="H76" s="52" t="str">
        <f t="shared" si="2"/>
        <v>Moelleux aux Noix</v>
      </c>
      <c r="I76" s="53"/>
      <c r="J76" s="53"/>
      <c r="K76" s="53"/>
      <c r="L76" s="53"/>
      <c r="M76" s="53"/>
      <c r="N76" s="53"/>
      <c r="O76" s="53"/>
      <c r="P76" s="53"/>
      <c r="Q76" s="53"/>
      <c r="R76" s="52" t="str">
        <f t="shared" si="3"/>
        <v>Moelleux aux Noix</v>
      </c>
      <c r="S76" s="53"/>
      <c r="T76" s="53"/>
      <c r="U76" s="53"/>
      <c r="V76" s="53"/>
      <c r="W76" s="53"/>
      <c r="X76" s="53"/>
      <c r="Y76" s="53"/>
      <c r="Z76" s="53"/>
      <c r="AA76" s="53"/>
    </row>
    <row r="77" spans="8:27">
      <c r="H77" s="52" t="str">
        <f t="shared" si="2"/>
        <v>Moelleux aux Graines</v>
      </c>
      <c r="I77" s="53"/>
      <c r="J77" s="53"/>
      <c r="K77" s="53"/>
      <c r="L77" s="53"/>
      <c r="M77" s="53"/>
      <c r="N77" s="53"/>
      <c r="O77" s="53"/>
      <c r="P77" s="53"/>
      <c r="Q77" s="53"/>
      <c r="R77" s="52" t="str">
        <f t="shared" si="3"/>
        <v>Moelleux aux Graines</v>
      </c>
      <c r="S77" s="53"/>
      <c r="T77" s="53"/>
      <c r="U77" s="53"/>
      <c r="V77" s="53"/>
      <c r="W77" s="53"/>
      <c r="X77" s="53"/>
      <c r="Y77" s="53"/>
      <c r="Z77" s="53"/>
      <c r="AA77" s="53"/>
    </row>
    <row r="78" spans="8:27">
      <c r="H78" s="52" t="str">
        <f t="shared" si="2"/>
        <v>Pain Nordique</v>
      </c>
      <c r="I78" s="53"/>
      <c r="J78" s="53"/>
      <c r="K78" s="53"/>
      <c r="L78" s="53"/>
      <c r="M78" s="53"/>
      <c r="N78" s="53"/>
      <c r="O78" s="53"/>
      <c r="P78" s="53"/>
      <c r="Q78" s="53"/>
      <c r="R78" s="52" t="str">
        <f t="shared" si="3"/>
        <v>Pain Nordique</v>
      </c>
      <c r="S78" s="53"/>
      <c r="T78" s="53"/>
      <c r="U78" s="53"/>
      <c r="V78" s="53"/>
      <c r="W78" s="53"/>
      <c r="X78" s="53"/>
      <c r="Y78" s="53"/>
      <c r="Z78" s="53"/>
      <c r="AA78" s="53"/>
    </row>
    <row r="79" spans="8:27">
      <c r="H79" s="52" t="str">
        <f t="shared" si="2"/>
        <v>Les Petits Pains Nature</v>
      </c>
      <c r="I79" s="53"/>
      <c r="J79" s="53"/>
      <c r="K79" s="53"/>
      <c r="L79" s="53"/>
      <c r="M79" s="53"/>
      <c r="N79" s="53"/>
      <c r="O79" s="53"/>
      <c r="P79" s="53"/>
      <c r="Q79" s="53"/>
      <c r="R79" s="52" t="str">
        <f t="shared" si="3"/>
        <v>Les Petits Pains Nature</v>
      </c>
      <c r="S79" s="53"/>
      <c r="T79" s="53"/>
      <c r="U79" s="53"/>
      <c r="V79" s="53"/>
      <c r="W79" s="53"/>
      <c r="X79" s="53"/>
      <c r="Y79" s="53"/>
      <c r="Z79" s="53"/>
      <c r="AA79" s="53"/>
    </row>
    <row r="80" spans="8:27">
      <c r="H80" s="52" t="str">
        <f t="shared" si="2"/>
        <v>Petits Pains Maïs-Chocolat</v>
      </c>
      <c r="I80" s="53"/>
      <c r="J80" s="53"/>
      <c r="K80" s="53"/>
      <c r="L80" s="53"/>
      <c r="M80" s="53"/>
      <c r="N80" s="53"/>
      <c r="O80" s="53"/>
      <c r="P80" s="53"/>
      <c r="Q80" s="53"/>
      <c r="R80" s="52" t="str">
        <f t="shared" si="3"/>
        <v>Petits Pains Maïs-Chocolat</v>
      </c>
      <c r="S80" s="53"/>
      <c r="T80" s="53"/>
      <c r="U80" s="53"/>
      <c r="V80" s="53"/>
      <c r="W80" s="53"/>
      <c r="X80" s="53"/>
      <c r="Y80" s="53"/>
      <c r="Z80" s="53"/>
      <c r="AA80" s="53"/>
    </row>
    <row r="81" spans="8:27">
      <c r="H81" s="52" t="str">
        <f t="shared" si="2"/>
        <v>Petits Pains Aromatisés</v>
      </c>
      <c r="I81" s="53"/>
      <c r="J81" s="53"/>
      <c r="K81" s="53"/>
      <c r="L81" s="53"/>
      <c r="M81" s="53"/>
      <c r="N81" s="53"/>
      <c r="O81" s="53"/>
      <c r="P81" s="53"/>
      <c r="Q81" s="53"/>
      <c r="R81" s="52" t="str">
        <f t="shared" si="3"/>
        <v>Petits Pains Aromatisés</v>
      </c>
      <c r="S81" s="53"/>
      <c r="T81" s="53"/>
      <c r="U81" s="53"/>
      <c r="V81" s="53"/>
      <c r="W81" s="53"/>
      <c r="X81" s="53"/>
      <c r="Y81" s="53"/>
      <c r="Z81" s="53"/>
      <c r="AA81" s="53"/>
    </row>
    <row r="82" spans="8:27">
      <c r="H82" s="52" t="str">
        <f t="shared" si="2"/>
        <v/>
      </c>
      <c r="I82" s="53"/>
      <c r="J82" s="53"/>
      <c r="K82" s="53"/>
      <c r="L82" s="53"/>
      <c r="M82" s="53"/>
      <c r="N82" s="53"/>
      <c r="O82" s="53"/>
      <c r="P82" s="53"/>
      <c r="Q82" s="53"/>
      <c r="R82" s="52" t="str">
        <f t="shared" si="3"/>
        <v/>
      </c>
      <c r="S82" s="53"/>
      <c r="T82" s="53"/>
      <c r="U82" s="53"/>
      <c r="V82" s="53"/>
      <c r="W82" s="53"/>
      <c r="X82" s="53"/>
      <c r="Y82" s="53"/>
      <c r="Z82" s="53"/>
      <c r="AA82" s="53"/>
    </row>
    <row r="83" spans="8:27">
      <c r="H83" s="52" t="str">
        <f t="shared" si="2"/>
        <v/>
      </c>
      <c r="I83" s="53"/>
      <c r="J83" s="53"/>
      <c r="K83" s="53"/>
      <c r="L83" s="53"/>
      <c r="M83" s="53"/>
      <c r="N83" s="53"/>
      <c r="O83" s="53"/>
      <c r="P83" s="53"/>
      <c r="Q83" s="53"/>
      <c r="R83" s="52" t="str">
        <f t="shared" si="3"/>
        <v/>
      </c>
      <c r="S83" s="53"/>
      <c r="T83" s="53"/>
      <c r="U83" s="53"/>
      <c r="V83" s="53"/>
      <c r="W83" s="53"/>
      <c r="X83" s="53"/>
      <c r="Y83" s="53"/>
      <c r="Z83" s="53"/>
      <c r="AA83" s="53"/>
    </row>
    <row r="84" spans="8:27">
      <c r="H84" s="52" t="str">
        <f t="shared" si="2"/>
        <v/>
      </c>
      <c r="I84" s="53"/>
      <c r="J84" s="53"/>
      <c r="K84" s="53"/>
      <c r="L84" s="53"/>
      <c r="M84" s="53"/>
      <c r="N84" s="53"/>
      <c r="O84" s="53"/>
      <c r="P84" s="53"/>
      <c r="Q84" s="53"/>
      <c r="R84" s="52" t="str">
        <f t="shared" si="3"/>
        <v/>
      </c>
      <c r="S84" s="53"/>
      <c r="T84" s="53"/>
      <c r="U84" s="53"/>
      <c r="V84" s="53"/>
      <c r="W84" s="53"/>
      <c r="X84" s="53"/>
      <c r="Y84" s="53"/>
      <c r="Z84" s="53"/>
      <c r="AA84" s="53"/>
    </row>
    <row r="85" spans="8:27">
      <c r="H85" s="52" t="str">
        <f t="shared" si="2"/>
        <v/>
      </c>
      <c r="I85" s="53"/>
      <c r="J85" s="53"/>
      <c r="K85" s="53"/>
      <c r="L85" s="53"/>
      <c r="M85" s="53"/>
      <c r="N85" s="53"/>
      <c r="O85" s="53"/>
      <c r="P85" s="53"/>
      <c r="Q85" s="53"/>
      <c r="R85" s="52" t="str">
        <f t="shared" si="3"/>
        <v/>
      </c>
      <c r="S85" s="53"/>
      <c r="T85" s="53"/>
      <c r="U85" s="53"/>
      <c r="V85" s="53"/>
      <c r="W85" s="53"/>
      <c r="X85" s="53"/>
      <c r="Y85" s="53"/>
      <c r="Z85" s="53"/>
      <c r="AA85" s="53"/>
    </row>
    <row r="86" spans="8:27">
      <c r="H86" s="52" t="str">
        <f t="shared" si="2"/>
        <v/>
      </c>
      <c r="I86" s="53"/>
      <c r="J86" s="53"/>
      <c r="K86" s="53"/>
      <c r="L86" s="53"/>
      <c r="M86" s="53"/>
      <c r="N86" s="53"/>
      <c r="O86" s="53"/>
      <c r="P86" s="53"/>
      <c r="Q86" s="53"/>
      <c r="R86" s="52" t="str">
        <f t="shared" si="3"/>
        <v/>
      </c>
      <c r="S86" s="53"/>
      <c r="T86" s="53"/>
      <c r="U86" s="53"/>
      <c r="V86" s="53"/>
      <c r="W86" s="53"/>
      <c r="X86" s="53"/>
      <c r="Y86" s="53"/>
      <c r="Z86" s="53"/>
      <c r="AA86" s="53"/>
    </row>
    <row r="87" spans="8:27">
      <c r="H87" s="52" t="str">
        <f t="shared" si="2"/>
        <v/>
      </c>
      <c r="I87" s="53"/>
      <c r="J87" s="53"/>
      <c r="K87" s="53"/>
      <c r="L87" s="53"/>
      <c r="M87" s="53"/>
      <c r="N87" s="53"/>
      <c r="O87" s="53"/>
      <c r="P87" s="53"/>
      <c r="Q87" s="53"/>
      <c r="R87" s="52" t="str">
        <f t="shared" si="3"/>
        <v/>
      </c>
      <c r="S87" s="53"/>
      <c r="T87" s="53"/>
      <c r="U87" s="53"/>
      <c r="V87" s="53"/>
      <c r="W87" s="53"/>
      <c r="X87" s="53"/>
      <c r="Y87" s="53"/>
      <c r="Z87" s="53"/>
      <c r="AA87" s="53"/>
    </row>
    <row r="88" spans="8:27">
      <c r="H88" s="52" t="str">
        <f t="shared" si="2"/>
        <v/>
      </c>
      <c r="I88" s="53"/>
      <c r="J88" s="53"/>
      <c r="K88" s="53"/>
      <c r="L88" s="53"/>
      <c r="M88" s="53"/>
      <c r="N88" s="53"/>
      <c r="O88" s="53"/>
      <c r="P88" s="53"/>
      <c r="Q88" s="53"/>
      <c r="R88" s="52" t="str">
        <f t="shared" si="3"/>
        <v/>
      </c>
      <c r="S88" s="53"/>
      <c r="T88" s="53"/>
      <c r="U88" s="53"/>
      <c r="V88" s="53"/>
      <c r="W88" s="53"/>
      <c r="X88" s="53"/>
      <c r="Y88" s="53"/>
      <c r="Z88" s="53"/>
      <c r="AA88" s="53"/>
    </row>
    <row r="89" spans="8:27">
      <c r="H89" s="52" t="str">
        <f t="shared" si="2"/>
        <v/>
      </c>
      <c r="I89" s="53"/>
      <c r="J89" s="53"/>
      <c r="K89" s="53"/>
      <c r="L89" s="53"/>
      <c r="M89" s="53"/>
      <c r="N89" s="53"/>
      <c r="O89" s="53"/>
      <c r="P89" s="53"/>
      <c r="Q89" s="53"/>
      <c r="R89" s="52" t="str">
        <f t="shared" si="3"/>
        <v/>
      </c>
      <c r="S89" s="53"/>
      <c r="T89" s="53"/>
      <c r="U89" s="53"/>
      <c r="V89" s="53"/>
      <c r="W89" s="53"/>
      <c r="X89" s="53"/>
      <c r="Y89" s="53"/>
      <c r="Z89" s="53"/>
      <c r="AA89" s="53"/>
    </row>
    <row r="90" spans="8:27">
      <c r="H90" s="52" t="str">
        <f t="shared" si="2"/>
        <v/>
      </c>
      <c r="I90" s="53"/>
      <c r="J90" s="53"/>
      <c r="K90" s="53"/>
      <c r="L90" s="53"/>
      <c r="M90" s="53"/>
      <c r="N90" s="53"/>
      <c r="O90" s="53"/>
      <c r="P90" s="53"/>
      <c r="Q90" s="53"/>
      <c r="R90" s="52" t="str">
        <f t="shared" si="3"/>
        <v/>
      </c>
      <c r="S90" s="53"/>
      <c r="T90" s="53"/>
      <c r="U90" s="53"/>
      <c r="V90" s="53"/>
      <c r="W90" s="53"/>
      <c r="X90" s="53"/>
      <c r="Y90" s="53"/>
      <c r="Z90" s="53"/>
      <c r="AA90" s="53"/>
    </row>
    <row r="91" spans="8:27">
      <c r="H91" s="52" t="str">
        <f t="shared" si="2"/>
        <v/>
      </c>
      <c r="I91" s="53"/>
      <c r="J91" s="53"/>
      <c r="K91" s="53"/>
      <c r="L91" s="53"/>
      <c r="M91" s="53"/>
      <c r="N91" s="53"/>
      <c r="O91" s="53"/>
      <c r="P91" s="53"/>
      <c r="Q91" s="53"/>
      <c r="R91" s="52" t="str">
        <f t="shared" si="3"/>
        <v/>
      </c>
      <c r="S91" s="53"/>
      <c r="T91" s="53"/>
      <c r="U91" s="53"/>
      <c r="V91" s="53"/>
      <c r="W91" s="53"/>
      <c r="X91" s="53"/>
      <c r="Y91" s="53"/>
      <c r="Z91" s="53"/>
      <c r="AA91" s="53"/>
    </row>
    <row r="92" spans="8:27">
      <c r="H92" s="52" t="str">
        <f t="shared" si="2"/>
        <v/>
      </c>
      <c r="I92" s="53"/>
      <c r="J92" s="53"/>
      <c r="K92" s="53"/>
      <c r="L92" s="53"/>
      <c r="M92" s="53"/>
      <c r="N92" s="53"/>
      <c r="O92" s="53"/>
      <c r="P92" s="53"/>
      <c r="Q92" s="53"/>
      <c r="R92" s="52" t="str">
        <f t="shared" si="3"/>
        <v/>
      </c>
      <c r="S92" s="53"/>
      <c r="T92" s="53"/>
      <c r="U92" s="53"/>
      <c r="V92" s="53"/>
      <c r="W92" s="53"/>
      <c r="X92" s="53"/>
      <c r="Y92" s="53"/>
      <c r="Z92" s="53"/>
      <c r="AA92" s="53"/>
    </row>
    <row r="93" spans="8:27">
      <c r="H93" s="52" t="str">
        <f t="shared" si="2"/>
        <v/>
      </c>
      <c r="I93" s="53"/>
      <c r="J93" s="53"/>
      <c r="K93" s="53"/>
      <c r="L93" s="53"/>
      <c r="M93" s="53"/>
      <c r="N93" s="53"/>
      <c r="O93" s="53"/>
      <c r="P93" s="53"/>
      <c r="Q93" s="53"/>
      <c r="R93" s="52" t="str">
        <f t="shared" si="3"/>
        <v/>
      </c>
      <c r="S93" s="53"/>
      <c r="T93" s="53"/>
      <c r="U93" s="53"/>
      <c r="V93" s="53"/>
      <c r="W93" s="53"/>
      <c r="X93" s="53"/>
      <c r="Y93" s="53"/>
      <c r="Z93" s="53"/>
      <c r="AA93" s="53"/>
    </row>
    <row r="94" spans="8:27">
      <c r="H94" s="52" t="str">
        <f t="shared" si="2"/>
        <v/>
      </c>
      <c r="I94" s="53"/>
      <c r="J94" s="53"/>
      <c r="K94" s="53"/>
      <c r="L94" s="53"/>
      <c r="M94" s="53"/>
      <c r="N94" s="53"/>
      <c r="O94" s="53"/>
      <c r="P94" s="53"/>
      <c r="Q94" s="53"/>
      <c r="R94" s="52" t="str">
        <f t="shared" si="3"/>
        <v/>
      </c>
      <c r="S94" s="53"/>
      <c r="T94" s="53"/>
      <c r="U94" s="53"/>
      <c r="V94" s="53"/>
      <c r="W94" s="53"/>
      <c r="X94" s="53"/>
      <c r="Y94" s="53"/>
      <c r="Z94" s="53"/>
      <c r="AA94" s="53"/>
    </row>
    <row r="95" spans="8:27">
      <c r="H95" s="52" t="str">
        <f t="shared" si="2"/>
        <v/>
      </c>
      <c r="I95" s="53"/>
      <c r="J95" s="53"/>
      <c r="K95" s="53"/>
      <c r="L95" s="53"/>
      <c r="M95" s="53"/>
      <c r="N95" s="53"/>
      <c r="O95" s="53"/>
      <c r="P95" s="53"/>
      <c r="Q95" s="53"/>
      <c r="R95" s="52" t="str">
        <f t="shared" si="3"/>
        <v/>
      </c>
      <c r="S95" s="53"/>
      <c r="T95" s="53"/>
      <c r="U95" s="53"/>
      <c r="V95" s="53"/>
      <c r="W95" s="53"/>
      <c r="X95" s="53"/>
      <c r="Y95" s="53"/>
      <c r="Z95" s="53"/>
      <c r="AA95" s="53"/>
    </row>
    <row r="96" spans="8:27">
      <c r="H96" s="52" t="str">
        <f t="shared" si="2"/>
        <v/>
      </c>
      <c r="I96" s="53"/>
      <c r="J96" s="53"/>
      <c r="K96" s="53"/>
      <c r="L96" s="53"/>
      <c r="M96" s="53"/>
      <c r="N96" s="53"/>
      <c r="O96" s="53"/>
      <c r="P96" s="53"/>
      <c r="Q96" s="53"/>
      <c r="R96" s="52" t="str">
        <f t="shared" si="3"/>
        <v/>
      </c>
      <c r="S96" s="53"/>
      <c r="T96" s="53"/>
      <c r="U96" s="53"/>
      <c r="V96" s="53"/>
      <c r="W96" s="53"/>
      <c r="X96" s="53"/>
      <c r="Y96" s="53"/>
      <c r="Z96" s="53"/>
      <c r="AA96" s="53"/>
    </row>
    <row r="97" spans="8:27">
      <c r="H97" s="52" t="str">
        <f t="shared" si="2"/>
        <v/>
      </c>
      <c r="I97" s="53"/>
      <c r="J97" s="53"/>
      <c r="K97" s="53"/>
      <c r="L97" s="53"/>
      <c r="M97" s="53"/>
      <c r="N97" s="53"/>
      <c r="O97" s="53"/>
      <c r="P97" s="53"/>
      <c r="Q97" s="53"/>
      <c r="R97" s="52" t="str">
        <f t="shared" si="3"/>
        <v/>
      </c>
      <c r="S97" s="53"/>
      <c r="T97" s="53"/>
      <c r="U97" s="53"/>
      <c r="V97" s="53"/>
      <c r="W97" s="53"/>
      <c r="X97" s="53"/>
      <c r="Y97" s="53"/>
      <c r="Z97" s="53"/>
      <c r="AA97" s="53"/>
    </row>
    <row r="98" spans="8:27">
      <c r="H98" s="52" t="str">
        <f t="shared" si="2"/>
        <v/>
      </c>
      <c r="I98" s="53"/>
      <c r="J98" s="53"/>
      <c r="K98" s="53"/>
      <c r="L98" s="53"/>
      <c r="M98" s="53"/>
      <c r="N98" s="53"/>
      <c r="O98" s="53"/>
      <c r="P98" s="53"/>
      <c r="Q98" s="53"/>
      <c r="R98" s="52" t="str">
        <f t="shared" si="3"/>
        <v/>
      </c>
      <c r="S98" s="53"/>
      <c r="T98" s="53"/>
      <c r="U98" s="53"/>
      <c r="V98" s="53"/>
      <c r="W98" s="53"/>
      <c r="X98" s="53"/>
      <c r="Y98" s="53"/>
      <c r="Z98" s="53"/>
      <c r="AA98" s="53"/>
    </row>
    <row r="99" spans="8:27">
      <c r="H99" s="52" t="str">
        <f t="shared" si="2"/>
        <v/>
      </c>
      <c r="I99" s="53"/>
      <c r="J99" s="53"/>
      <c r="K99" s="53"/>
      <c r="L99" s="53"/>
      <c r="M99" s="53"/>
      <c r="N99" s="53"/>
      <c r="O99" s="53"/>
      <c r="P99" s="53"/>
      <c r="Q99" s="53"/>
      <c r="R99" s="52" t="str">
        <f t="shared" si="3"/>
        <v/>
      </c>
      <c r="S99" s="53"/>
      <c r="T99" s="53"/>
      <c r="U99" s="53"/>
      <c r="V99" s="53"/>
      <c r="W99" s="53"/>
      <c r="X99" s="53"/>
      <c r="Y99" s="53"/>
      <c r="Z99" s="53"/>
      <c r="AA99" s="53"/>
    </row>
    <row r="100" spans="8:27">
      <c r="H100" s="52" t="str">
        <f t="shared" si="2"/>
        <v/>
      </c>
      <c r="I100" s="53"/>
      <c r="J100" s="53"/>
      <c r="K100" s="53"/>
      <c r="L100" s="53"/>
      <c r="M100" s="53"/>
      <c r="N100" s="53"/>
      <c r="O100" s="53"/>
      <c r="P100" s="53"/>
      <c r="Q100" s="53"/>
      <c r="R100" s="52" t="str">
        <f t="shared" si="3"/>
        <v/>
      </c>
      <c r="S100" s="53"/>
      <c r="T100" s="53"/>
      <c r="U100" s="53"/>
      <c r="V100" s="53"/>
      <c r="W100" s="53"/>
      <c r="X100" s="53"/>
      <c r="Y100" s="53"/>
      <c r="Z100" s="53"/>
      <c r="AA100" s="53"/>
    </row>
  </sheetData>
  <dataValidations count="1">
    <dataValidation type="list" allowBlank="1" showInputMessage="1" showErrorMessage="1" sqref="A2 H2 R2 C2 H52 R52">
      <formula1>ListeProduitsCatégories</formula1>
    </dataValidation>
  </dataValidations>
  <printOptions horizontalCentered="1"/>
  <pageMargins left="0.39370078740157483" right="0.39370078740157483" top="0.39370078740157483" bottom="0.39370078740157483" header="0.31496062992125984" footer="0.31496062992125984"/>
  <pageSetup paperSize="9" fitToWidth="2" fitToHeight="0" pageOrder="overThenDown" orientation="portrait" horizontalDpi="360" verticalDpi="360" r:id="rId1"/>
  <headerFooter>
    <oddHeader>&amp;CListe Entrants/Vendus/Restants</oddHeader>
    <oddFooter>&amp;L&amp;D&amp;C&amp;F&amp;RPage &amp;P de &amp;N</oddFooter>
  </headerFooter>
  <rowBreaks count="2" manualBreakCount="2">
    <brk id="50" max="16383" man="1"/>
    <brk id="10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64" r:id="rId4" name="Button 16">
              <controlPr defaultSize="0" print="0" autoFill="0" autoPict="0" macro="[0]!btnExporterPDFListeProduitsRestants">
                <anchor moveWithCells="1">
                  <from>
                    <xdr:col>0</xdr:col>
                    <xdr:colOff>241300</xdr:colOff>
                    <xdr:row>3</xdr:row>
                    <xdr:rowOff>12700</xdr:rowOff>
                  </from>
                  <to>
                    <xdr:col>0</xdr:col>
                    <xdr:colOff>1670050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7" r:id="rId5" name="Button 19">
              <controlPr defaultSize="0" print="0" autoFill="0" autoPict="0" macro="[0]!btnToutExporterPDFListeProduitsRestants">
                <anchor moveWithCells="1">
                  <from>
                    <xdr:col>0</xdr:col>
                    <xdr:colOff>222250</xdr:colOff>
                    <xdr:row>6</xdr:row>
                    <xdr:rowOff>12700</xdr:rowOff>
                  </from>
                  <to>
                    <xdr:col>0</xdr:col>
                    <xdr:colOff>1657350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pageSetUpPr fitToPage="1"/>
  </sheetPr>
  <dimension ref="B1:AY216"/>
  <sheetViews>
    <sheetView topLeftCell="A126" zoomScale="70" zoomScaleNormal="70" workbookViewId="0">
      <selection activeCell="B2" sqref="B2:F5"/>
    </sheetView>
  </sheetViews>
  <sheetFormatPr baseColWidth="10" defaultRowHeight="14.5"/>
  <cols>
    <col min="1" max="1" width="1.1796875" customWidth="1"/>
    <col min="2" max="6" width="3.81640625" customWidth="1"/>
    <col min="7" max="31" width="4" customWidth="1"/>
    <col min="32" max="46" width="3.81640625" customWidth="1"/>
    <col min="47" max="47" width="2.1796875" style="18" customWidth="1"/>
    <col min="48" max="51" width="11.453125" style="18" customWidth="1"/>
  </cols>
  <sheetData>
    <row r="1" spans="2:49" ht="4.5" customHeight="1" thickBot="1"/>
    <row r="2" spans="2:49" ht="12.75" customHeight="1">
      <c r="B2" s="498" t="s">
        <v>331</v>
      </c>
      <c r="C2" s="499"/>
      <c r="D2" s="499"/>
      <c r="E2" s="499"/>
      <c r="F2" s="500"/>
      <c r="G2" s="474" t="s">
        <v>275</v>
      </c>
      <c r="H2" s="475"/>
      <c r="I2" s="475"/>
      <c r="J2" s="475"/>
      <c r="K2" s="504"/>
      <c r="L2" s="474" t="s">
        <v>380</v>
      </c>
      <c r="M2" s="475"/>
      <c r="N2" s="475"/>
      <c r="O2" s="475"/>
      <c r="P2" s="504"/>
      <c r="Q2" s="474" t="s">
        <v>276</v>
      </c>
      <c r="R2" s="475"/>
      <c r="S2" s="475"/>
      <c r="T2" s="475"/>
      <c r="U2" s="504"/>
      <c r="V2" s="474" t="s">
        <v>118</v>
      </c>
      <c r="W2" s="475"/>
      <c r="X2" s="475"/>
      <c r="Y2" s="475"/>
      <c r="Z2" s="504"/>
      <c r="AA2" s="474" t="s">
        <v>307</v>
      </c>
      <c r="AB2" s="475"/>
      <c r="AC2" s="475"/>
      <c r="AD2" s="475"/>
      <c r="AE2" s="476"/>
      <c r="AF2" s="192"/>
      <c r="AG2" s="192"/>
      <c r="AH2" s="192"/>
      <c r="AI2" s="192"/>
      <c r="AJ2" s="192"/>
      <c r="AK2" s="192"/>
      <c r="AL2" s="192"/>
      <c r="AM2" s="192"/>
      <c r="AN2" s="192"/>
      <c r="AO2" s="193"/>
      <c r="AP2" s="461"/>
      <c r="AQ2" s="462"/>
      <c r="AR2" s="462"/>
      <c r="AS2" s="462"/>
      <c r="AT2" s="463"/>
    </row>
    <row r="3" spans="2:49" ht="12.75" customHeight="1">
      <c r="B3" s="501"/>
      <c r="C3" s="502"/>
      <c r="D3" s="502"/>
      <c r="E3" s="502"/>
      <c r="F3" s="503"/>
      <c r="G3" s="464"/>
      <c r="H3" s="465"/>
      <c r="I3" s="465"/>
      <c r="J3" s="465"/>
      <c r="K3" s="466"/>
      <c r="L3" s="464"/>
      <c r="M3" s="465"/>
      <c r="N3" s="465"/>
      <c r="O3" s="465"/>
      <c r="P3" s="466"/>
      <c r="Q3" s="464"/>
      <c r="R3" s="465"/>
      <c r="S3" s="465"/>
      <c r="T3" s="465"/>
      <c r="U3" s="466"/>
      <c r="V3" s="464"/>
      <c r="W3" s="465"/>
      <c r="X3" s="465"/>
      <c r="Y3" s="465"/>
      <c r="Z3" s="466"/>
      <c r="AA3" s="464"/>
      <c r="AB3" s="465"/>
      <c r="AC3" s="465"/>
      <c r="AD3" s="465"/>
      <c r="AE3" s="477"/>
      <c r="AF3" s="194"/>
      <c r="AG3" s="473" t="s">
        <v>331</v>
      </c>
      <c r="AH3" s="473"/>
      <c r="AI3" s="473"/>
      <c r="AJ3" s="473"/>
      <c r="AK3" s="473"/>
      <c r="AL3" s="473"/>
      <c r="AM3" s="473"/>
      <c r="AN3" s="473"/>
      <c r="AO3" s="195"/>
      <c r="AP3" s="464"/>
      <c r="AQ3" s="465"/>
      <c r="AR3" s="465"/>
      <c r="AS3" s="465"/>
      <c r="AT3" s="466"/>
    </row>
    <row r="4" spans="2:49" ht="12.75" customHeight="1">
      <c r="B4" s="501"/>
      <c r="C4" s="502"/>
      <c r="D4" s="502"/>
      <c r="E4" s="502"/>
      <c r="F4" s="503"/>
      <c r="G4" s="464"/>
      <c r="H4" s="465"/>
      <c r="I4" s="465"/>
      <c r="J4" s="465"/>
      <c r="K4" s="466"/>
      <c r="L4" s="464"/>
      <c r="M4" s="465"/>
      <c r="N4" s="465"/>
      <c r="O4" s="465"/>
      <c r="P4" s="466"/>
      <c r="Q4" s="464"/>
      <c r="R4" s="465"/>
      <c r="S4" s="465"/>
      <c r="T4" s="465"/>
      <c r="U4" s="466"/>
      <c r="V4" s="464"/>
      <c r="W4" s="465"/>
      <c r="X4" s="465"/>
      <c r="Y4" s="465"/>
      <c r="Z4" s="466"/>
      <c r="AA4" s="464"/>
      <c r="AB4" s="465"/>
      <c r="AC4" s="465"/>
      <c r="AD4" s="465"/>
      <c r="AE4" s="477"/>
      <c r="AF4" s="194"/>
      <c r="AG4" s="473"/>
      <c r="AH4" s="473"/>
      <c r="AI4" s="473"/>
      <c r="AJ4" s="473"/>
      <c r="AK4" s="473"/>
      <c r="AL4" s="473"/>
      <c r="AM4" s="473"/>
      <c r="AN4" s="473"/>
      <c r="AO4" s="195"/>
      <c r="AP4" s="464"/>
      <c r="AQ4" s="465"/>
      <c r="AR4" s="465"/>
      <c r="AS4" s="465"/>
      <c r="AT4" s="466"/>
    </row>
    <row r="5" spans="2:49" ht="12.75" customHeight="1">
      <c r="B5" s="501"/>
      <c r="C5" s="502"/>
      <c r="D5" s="502"/>
      <c r="E5" s="502"/>
      <c r="F5" s="503"/>
      <c r="G5" s="464"/>
      <c r="H5" s="465"/>
      <c r="I5" s="465"/>
      <c r="J5" s="465"/>
      <c r="K5" s="466"/>
      <c r="L5" s="464"/>
      <c r="M5" s="465"/>
      <c r="N5" s="465"/>
      <c r="O5" s="465"/>
      <c r="P5" s="466"/>
      <c r="Q5" s="464"/>
      <c r="R5" s="465"/>
      <c r="S5" s="465"/>
      <c r="T5" s="465"/>
      <c r="U5" s="466"/>
      <c r="V5" s="464"/>
      <c r="W5" s="465"/>
      <c r="X5" s="465"/>
      <c r="Y5" s="465"/>
      <c r="Z5" s="466"/>
      <c r="AA5" s="464"/>
      <c r="AB5" s="465"/>
      <c r="AC5" s="465"/>
      <c r="AD5" s="465"/>
      <c r="AE5" s="477"/>
      <c r="AF5" s="194"/>
      <c r="AG5" s="194"/>
      <c r="AH5" s="194"/>
      <c r="AI5" s="194"/>
      <c r="AJ5" s="194"/>
      <c r="AK5" s="194"/>
      <c r="AL5" s="194"/>
      <c r="AM5" s="194"/>
      <c r="AN5" s="194"/>
      <c r="AO5" s="195"/>
      <c r="AP5" s="464"/>
      <c r="AQ5" s="465"/>
      <c r="AR5" s="465"/>
      <c r="AS5" s="465"/>
      <c r="AT5" s="466"/>
    </row>
    <row r="6" spans="2:49" ht="12.75" customHeight="1" thickBot="1">
      <c r="B6" s="196"/>
      <c r="C6" s="197"/>
      <c r="D6" s="197"/>
      <c r="E6" s="197"/>
      <c r="F6" s="197"/>
      <c r="G6" s="198"/>
      <c r="H6" s="197"/>
      <c r="I6" s="197"/>
      <c r="J6" s="197"/>
      <c r="K6" s="197"/>
      <c r="L6" s="198"/>
      <c r="M6" s="197"/>
      <c r="N6" s="197"/>
      <c r="O6" s="197"/>
      <c r="P6" s="197"/>
      <c r="Q6" s="198"/>
      <c r="R6" s="197"/>
      <c r="S6" s="197"/>
      <c r="T6" s="197"/>
      <c r="U6" s="197"/>
      <c r="V6" s="198"/>
      <c r="W6" s="197"/>
      <c r="X6" s="197"/>
      <c r="Y6" s="197"/>
      <c r="Z6" s="197"/>
      <c r="AA6" s="198"/>
      <c r="AB6" s="197"/>
      <c r="AC6" s="197"/>
      <c r="AD6" s="197"/>
      <c r="AE6" s="199"/>
      <c r="AF6" s="200"/>
      <c r="AG6" s="200"/>
      <c r="AH6" s="200"/>
      <c r="AI6" s="200"/>
      <c r="AJ6" s="200"/>
      <c r="AK6" s="200"/>
      <c r="AL6" s="200"/>
      <c r="AM6" s="200"/>
      <c r="AN6" s="200"/>
      <c r="AO6" s="201"/>
      <c r="AP6" s="202"/>
      <c r="AQ6" s="200"/>
      <c r="AR6" s="200"/>
      <c r="AS6" s="200"/>
      <c r="AT6" s="201"/>
    </row>
    <row r="7" spans="2:49" ht="12.75" customHeight="1">
      <c r="B7" s="478" t="s">
        <v>17</v>
      </c>
      <c r="C7" s="479"/>
      <c r="D7" s="479"/>
      <c r="E7" s="479"/>
      <c r="F7" s="480"/>
      <c r="G7" s="481" t="s">
        <v>310</v>
      </c>
      <c r="H7" s="479"/>
      <c r="I7" s="479"/>
      <c r="J7" s="479"/>
      <c r="K7" s="480"/>
      <c r="L7" s="481" t="s">
        <v>314</v>
      </c>
      <c r="M7" s="479"/>
      <c r="N7" s="479"/>
      <c r="O7" s="479"/>
      <c r="P7" s="480"/>
      <c r="Q7" s="481" t="s">
        <v>901</v>
      </c>
      <c r="R7" s="479"/>
      <c r="S7" s="479"/>
      <c r="T7" s="479"/>
      <c r="U7" s="480"/>
      <c r="V7" s="482" t="s">
        <v>840</v>
      </c>
      <c r="W7" s="483"/>
      <c r="X7" s="483"/>
      <c r="Y7" s="483"/>
      <c r="Z7" s="484"/>
      <c r="AA7" s="470"/>
      <c r="AB7" s="471"/>
      <c r="AC7" s="471"/>
      <c r="AD7" s="471"/>
      <c r="AE7" s="485"/>
      <c r="AF7" s="468"/>
      <c r="AG7" s="468"/>
      <c r="AH7" s="468"/>
      <c r="AI7" s="468"/>
      <c r="AJ7" s="469"/>
      <c r="AK7" s="467"/>
      <c r="AL7" s="468"/>
      <c r="AM7" s="468"/>
      <c r="AN7" s="468"/>
      <c r="AO7" s="469"/>
      <c r="AP7" s="470"/>
      <c r="AQ7" s="471"/>
      <c r="AR7" s="471"/>
      <c r="AS7" s="471"/>
      <c r="AT7" s="472"/>
    </row>
    <row r="8" spans="2:49" ht="12.75" customHeight="1">
      <c r="B8" s="478"/>
      <c r="C8" s="479"/>
      <c r="D8" s="479"/>
      <c r="E8" s="479"/>
      <c r="F8" s="480"/>
      <c r="G8" s="481"/>
      <c r="H8" s="479"/>
      <c r="I8" s="479"/>
      <c r="J8" s="479"/>
      <c r="K8" s="480"/>
      <c r="L8" s="481"/>
      <c r="M8" s="479"/>
      <c r="N8" s="479"/>
      <c r="O8" s="479"/>
      <c r="P8" s="480"/>
      <c r="Q8" s="481"/>
      <c r="R8" s="479"/>
      <c r="S8" s="479"/>
      <c r="T8" s="479"/>
      <c r="U8" s="480"/>
      <c r="V8" s="482"/>
      <c r="W8" s="483"/>
      <c r="X8" s="483"/>
      <c r="Y8" s="483"/>
      <c r="Z8" s="484"/>
      <c r="AA8" s="470"/>
      <c r="AB8" s="471"/>
      <c r="AC8" s="471"/>
      <c r="AD8" s="471"/>
      <c r="AE8" s="485"/>
      <c r="AF8" s="471"/>
      <c r="AG8" s="471"/>
      <c r="AH8" s="471"/>
      <c r="AI8" s="471"/>
      <c r="AJ8" s="472"/>
      <c r="AK8" s="470"/>
      <c r="AL8" s="471"/>
      <c r="AM8" s="471"/>
      <c r="AN8" s="471"/>
      <c r="AO8" s="472"/>
      <c r="AP8" s="470"/>
      <c r="AQ8" s="471"/>
      <c r="AR8" s="471"/>
      <c r="AS8" s="471"/>
      <c r="AT8" s="472"/>
    </row>
    <row r="9" spans="2:49" ht="12.75" customHeight="1">
      <c r="B9" s="478"/>
      <c r="C9" s="479"/>
      <c r="D9" s="479"/>
      <c r="E9" s="479"/>
      <c r="F9" s="480"/>
      <c r="G9" s="481"/>
      <c r="H9" s="479"/>
      <c r="I9" s="479"/>
      <c r="J9" s="479"/>
      <c r="K9" s="480"/>
      <c r="L9" s="481"/>
      <c r="M9" s="479"/>
      <c r="N9" s="479"/>
      <c r="O9" s="479"/>
      <c r="P9" s="480"/>
      <c r="Q9" s="481"/>
      <c r="R9" s="479"/>
      <c r="S9" s="479"/>
      <c r="T9" s="479"/>
      <c r="U9" s="480"/>
      <c r="V9" s="482"/>
      <c r="W9" s="483"/>
      <c r="X9" s="483"/>
      <c r="Y9" s="483"/>
      <c r="Z9" s="484"/>
      <c r="AA9" s="470"/>
      <c r="AB9" s="471"/>
      <c r="AC9" s="471"/>
      <c r="AD9" s="471"/>
      <c r="AE9" s="485"/>
      <c r="AF9" s="471"/>
      <c r="AG9" s="471"/>
      <c r="AH9" s="471"/>
      <c r="AI9" s="471"/>
      <c r="AJ9" s="472"/>
      <c r="AK9" s="470"/>
      <c r="AL9" s="471"/>
      <c r="AM9" s="471"/>
      <c r="AN9" s="471"/>
      <c r="AO9" s="472"/>
      <c r="AP9" s="470"/>
      <c r="AQ9" s="471"/>
      <c r="AR9" s="471"/>
      <c r="AS9" s="471"/>
      <c r="AT9" s="472"/>
    </row>
    <row r="10" spans="2:49" ht="12.75" customHeight="1">
      <c r="B10" s="478"/>
      <c r="C10" s="479"/>
      <c r="D10" s="479"/>
      <c r="E10" s="479"/>
      <c r="F10" s="480"/>
      <c r="G10" s="481"/>
      <c r="H10" s="479"/>
      <c r="I10" s="479"/>
      <c r="J10" s="479"/>
      <c r="K10" s="480"/>
      <c r="L10" s="481"/>
      <c r="M10" s="479"/>
      <c r="N10" s="479"/>
      <c r="O10" s="479"/>
      <c r="P10" s="480"/>
      <c r="Q10" s="481"/>
      <c r="R10" s="479"/>
      <c r="S10" s="479"/>
      <c r="T10" s="479"/>
      <c r="U10" s="480"/>
      <c r="V10" s="482"/>
      <c r="W10" s="483"/>
      <c r="X10" s="483"/>
      <c r="Y10" s="483"/>
      <c r="Z10" s="484"/>
      <c r="AA10" s="470"/>
      <c r="AB10" s="471"/>
      <c r="AC10" s="471"/>
      <c r="AD10" s="471"/>
      <c r="AE10" s="485"/>
      <c r="AF10" s="471"/>
      <c r="AG10" s="471"/>
      <c r="AH10" s="471"/>
      <c r="AI10" s="471"/>
      <c r="AJ10" s="472"/>
      <c r="AK10" s="470"/>
      <c r="AL10" s="471"/>
      <c r="AM10" s="471"/>
      <c r="AN10" s="471"/>
      <c r="AO10" s="472"/>
      <c r="AP10" s="470"/>
      <c r="AQ10" s="471"/>
      <c r="AR10" s="471"/>
      <c r="AS10" s="471"/>
      <c r="AT10" s="472"/>
      <c r="AW10" s="118"/>
    </row>
    <row r="11" spans="2:49" ht="12.75" customHeight="1">
      <c r="B11" s="96"/>
      <c r="C11" s="72"/>
      <c r="D11" s="72"/>
      <c r="E11" s="492" t="s">
        <v>433</v>
      </c>
      <c r="F11" s="493"/>
      <c r="G11" s="71"/>
      <c r="H11" s="72"/>
      <c r="I11" s="72"/>
      <c r="J11" s="492" t="s">
        <v>436</v>
      </c>
      <c r="K11" s="493"/>
      <c r="L11" s="71"/>
      <c r="M11" s="72"/>
      <c r="N11" s="72"/>
      <c r="O11" s="492" t="s">
        <v>43</v>
      </c>
      <c r="P11" s="493"/>
      <c r="Q11" s="71"/>
      <c r="R11" s="72"/>
      <c r="S11" s="72"/>
      <c r="T11" s="492" t="s">
        <v>45</v>
      </c>
      <c r="U11" s="493"/>
      <c r="V11" s="318"/>
      <c r="W11" s="319"/>
      <c r="X11" s="319"/>
      <c r="Y11" s="511" t="s">
        <v>911</v>
      </c>
      <c r="Z11" s="512"/>
      <c r="AA11" s="69"/>
      <c r="AB11" s="70"/>
      <c r="AC11" s="70"/>
      <c r="AD11" s="489"/>
      <c r="AE11" s="495"/>
      <c r="AF11" s="70"/>
      <c r="AG11" s="70"/>
      <c r="AH11" s="70"/>
      <c r="AI11" s="489"/>
      <c r="AJ11" s="490"/>
      <c r="AK11" s="69"/>
      <c r="AL11" s="70"/>
      <c r="AM11" s="70"/>
      <c r="AN11" s="489"/>
      <c r="AO11" s="490"/>
      <c r="AP11" s="69"/>
      <c r="AQ11" s="70"/>
      <c r="AR11" s="70"/>
      <c r="AS11" s="489"/>
      <c r="AT11" s="490"/>
    </row>
    <row r="12" spans="2:49" ht="12.75" customHeight="1">
      <c r="B12" s="494" t="s">
        <v>23</v>
      </c>
      <c r="C12" s="487"/>
      <c r="D12" s="487"/>
      <c r="E12" s="487"/>
      <c r="F12" s="488"/>
      <c r="G12" s="486" t="s">
        <v>88</v>
      </c>
      <c r="H12" s="487"/>
      <c r="I12" s="487"/>
      <c r="J12" s="487"/>
      <c r="K12" s="488"/>
      <c r="L12" s="486" t="s">
        <v>315</v>
      </c>
      <c r="M12" s="487"/>
      <c r="N12" s="487"/>
      <c r="O12" s="487"/>
      <c r="P12" s="488"/>
      <c r="Q12" s="486" t="s">
        <v>320</v>
      </c>
      <c r="R12" s="487"/>
      <c r="S12" s="487"/>
      <c r="T12" s="487"/>
      <c r="U12" s="488"/>
      <c r="V12" s="467"/>
      <c r="W12" s="468"/>
      <c r="X12" s="468"/>
      <c r="Y12" s="468"/>
      <c r="Z12" s="469"/>
      <c r="AA12" s="467"/>
      <c r="AB12" s="468"/>
      <c r="AC12" s="468"/>
      <c r="AD12" s="468"/>
      <c r="AE12" s="491"/>
      <c r="AF12" s="468"/>
      <c r="AG12" s="468"/>
      <c r="AH12" s="468"/>
      <c r="AI12" s="468"/>
      <c r="AJ12" s="469"/>
      <c r="AK12" s="467"/>
      <c r="AL12" s="468"/>
      <c r="AM12" s="468"/>
      <c r="AN12" s="468"/>
      <c r="AO12" s="469"/>
      <c r="AP12" s="467"/>
      <c r="AQ12" s="468"/>
      <c r="AR12" s="468"/>
      <c r="AS12" s="468"/>
      <c r="AT12" s="469"/>
    </row>
    <row r="13" spans="2:49" ht="12.75" customHeight="1">
      <c r="B13" s="478"/>
      <c r="C13" s="479"/>
      <c r="D13" s="479"/>
      <c r="E13" s="479"/>
      <c r="F13" s="480"/>
      <c r="G13" s="481"/>
      <c r="H13" s="479"/>
      <c r="I13" s="479"/>
      <c r="J13" s="479"/>
      <c r="K13" s="480"/>
      <c r="L13" s="481"/>
      <c r="M13" s="479"/>
      <c r="N13" s="479"/>
      <c r="O13" s="479"/>
      <c r="P13" s="480"/>
      <c r="Q13" s="481"/>
      <c r="R13" s="479"/>
      <c r="S13" s="479"/>
      <c r="T13" s="479"/>
      <c r="U13" s="480"/>
      <c r="V13" s="470"/>
      <c r="W13" s="471"/>
      <c r="X13" s="471"/>
      <c r="Y13" s="471"/>
      <c r="Z13" s="472"/>
      <c r="AA13" s="470"/>
      <c r="AB13" s="471"/>
      <c r="AC13" s="471"/>
      <c r="AD13" s="471"/>
      <c r="AE13" s="485"/>
      <c r="AF13" s="471"/>
      <c r="AG13" s="471"/>
      <c r="AH13" s="471"/>
      <c r="AI13" s="471"/>
      <c r="AJ13" s="472"/>
      <c r="AK13" s="470"/>
      <c r="AL13" s="471"/>
      <c r="AM13" s="471"/>
      <c r="AN13" s="471"/>
      <c r="AO13" s="472"/>
      <c r="AP13" s="470"/>
      <c r="AQ13" s="471"/>
      <c r="AR13" s="471"/>
      <c r="AS13" s="471"/>
      <c r="AT13" s="472"/>
    </row>
    <row r="14" spans="2:49" ht="12.75" customHeight="1">
      <c r="B14" s="478"/>
      <c r="C14" s="479"/>
      <c r="D14" s="479"/>
      <c r="E14" s="479"/>
      <c r="F14" s="480"/>
      <c r="G14" s="481"/>
      <c r="H14" s="479"/>
      <c r="I14" s="479"/>
      <c r="J14" s="479"/>
      <c r="K14" s="480"/>
      <c r="L14" s="481"/>
      <c r="M14" s="479"/>
      <c r="N14" s="479"/>
      <c r="O14" s="479"/>
      <c r="P14" s="480"/>
      <c r="Q14" s="481"/>
      <c r="R14" s="479"/>
      <c r="S14" s="479"/>
      <c r="T14" s="479"/>
      <c r="U14" s="480"/>
      <c r="V14" s="470"/>
      <c r="W14" s="471"/>
      <c r="X14" s="471"/>
      <c r="Y14" s="471"/>
      <c r="Z14" s="472"/>
      <c r="AA14" s="470"/>
      <c r="AB14" s="471"/>
      <c r="AC14" s="471"/>
      <c r="AD14" s="471"/>
      <c r="AE14" s="485"/>
      <c r="AF14" s="471"/>
      <c r="AG14" s="471"/>
      <c r="AH14" s="471"/>
      <c r="AI14" s="471"/>
      <c r="AJ14" s="472"/>
      <c r="AK14" s="470"/>
      <c r="AL14" s="471"/>
      <c r="AM14" s="471"/>
      <c r="AN14" s="471"/>
      <c r="AO14" s="472"/>
      <c r="AP14" s="470"/>
      <c r="AQ14" s="471"/>
      <c r="AR14" s="471"/>
      <c r="AS14" s="471"/>
      <c r="AT14" s="472"/>
    </row>
    <row r="15" spans="2:49" ht="12.75" customHeight="1">
      <c r="B15" s="478"/>
      <c r="C15" s="479"/>
      <c r="D15" s="479"/>
      <c r="E15" s="479"/>
      <c r="F15" s="480"/>
      <c r="G15" s="481"/>
      <c r="H15" s="479"/>
      <c r="I15" s="479"/>
      <c r="J15" s="479"/>
      <c r="K15" s="480"/>
      <c r="L15" s="481"/>
      <c r="M15" s="479"/>
      <c r="N15" s="479"/>
      <c r="O15" s="479"/>
      <c r="P15" s="480"/>
      <c r="Q15" s="481"/>
      <c r="R15" s="479"/>
      <c r="S15" s="479"/>
      <c r="T15" s="479"/>
      <c r="U15" s="480"/>
      <c r="V15" s="470"/>
      <c r="W15" s="471"/>
      <c r="X15" s="471"/>
      <c r="Y15" s="471"/>
      <c r="Z15" s="472"/>
      <c r="AA15" s="470"/>
      <c r="AB15" s="471"/>
      <c r="AC15" s="471"/>
      <c r="AD15" s="471"/>
      <c r="AE15" s="485"/>
      <c r="AF15" s="471"/>
      <c r="AG15" s="471"/>
      <c r="AH15" s="471"/>
      <c r="AI15" s="471"/>
      <c r="AJ15" s="472"/>
      <c r="AK15" s="470"/>
      <c r="AL15" s="471"/>
      <c r="AM15" s="471"/>
      <c r="AN15" s="471"/>
      <c r="AO15" s="472"/>
      <c r="AP15" s="470"/>
      <c r="AQ15" s="471"/>
      <c r="AR15" s="471"/>
      <c r="AS15" s="471"/>
      <c r="AT15" s="472"/>
    </row>
    <row r="16" spans="2:49" ht="12.75" customHeight="1">
      <c r="B16" s="96"/>
      <c r="C16" s="72"/>
      <c r="D16" s="72"/>
      <c r="E16" s="492" t="s">
        <v>434</v>
      </c>
      <c r="F16" s="493"/>
      <c r="G16" s="71"/>
      <c r="H16" s="72"/>
      <c r="I16" s="72"/>
      <c r="J16" s="492" t="s">
        <v>44</v>
      </c>
      <c r="K16" s="493"/>
      <c r="L16" s="71"/>
      <c r="M16" s="72"/>
      <c r="N16" s="72"/>
      <c r="O16" s="492" t="s">
        <v>439</v>
      </c>
      <c r="P16" s="493"/>
      <c r="Q16" s="71"/>
      <c r="R16" s="72"/>
      <c r="S16" s="72"/>
      <c r="T16" s="492" t="s">
        <v>45</v>
      </c>
      <c r="U16" s="493"/>
      <c r="V16" s="69"/>
      <c r="W16" s="70"/>
      <c r="X16" s="70"/>
      <c r="Y16" s="489"/>
      <c r="Z16" s="490"/>
      <c r="AA16" s="69"/>
      <c r="AB16" s="70"/>
      <c r="AC16" s="70"/>
      <c r="AD16" s="489"/>
      <c r="AE16" s="495"/>
      <c r="AF16" s="70"/>
      <c r="AG16" s="70"/>
      <c r="AH16" s="70"/>
      <c r="AI16" s="489"/>
      <c r="AJ16" s="490"/>
      <c r="AK16" s="69"/>
      <c r="AL16" s="70"/>
      <c r="AM16" s="70"/>
      <c r="AN16" s="489"/>
      <c r="AO16" s="490"/>
      <c r="AP16" s="69"/>
      <c r="AQ16" s="70"/>
      <c r="AR16" s="70"/>
      <c r="AS16" s="489"/>
      <c r="AT16" s="490"/>
    </row>
    <row r="17" spans="2:46" ht="12.75" customHeight="1">
      <c r="B17" s="494" t="s">
        <v>90</v>
      </c>
      <c r="C17" s="487"/>
      <c r="D17" s="487"/>
      <c r="E17" s="487"/>
      <c r="F17" s="488"/>
      <c r="G17" s="486" t="s">
        <v>25</v>
      </c>
      <c r="H17" s="487"/>
      <c r="I17" s="487"/>
      <c r="J17" s="487"/>
      <c r="K17" s="488"/>
      <c r="L17" s="486" t="s">
        <v>316</v>
      </c>
      <c r="M17" s="487"/>
      <c r="N17" s="487"/>
      <c r="O17" s="487"/>
      <c r="P17" s="488"/>
      <c r="Q17" s="486" t="s">
        <v>902</v>
      </c>
      <c r="R17" s="487"/>
      <c r="S17" s="487"/>
      <c r="T17" s="487"/>
      <c r="U17" s="488"/>
      <c r="V17" s="467"/>
      <c r="W17" s="468"/>
      <c r="X17" s="468"/>
      <c r="Y17" s="468"/>
      <c r="Z17" s="469"/>
      <c r="AA17" s="467"/>
      <c r="AB17" s="468"/>
      <c r="AC17" s="468"/>
      <c r="AD17" s="468"/>
      <c r="AE17" s="491"/>
      <c r="AF17" s="468"/>
      <c r="AG17" s="468"/>
      <c r="AH17" s="468"/>
      <c r="AI17" s="468"/>
      <c r="AJ17" s="469"/>
      <c r="AK17" s="467"/>
      <c r="AL17" s="468"/>
      <c r="AM17" s="468"/>
      <c r="AN17" s="468"/>
      <c r="AO17" s="469"/>
      <c r="AP17" s="467"/>
      <c r="AQ17" s="468"/>
      <c r="AR17" s="468"/>
      <c r="AS17" s="468"/>
      <c r="AT17" s="469"/>
    </row>
    <row r="18" spans="2:46" ht="12.75" customHeight="1">
      <c r="B18" s="478"/>
      <c r="C18" s="479"/>
      <c r="D18" s="479"/>
      <c r="E18" s="479"/>
      <c r="F18" s="480"/>
      <c r="G18" s="481"/>
      <c r="H18" s="479"/>
      <c r="I18" s="479"/>
      <c r="J18" s="479"/>
      <c r="K18" s="480"/>
      <c r="L18" s="481"/>
      <c r="M18" s="479"/>
      <c r="N18" s="479"/>
      <c r="O18" s="479"/>
      <c r="P18" s="480"/>
      <c r="Q18" s="481"/>
      <c r="R18" s="479"/>
      <c r="S18" s="479"/>
      <c r="T18" s="479"/>
      <c r="U18" s="480"/>
      <c r="V18" s="470"/>
      <c r="W18" s="471"/>
      <c r="X18" s="471"/>
      <c r="Y18" s="471"/>
      <c r="Z18" s="472"/>
      <c r="AA18" s="470"/>
      <c r="AB18" s="471"/>
      <c r="AC18" s="471"/>
      <c r="AD18" s="471"/>
      <c r="AE18" s="485"/>
      <c r="AF18" s="471"/>
      <c r="AG18" s="471"/>
      <c r="AH18" s="471"/>
      <c r="AI18" s="471"/>
      <c r="AJ18" s="472"/>
      <c r="AK18" s="470"/>
      <c r="AL18" s="471"/>
      <c r="AM18" s="471"/>
      <c r="AN18" s="471"/>
      <c r="AO18" s="472"/>
      <c r="AP18" s="470"/>
      <c r="AQ18" s="471"/>
      <c r="AR18" s="471"/>
      <c r="AS18" s="471"/>
      <c r="AT18" s="472"/>
    </row>
    <row r="19" spans="2:46" ht="12.75" customHeight="1">
      <c r="B19" s="478"/>
      <c r="C19" s="479"/>
      <c r="D19" s="479"/>
      <c r="E19" s="479"/>
      <c r="F19" s="480"/>
      <c r="G19" s="481"/>
      <c r="H19" s="479"/>
      <c r="I19" s="479"/>
      <c r="J19" s="479"/>
      <c r="K19" s="480"/>
      <c r="L19" s="481"/>
      <c r="M19" s="479"/>
      <c r="N19" s="479"/>
      <c r="O19" s="479"/>
      <c r="P19" s="480"/>
      <c r="Q19" s="481"/>
      <c r="R19" s="479"/>
      <c r="S19" s="479"/>
      <c r="T19" s="479"/>
      <c r="U19" s="480"/>
      <c r="V19" s="470"/>
      <c r="W19" s="471"/>
      <c r="X19" s="471"/>
      <c r="Y19" s="471"/>
      <c r="Z19" s="472"/>
      <c r="AA19" s="470"/>
      <c r="AB19" s="471"/>
      <c r="AC19" s="471"/>
      <c r="AD19" s="471"/>
      <c r="AE19" s="485"/>
      <c r="AF19" s="471"/>
      <c r="AG19" s="471"/>
      <c r="AH19" s="471"/>
      <c r="AI19" s="471"/>
      <c r="AJ19" s="472"/>
      <c r="AK19" s="470"/>
      <c r="AL19" s="471"/>
      <c r="AM19" s="471"/>
      <c r="AN19" s="471"/>
      <c r="AO19" s="472"/>
      <c r="AP19" s="470"/>
      <c r="AQ19" s="471"/>
      <c r="AR19" s="471"/>
      <c r="AS19" s="471"/>
      <c r="AT19" s="472"/>
    </row>
    <row r="20" spans="2:46" ht="12.75" customHeight="1">
      <c r="B20" s="478"/>
      <c r="C20" s="479"/>
      <c r="D20" s="479"/>
      <c r="E20" s="479"/>
      <c r="F20" s="480"/>
      <c r="G20" s="481"/>
      <c r="H20" s="479"/>
      <c r="I20" s="479"/>
      <c r="J20" s="479"/>
      <c r="K20" s="480"/>
      <c r="L20" s="481"/>
      <c r="M20" s="479"/>
      <c r="N20" s="479"/>
      <c r="O20" s="479"/>
      <c r="P20" s="480"/>
      <c r="Q20" s="481"/>
      <c r="R20" s="479"/>
      <c r="S20" s="479"/>
      <c r="T20" s="479"/>
      <c r="U20" s="480"/>
      <c r="V20" s="470"/>
      <c r="W20" s="471"/>
      <c r="X20" s="471"/>
      <c r="Y20" s="471"/>
      <c r="Z20" s="472"/>
      <c r="AA20" s="470"/>
      <c r="AB20" s="471"/>
      <c r="AC20" s="471"/>
      <c r="AD20" s="471"/>
      <c r="AE20" s="485"/>
      <c r="AF20" s="471"/>
      <c r="AG20" s="471"/>
      <c r="AH20" s="471"/>
      <c r="AI20" s="471"/>
      <c r="AJ20" s="472"/>
      <c r="AK20" s="470"/>
      <c r="AL20" s="471"/>
      <c r="AM20" s="471"/>
      <c r="AN20" s="471"/>
      <c r="AO20" s="472"/>
      <c r="AP20" s="470"/>
      <c r="AQ20" s="471"/>
      <c r="AR20" s="471"/>
      <c r="AS20" s="471"/>
      <c r="AT20" s="472"/>
    </row>
    <row r="21" spans="2:46" ht="12.75" customHeight="1">
      <c r="B21" s="96"/>
      <c r="C21" s="72"/>
      <c r="D21" s="72"/>
      <c r="E21" s="492" t="s">
        <v>436</v>
      </c>
      <c r="F21" s="493"/>
      <c r="G21" s="71"/>
      <c r="H21" s="72"/>
      <c r="I21" s="72"/>
      <c r="J21" s="492" t="s">
        <v>143</v>
      </c>
      <c r="K21" s="493"/>
      <c r="L21" s="71"/>
      <c r="M21" s="72"/>
      <c r="N21" s="72"/>
      <c r="O21" s="492" t="s">
        <v>440</v>
      </c>
      <c r="P21" s="493"/>
      <c r="Q21" s="71"/>
      <c r="R21" s="72"/>
      <c r="S21" s="72"/>
      <c r="T21" s="492" t="s">
        <v>461</v>
      </c>
      <c r="U21" s="493"/>
      <c r="V21" s="69"/>
      <c r="W21" s="70"/>
      <c r="X21" s="70"/>
      <c r="Y21" s="489"/>
      <c r="Z21" s="490"/>
      <c r="AA21" s="69"/>
      <c r="AB21" s="70"/>
      <c r="AC21" s="70"/>
      <c r="AD21" s="489"/>
      <c r="AE21" s="495"/>
      <c r="AF21" s="70"/>
      <c r="AG21" s="70"/>
      <c r="AH21" s="70"/>
      <c r="AI21" s="489"/>
      <c r="AJ21" s="490"/>
      <c r="AK21" s="69"/>
      <c r="AL21" s="70"/>
      <c r="AM21" s="70"/>
      <c r="AN21" s="489"/>
      <c r="AO21" s="490"/>
      <c r="AP21" s="69"/>
      <c r="AQ21" s="70"/>
      <c r="AR21" s="70"/>
      <c r="AS21" s="489"/>
      <c r="AT21" s="490"/>
    </row>
    <row r="22" spans="2:46" ht="12.75" customHeight="1">
      <c r="B22" s="494" t="s">
        <v>24</v>
      </c>
      <c r="C22" s="487"/>
      <c r="D22" s="487"/>
      <c r="E22" s="487"/>
      <c r="F22" s="488"/>
      <c r="G22" s="486" t="s">
        <v>21</v>
      </c>
      <c r="H22" s="487"/>
      <c r="I22" s="487"/>
      <c r="J22" s="487"/>
      <c r="K22" s="488"/>
      <c r="L22" s="486" t="s">
        <v>317</v>
      </c>
      <c r="M22" s="487"/>
      <c r="N22" s="487"/>
      <c r="O22" s="487"/>
      <c r="P22" s="488"/>
      <c r="Q22" s="505" t="s">
        <v>910</v>
      </c>
      <c r="R22" s="506"/>
      <c r="S22" s="506"/>
      <c r="T22" s="506"/>
      <c r="U22" s="507"/>
      <c r="V22" s="467"/>
      <c r="W22" s="468"/>
      <c r="X22" s="468"/>
      <c r="Y22" s="468"/>
      <c r="Z22" s="469"/>
      <c r="AA22" s="467"/>
      <c r="AB22" s="468"/>
      <c r="AC22" s="468"/>
      <c r="AD22" s="468"/>
      <c r="AE22" s="491"/>
      <c r="AF22" s="468"/>
      <c r="AG22" s="468"/>
      <c r="AH22" s="468"/>
      <c r="AI22" s="468"/>
      <c r="AJ22" s="469"/>
      <c r="AK22" s="467"/>
      <c r="AL22" s="468"/>
      <c r="AM22" s="468"/>
      <c r="AN22" s="468"/>
      <c r="AO22" s="469"/>
      <c r="AP22" s="467"/>
      <c r="AQ22" s="468"/>
      <c r="AR22" s="468"/>
      <c r="AS22" s="468"/>
      <c r="AT22" s="469"/>
    </row>
    <row r="23" spans="2:46" ht="12.75" customHeight="1">
      <c r="B23" s="478"/>
      <c r="C23" s="479"/>
      <c r="D23" s="479"/>
      <c r="E23" s="479"/>
      <c r="F23" s="480"/>
      <c r="G23" s="481"/>
      <c r="H23" s="479"/>
      <c r="I23" s="479"/>
      <c r="J23" s="479"/>
      <c r="K23" s="480"/>
      <c r="L23" s="481"/>
      <c r="M23" s="479"/>
      <c r="N23" s="479"/>
      <c r="O23" s="479"/>
      <c r="P23" s="480"/>
      <c r="Q23" s="508"/>
      <c r="R23" s="509"/>
      <c r="S23" s="509"/>
      <c r="T23" s="509"/>
      <c r="U23" s="510"/>
      <c r="V23" s="470"/>
      <c r="W23" s="471"/>
      <c r="X23" s="471"/>
      <c r="Y23" s="471"/>
      <c r="Z23" s="472"/>
      <c r="AA23" s="470"/>
      <c r="AB23" s="471"/>
      <c r="AC23" s="471"/>
      <c r="AD23" s="471"/>
      <c r="AE23" s="485"/>
      <c r="AF23" s="471"/>
      <c r="AG23" s="471"/>
      <c r="AH23" s="471"/>
      <c r="AI23" s="471"/>
      <c r="AJ23" s="472"/>
      <c r="AK23" s="470"/>
      <c r="AL23" s="471"/>
      <c r="AM23" s="471"/>
      <c r="AN23" s="471"/>
      <c r="AO23" s="472"/>
      <c r="AP23" s="470"/>
      <c r="AQ23" s="471"/>
      <c r="AR23" s="471"/>
      <c r="AS23" s="471"/>
      <c r="AT23" s="472"/>
    </row>
    <row r="24" spans="2:46" ht="12.75" customHeight="1">
      <c r="B24" s="478"/>
      <c r="C24" s="479"/>
      <c r="D24" s="479"/>
      <c r="E24" s="479"/>
      <c r="F24" s="480"/>
      <c r="G24" s="481"/>
      <c r="H24" s="479"/>
      <c r="I24" s="479"/>
      <c r="J24" s="479"/>
      <c r="K24" s="480"/>
      <c r="L24" s="481"/>
      <c r="M24" s="479"/>
      <c r="N24" s="479"/>
      <c r="O24" s="479"/>
      <c r="P24" s="480"/>
      <c r="Q24" s="508"/>
      <c r="R24" s="509"/>
      <c r="S24" s="509"/>
      <c r="T24" s="509"/>
      <c r="U24" s="510"/>
      <c r="V24" s="470"/>
      <c r="W24" s="471"/>
      <c r="X24" s="471"/>
      <c r="Y24" s="471"/>
      <c r="Z24" s="472"/>
      <c r="AA24" s="470"/>
      <c r="AB24" s="471"/>
      <c r="AC24" s="471"/>
      <c r="AD24" s="471"/>
      <c r="AE24" s="485"/>
      <c r="AF24" s="471"/>
      <c r="AG24" s="471"/>
      <c r="AH24" s="471"/>
      <c r="AI24" s="471"/>
      <c r="AJ24" s="472"/>
      <c r="AK24" s="470"/>
      <c r="AL24" s="471"/>
      <c r="AM24" s="471"/>
      <c r="AN24" s="471"/>
      <c r="AO24" s="472"/>
      <c r="AP24" s="470"/>
      <c r="AQ24" s="471"/>
      <c r="AR24" s="471"/>
      <c r="AS24" s="471"/>
      <c r="AT24" s="472"/>
    </row>
    <row r="25" spans="2:46" ht="12.75" customHeight="1">
      <c r="B25" s="478"/>
      <c r="C25" s="479"/>
      <c r="D25" s="479"/>
      <c r="E25" s="479"/>
      <c r="F25" s="480"/>
      <c r="G25" s="481"/>
      <c r="H25" s="479"/>
      <c r="I25" s="479"/>
      <c r="J25" s="479"/>
      <c r="K25" s="480"/>
      <c r="L25" s="481"/>
      <c r="M25" s="479"/>
      <c r="N25" s="479"/>
      <c r="O25" s="479"/>
      <c r="P25" s="480"/>
      <c r="Q25" s="508"/>
      <c r="R25" s="509"/>
      <c r="S25" s="509"/>
      <c r="T25" s="509"/>
      <c r="U25" s="510"/>
      <c r="V25" s="470"/>
      <c r="W25" s="471"/>
      <c r="X25" s="471"/>
      <c r="Y25" s="471"/>
      <c r="Z25" s="472"/>
      <c r="AA25" s="470"/>
      <c r="AB25" s="471"/>
      <c r="AC25" s="471"/>
      <c r="AD25" s="471"/>
      <c r="AE25" s="485"/>
      <c r="AF25" s="471"/>
      <c r="AG25" s="471"/>
      <c r="AH25" s="471"/>
      <c r="AI25" s="471"/>
      <c r="AJ25" s="472"/>
      <c r="AK25" s="470"/>
      <c r="AL25" s="471"/>
      <c r="AM25" s="471"/>
      <c r="AN25" s="471"/>
      <c r="AO25" s="472"/>
      <c r="AP25" s="470"/>
      <c r="AQ25" s="471"/>
      <c r="AR25" s="471"/>
      <c r="AS25" s="471"/>
      <c r="AT25" s="472"/>
    </row>
    <row r="26" spans="2:46" ht="12.75" customHeight="1">
      <c r="B26" s="96"/>
      <c r="C26" s="72"/>
      <c r="D26" s="72"/>
      <c r="E26" s="492" t="s">
        <v>434</v>
      </c>
      <c r="F26" s="493"/>
      <c r="G26" s="71"/>
      <c r="H26" s="72"/>
      <c r="I26" s="72"/>
      <c r="J26" s="492" t="s">
        <v>437</v>
      </c>
      <c r="K26" s="493"/>
      <c r="L26" s="71"/>
      <c r="M26" s="72"/>
      <c r="N26" s="72"/>
      <c r="O26" s="492" t="s">
        <v>441</v>
      </c>
      <c r="P26" s="493"/>
      <c r="Q26" s="73"/>
      <c r="R26" s="74"/>
      <c r="S26" s="74"/>
      <c r="T26" s="518" t="s">
        <v>435</v>
      </c>
      <c r="U26" s="519"/>
      <c r="V26" s="69"/>
      <c r="W26" s="70"/>
      <c r="X26" s="70"/>
      <c r="Y26" s="489"/>
      <c r="Z26" s="490"/>
      <c r="AA26" s="69"/>
      <c r="AB26" s="70"/>
      <c r="AC26" s="70"/>
      <c r="AD26" s="489"/>
      <c r="AE26" s="495"/>
      <c r="AF26" s="70"/>
      <c r="AG26" s="70"/>
      <c r="AH26" s="70"/>
      <c r="AI26" s="489"/>
      <c r="AJ26" s="490"/>
      <c r="AK26" s="69"/>
      <c r="AL26" s="70"/>
      <c r="AM26" s="70"/>
      <c r="AN26" s="489"/>
      <c r="AO26" s="490"/>
      <c r="AP26" s="69"/>
      <c r="AQ26" s="70"/>
      <c r="AR26" s="70"/>
      <c r="AS26" s="489"/>
      <c r="AT26" s="490"/>
    </row>
    <row r="27" spans="2:46" ht="12.75" customHeight="1">
      <c r="B27" s="494" t="s">
        <v>311</v>
      </c>
      <c r="C27" s="487"/>
      <c r="D27" s="487"/>
      <c r="E27" s="487"/>
      <c r="F27" s="488"/>
      <c r="G27" s="486" t="s">
        <v>312</v>
      </c>
      <c r="H27" s="487"/>
      <c r="I27" s="487"/>
      <c r="J27" s="487"/>
      <c r="K27" s="488"/>
      <c r="L27" s="486" t="s">
        <v>318</v>
      </c>
      <c r="M27" s="487"/>
      <c r="N27" s="487"/>
      <c r="O27" s="487"/>
      <c r="P27" s="488"/>
      <c r="Q27" s="505" t="s">
        <v>300</v>
      </c>
      <c r="R27" s="506"/>
      <c r="S27" s="506"/>
      <c r="T27" s="506"/>
      <c r="U27" s="507"/>
      <c r="V27" s="467"/>
      <c r="W27" s="468"/>
      <c r="X27" s="468"/>
      <c r="Y27" s="468"/>
      <c r="Z27" s="469"/>
      <c r="AA27" s="467"/>
      <c r="AB27" s="468"/>
      <c r="AC27" s="468"/>
      <c r="AD27" s="468"/>
      <c r="AE27" s="491"/>
      <c r="AF27" s="468"/>
      <c r="AG27" s="468"/>
      <c r="AH27" s="468"/>
      <c r="AI27" s="468"/>
      <c r="AJ27" s="469"/>
      <c r="AK27" s="467"/>
      <c r="AL27" s="468"/>
      <c r="AM27" s="468"/>
      <c r="AN27" s="468"/>
      <c r="AO27" s="469"/>
      <c r="AP27" s="467"/>
      <c r="AQ27" s="468"/>
      <c r="AR27" s="468"/>
      <c r="AS27" s="468"/>
      <c r="AT27" s="469"/>
    </row>
    <row r="28" spans="2:46" ht="12.75" customHeight="1">
      <c r="B28" s="478"/>
      <c r="C28" s="479"/>
      <c r="D28" s="479"/>
      <c r="E28" s="479"/>
      <c r="F28" s="480"/>
      <c r="G28" s="481"/>
      <c r="H28" s="479"/>
      <c r="I28" s="479"/>
      <c r="J28" s="479"/>
      <c r="K28" s="480"/>
      <c r="L28" s="481"/>
      <c r="M28" s="479"/>
      <c r="N28" s="479"/>
      <c r="O28" s="479"/>
      <c r="P28" s="480"/>
      <c r="Q28" s="508"/>
      <c r="R28" s="509"/>
      <c r="S28" s="509"/>
      <c r="T28" s="509"/>
      <c r="U28" s="510"/>
      <c r="V28" s="470"/>
      <c r="W28" s="471"/>
      <c r="X28" s="471"/>
      <c r="Y28" s="471"/>
      <c r="Z28" s="472"/>
      <c r="AA28" s="470"/>
      <c r="AB28" s="471"/>
      <c r="AC28" s="471"/>
      <c r="AD28" s="471"/>
      <c r="AE28" s="485"/>
      <c r="AF28" s="471"/>
      <c r="AG28" s="471"/>
      <c r="AH28" s="471"/>
      <c r="AI28" s="471"/>
      <c r="AJ28" s="472"/>
      <c r="AK28" s="470"/>
      <c r="AL28" s="471"/>
      <c r="AM28" s="471"/>
      <c r="AN28" s="471"/>
      <c r="AO28" s="472"/>
      <c r="AP28" s="470"/>
      <c r="AQ28" s="471"/>
      <c r="AR28" s="471"/>
      <c r="AS28" s="471"/>
      <c r="AT28" s="472"/>
    </row>
    <row r="29" spans="2:46" ht="12.75" customHeight="1">
      <c r="B29" s="478"/>
      <c r="C29" s="479"/>
      <c r="D29" s="479"/>
      <c r="E29" s="479"/>
      <c r="F29" s="480"/>
      <c r="G29" s="481"/>
      <c r="H29" s="479"/>
      <c r="I29" s="479"/>
      <c r="J29" s="479"/>
      <c r="K29" s="480"/>
      <c r="L29" s="481"/>
      <c r="M29" s="479"/>
      <c r="N29" s="479"/>
      <c r="O29" s="479"/>
      <c r="P29" s="480"/>
      <c r="Q29" s="508"/>
      <c r="R29" s="509"/>
      <c r="S29" s="509"/>
      <c r="T29" s="509"/>
      <c r="U29" s="510"/>
      <c r="V29" s="470"/>
      <c r="W29" s="471"/>
      <c r="X29" s="471"/>
      <c r="Y29" s="471"/>
      <c r="Z29" s="472"/>
      <c r="AA29" s="470"/>
      <c r="AB29" s="471"/>
      <c r="AC29" s="471"/>
      <c r="AD29" s="471"/>
      <c r="AE29" s="485"/>
      <c r="AF29" s="471"/>
      <c r="AG29" s="471"/>
      <c r="AH29" s="471"/>
      <c r="AI29" s="471"/>
      <c r="AJ29" s="472"/>
      <c r="AK29" s="470"/>
      <c r="AL29" s="471"/>
      <c r="AM29" s="471"/>
      <c r="AN29" s="471"/>
      <c r="AO29" s="472"/>
      <c r="AP29" s="470"/>
      <c r="AQ29" s="471"/>
      <c r="AR29" s="471"/>
      <c r="AS29" s="471"/>
      <c r="AT29" s="472"/>
    </row>
    <row r="30" spans="2:46" ht="12.75" customHeight="1">
      <c r="B30" s="478"/>
      <c r="C30" s="479"/>
      <c r="D30" s="479"/>
      <c r="E30" s="479"/>
      <c r="F30" s="480"/>
      <c r="G30" s="481"/>
      <c r="H30" s="479"/>
      <c r="I30" s="479"/>
      <c r="J30" s="479"/>
      <c r="K30" s="480"/>
      <c r="L30" s="481"/>
      <c r="M30" s="479"/>
      <c r="N30" s="479"/>
      <c r="O30" s="479"/>
      <c r="P30" s="480"/>
      <c r="Q30" s="508"/>
      <c r="R30" s="509"/>
      <c r="S30" s="509"/>
      <c r="T30" s="509"/>
      <c r="U30" s="510"/>
      <c r="V30" s="470"/>
      <c r="W30" s="471"/>
      <c r="X30" s="471"/>
      <c r="Y30" s="471"/>
      <c r="Z30" s="472"/>
      <c r="AA30" s="470"/>
      <c r="AB30" s="471"/>
      <c r="AC30" s="471"/>
      <c r="AD30" s="471"/>
      <c r="AE30" s="485"/>
      <c r="AF30" s="471"/>
      <c r="AG30" s="471"/>
      <c r="AH30" s="471"/>
      <c r="AI30" s="471"/>
      <c r="AJ30" s="472"/>
      <c r="AK30" s="470"/>
      <c r="AL30" s="471"/>
      <c r="AM30" s="471"/>
      <c r="AN30" s="471"/>
      <c r="AO30" s="472"/>
      <c r="AP30" s="470"/>
      <c r="AQ30" s="471"/>
      <c r="AR30" s="471"/>
      <c r="AS30" s="471"/>
      <c r="AT30" s="472"/>
    </row>
    <row r="31" spans="2:46" ht="12.75" customHeight="1">
      <c r="B31" s="96"/>
      <c r="C31" s="72"/>
      <c r="D31" s="72"/>
      <c r="E31" s="492" t="s">
        <v>43</v>
      </c>
      <c r="F31" s="493"/>
      <c r="G31" s="71"/>
      <c r="H31" s="72"/>
      <c r="I31" s="72"/>
      <c r="J31" s="492" t="s">
        <v>438</v>
      </c>
      <c r="K31" s="493"/>
      <c r="L31" s="71"/>
      <c r="M31" s="72"/>
      <c r="N31" s="72"/>
      <c r="O31" s="492" t="s">
        <v>43</v>
      </c>
      <c r="P31" s="493"/>
      <c r="Q31" s="73"/>
      <c r="R31" s="74"/>
      <c r="S31" s="74"/>
      <c r="T31" s="518" t="s">
        <v>435</v>
      </c>
      <c r="U31" s="519"/>
      <c r="V31" s="69"/>
      <c r="W31" s="70"/>
      <c r="X31" s="70"/>
      <c r="Y31" s="489"/>
      <c r="Z31" s="490"/>
      <c r="AA31" s="69"/>
      <c r="AB31" s="70"/>
      <c r="AC31" s="70"/>
      <c r="AD31" s="489"/>
      <c r="AE31" s="495"/>
      <c r="AF31" s="70"/>
      <c r="AG31" s="70"/>
      <c r="AH31" s="70"/>
      <c r="AI31" s="489"/>
      <c r="AJ31" s="490"/>
      <c r="AK31" s="69"/>
      <c r="AL31" s="70"/>
      <c r="AM31" s="70"/>
      <c r="AN31" s="489"/>
      <c r="AO31" s="490"/>
      <c r="AP31" s="69"/>
      <c r="AQ31" s="70"/>
      <c r="AR31" s="70"/>
      <c r="AS31" s="489"/>
      <c r="AT31" s="490"/>
    </row>
    <row r="32" spans="2:46" ht="12.75" customHeight="1">
      <c r="B32" s="494" t="s">
        <v>22</v>
      </c>
      <c r="C32" s="487"/>
      <c r="D32" s="487"/>
      <c r="E32" s="487"/>
      <c r="F32" s="488"/>
      <c r="G32" s="486" t="s">
        <v>313</v>
      </c>
      <c r="H32" s="487"/>
      <c r="I32" s="487"/>
      <c r="J32" s="487"/>
      <c r="K32" s="488"/>
      <c r="L32" s="486" t="s">
        <v>319</v>
      </c>
      <c r="M32" s="487"/>
      <c r="N32" s="487"/>
      <c r="O32" s="487"/>
      <c r="P32" s="488"/>
      <c r="Q32" s="505" t="s">
        <v>89</v>
      </c>
      <c r="R32" s="506"/>
      <c r="S32" s="506"/>
      <c r="T32" s="506"/>
      <c r="U32" s="507"/>
      <c r="V32" s="467"/>
      <c r="W32" s="468"/>
      <c r="X32" s="468"/>
      <c r="Y32" s="468"/>
      <c r="Z32" s="469"/>
      <c r="AA32" s="467"/>
      <c r="AB32" s="468"/>
      <c r="AC32" s="468"/>
      <c r="AD32" s="468"/>
      <c r="AE32" s="491"/>
      <c r="AF32" s="468"/>
      <c r="AG32" s="468"/>
      <c r="AH32" s="468"/>
      <c r="AI32" s="468"/>
      <c r="AJ32" s="469"/>
      <c r="AK32" s="467"/>
      <c r="AL32" s="468"/>
      <c r="AM32" s="468"/>
      <c r="AN32" s="468"/>
      <c r="AO32" s="469"/>
      <c r="AP32" s="467"/>
      <c r="AQ32" s="468"/>
      <c r="AR32" s="468"/>
      <c r="AS32" s="468"/>
      <c r="AT32" s="469"/>
    </row>
    <row r="33" spans="2:46" ht="12.75" customHeight="1">
      <c r="B33" s="478"/>
      <c r="C33" s="479"/>
      <c r="D33" s="479"/>
      <c r="E33" s="479"/>
      <c r="F33" s="480"/>
      <c r="G33" s="481"/>
      <c r="H33" s="479"/>
      <c r="I33" s="479"/>
      <c r="J33" s="479"/>
      <c r="K33" s="480"/>
      <c r="L33" s="481"/>
      <c r="M33" s="479"/>
      <c r="N33" s="479"/>
      <c r="O33" s="479"/>
      <c r="P33" s="480"/>
      <c r="Q33" s="508"/>
      <c r="R33" s="509"/>
      <c r="S33" s="509"/>
      <c r="T33" s="509"/>
      <c r="U33" s="510"/>
      <c r="V33" s="470"/>
      <c r="W33" s="471"/>
      <c r="X33" s="471"/>
      <c r="Y33" s="471"/>
      <c r="Z33" s="472"/>
      <c r="AA33" s="470"/>
      <c r="AB33" s="471"/>
      <c r="AC33" s="471"/>
      <c r="AD33" s="471"/>
      <c r="AE33" s="485"/>
      <c r="AF33" s="471"/>
      <c r="AG33" s="471"/>
      <c r="AH33" s="471"/>
      <c r="AI33" s="471"/>
      <c r="AJ33" s="472"/>
      <c r="AK33" s="470"/>
      <c r="AL33" s="471"/>
      <c r="AM33" s="471"/>
      <c r="AN33" s="471"/>
      <c r="AO33" s="472"/>
      <c r="AP33" s="470"/>
      <c r="AQ33" s="471"/>
      <c r="AR33" s="471"/>
      <c r="AS33" s="471"/>
      <c r="AT33" s="472"/>
    </row>
    <row r="34" spans="2:46" ht="12.75" customHeight="1">
      <c r="B34" s="478"/>
      <c r="C34" s="479"/>
      <c r="D34" s="479"/>
      <c r="E34" s="479"/>
      <c r="F34" s="480"/>
      <c r="G34" s="481"/>
      <c r="H34" s="479"/>
      <c r="I34" s="479"/>
      <c r="J34" s="479"/>
      <c r="K34" s="480"/>
      <c r="L34" s="481"/>
      <c r="M34" s="479"/>
      <c r="N34" s="479"/>
      <c r="O34" s="479"/>
      <c r="P34" s="480"/>
      <c r="Q34" s="508"/>
      <c r="R34" s="509"/>
      <c r="S34" s="509"/>
      <c r="T34" s="509"/>
      <c r="U34" s="510"/>
      <c r="V34" s="470"/>
      <c r="W34" s="471"/>
      <c r="X34" s="471"/>
      <c r="Y34" s="471"/>
      <c r="Z34" s="472"/>
      <c r="AA34" s="470"/>
      <c r="AB34" s="471"/>
      <c r="AC34" s="471"/>
      <c r="AD34" s="471"/>
      <c r="AE34" s="485"/>
      <c r="AF34" s="471"/>
      <c r="AG34" s="471"/>
      <c r="AH34" s="471"/>
      <c r="AI34" s="471"/>
      <c r="AJ34" s="472"/>
      <c r="AK34" s="470"/>
      <c r="AL34" s="471"/>
      <c r="AM34" s="471"/>
      <c r="AN34" s="471"/>
      <c r="AO34" s="472"/>
      <c r="AP34" s="470"/>
      <c r="AQ34" s="471"/>
      <c r="AR34" s="471"/>
      <c r="AS34" s="471"/>
      <c r="AT34" s="472"/>
    </row>
    <row r="35" spans="2:46" ht="12.75" customHeight="1">
      <c r="B35" s="478"/>
      <c r="C35" s="479"/>
      <c r="D35" s="479"/>
      <c r="E35" s="479"/>
      <c r="F35" s="480"/>
      <c r="G35" s="481"/>
      <c r="H35" s="479"/>
      <c r="I35" s="479"/>
      <c r="J35" s="479"/>
      <c r="K35" s="480"/>
      <c r="L35" s="481"/>
      <c r="M35" s="479"/>
      <c r="N35" s="479"/>
      <c r="O35" s="479"/>
      <c r="P35" s="480"/>
      <c r="Q35" s="508"/>
      <c r="R35" s="509"/>
      <c r="S35" s="509"/>
      <c r="T35" s="509"/>
      <c r="U35" s="510"/>
      <c r="V35" s="470"/>
      <c r="W35" s="471"/>
      <c r="X35" s="471"/>
      <c r="Y35" s="471"/>
      <c r="Z35" s="472"/>
      <c r="AA35" s="470"/>
      <c r="AB35" s="471"/>
      <c r="AC35" s="471"/>
      <c r="AD35" s="471"/>
      <c r="AE35" s="485"/>
      <c r="AF35" s="471"/>
      <c r="AG35" s="471"/>
      <c r="AH35" s="471"/>
      <c r="AI35" s="471"/>
      <c r="AJ35" s="472"/>
      <c r="AK35" s="470"/>
      <c r="AL35" s="471"/>
      <c r="AM35" s="471"/>
      <c r="AN35" s="471"/>
      <c r="AO35" s="472"/>
      <c r="AP35" s="470"/>
      <c r="AQ35" s="471"/>
      <c r="AR35" s="471"/>
      <c r="AS35" s="471"/>
      <c r="AT35" s="472"/>
    </row>
    <row r="36" spans="2:46" ht="12.75" customHeight="1" thickBot="1">
      <c r="B36" s="97"/>
      <c r="C36" s="98"/>
      <c r="D36" s="98"/>
      <c r="E36" s="513" t="s">
        <v>434</v>
      </c>
      <c r="F36" s="514"/>
      <c r="G36" s="109"/>
      <c r="H36" s="98"/>
      <c r="I36" s="98"/>
      <c r="J36" s="513" t="s">
        <v>47</v>
      </c>
      <c r="K36" s="514"/>
      <c r="L36" s="109"/>
      <c r="M36" s="98"/>
      <c r="N36" s="98"/>
      <c r="O36" s="513" t="s">
        <v>439</v>
      </c>
      <c r="P36" s="514"/>
      <c r="Q36" s="99"/>
      <c r="R36" s="100"/>
      <c r="S36" s="100"/>
      <c r="T36" s="515" t="s">
        <v>44</v>
      </c>
      <c r="U36" s="516"/>
      <c r="V36" s="104"/>
      <c r="W36" s="103"/>
      <c r="X36" s="103"/>
      <c r="Y36" s="496"/>
      <c r="Z36" s="517"/>
      <c r="AA36" s="104"/>
      <c r="AB36" s="103"/>
      <c r="AC36" s="103"/>
      <c r="AD36" s="496"/>
      <c r="AE36" s="497"/>
      <c r="AF36" s="70"/>
      <c r="AG36" s="70"/>
      <c r="AH36" s="70"/>
      <c r="AI36" s="489"/>
      <c r="AJ36" s="490"/>
      <c r="AK36" s="69"/>
      <c r="AL36" s="70"/>
      <c r="AM36" s="70"/>
      <c r="AN36" s="489"/>
      <c r="AO36" s="490"/>
      <c r="AP36" s="69"/>
      <c r="AQ36" s="70"/>
      <c r="AR36" s="70"/>
      <c r="AS36" s="489"/>
      <c r="AT36" s="490"/>
    </row>
    <row r="37" spans="2:46" ht="15" thickBot="1"/>
    <row r="38" spans="2:46" ht="12.75" customHeight="1">
      <c r="B38" s="524" t="s">
        <v>331</v>
      </c>
      <c r="C38" s="475"/>
      <c r="D38" s="475"/>
      <c r="E38" s="475"/>
      <c r="F38" s="504"/>
      <c r="G38" s="520" t="str">
        <f>CaisseBoutonGroupe2</f>
        <v>Viennoiserie</v>
      </c>
      <c r="H38" s="499"/>
      <c r="I38" s="499"/>
      <c r="J38" s="499"/>
      <c r="K38" s="500"/>
      <c r="L38" s="474" t="str">
        <f>CaisseBoutonGroupe3</f>
        <v>Patisserie</v>
      </c>
      <c r="M38" s="475"/>
      <c r="N38" s="475"/>
      <c r="O38" s="475"/>
      <c r="P38" s="504"/>
      <c r="Q38" s="474" t="str">
        <f>CaisseBoutonGroupe4</f>
        <v>Traiteur</v>
      </c>
      <c r="R38" s="475"/>
      <c r="S38" s="475"/>
      <c r="T38" s="475"/>
      <c r="U38" s="504"/>
      <c r="V38" s="474" t="str">
        <f>CaisseBoutonGroupe5</f>
        <v>Crêperie</v>
      </c>
      <c r="W38" s="475"/>
      <c r="X38" s="475"/>
      <c r="Y38" s="475"/>
      <c r="Z38" s="504"/>
      <c r="AA38" s="474" t="str">
        <f>CaisseBoutonGroupe6</f>
        <v>Boisson</v>
      </c>
      <c r="AB38" s="475"/>
      <c r="AC38" s="475"/>
      <c r="AD38" s="475"/>
      <c r="AE38" s="476"/>
      <c r="AF38" s="192"/>
      <c r="AG38" s="192"/>
      <c r="AH38" s="192"/>
      <c r="AI38" s="192"/>
      <c r="AJ38" s="192"/>
      <c r="AK38" s="192"/>
      <c r="AL38" s="192"/>
      <c r="AM38" s="192"/>
      <c r="AN38" s="192"/>
      <c r="AO38" s="193"/>
      <c r="AP38" s="192"/>
      <c r="AQ38" s="192"/>
      <c r="AR38" s="192"/>
      <c r="AS38" s="192"/>
      <c r="AT38" s="193"/>
    </row>
    <row r="39" spans="2:46" ht="12.75" customHeight="1">
      <c r="B39" s="525"/>
      <c r="C39" s="465"/>
      <c r="D39" s="465"/>
      <c r="E39" s="465"/>
      <c r="F39" s="466"/>
      <c r="G39" s="521"/>
      <c r="H39" s="502"/>
      <c r="I39" s="502"/>
      <c r="J39" s="502"/>
      <c r="K39" s="503"/>
      <c r="L39" s="464"/>
      <c r="M39" s="465"/>
      <c r="N39" s="465"/>
      <c r="O39" s="465"/>
      <c r="P39" s="466"/>
      <c r="Q39" s="464"/>
      <c r="R39" s="465"/>
      <c r="S39" s="465"/>
      <c r="T39" s="465"/>
      <c r="U39" s="466"/>
      <c r="V39" s="464"/>
      <c r="W39" s="465"/>
      <c r="X39" s="465"/>
      <c r="Y39" s="465"/>
      <c r="Z39" s="466"/>
      <c r="AA39" s="464"/>
      <c r="AB39" s="465"/>
      <c r="AC39" s="465"/>
      <c r="AD39" s="465"/>
      <c r="AE39" s="477"/>
      <c r="AF39" s="194"/>
      <c r="AG39" s="473" t="str">
        <f>G38</f>
        <v>Viennoiserie</v>
      </c>
      <c r="AH39" s="473"/>
      <c r="AI39" s="473"/>
      <c r="AJ39" s="473"/>
      <c r="AK39" s="473"/>
      <c r="AL39" s="473"/>
      <c r="AM39" s="473"/>
      <c r="AN39" s="473"/>
      <c r="AO39" s="195"/>
      <c r="AP39" s="194"/>
      <c r="AQ39" s="194"/>
      <c r="AR39" s="194"/>
      <c r="AS39" s="194"/>
      <c r="AT39" s="195"/>
    </row>
    <row r="40" spans="2:46" ht="12.75" customHeight="1">
      <c r="B40" s="525"/>
      <c r="C40" s="465"/>
      <c r="D40" s="465"/>
      <c r="E40" s="465"/>
      <c r="F40" s="466"/>
      <c r="G40" s="521"/>
      <c r="H40" s="502"/>
      <c r="I40" s="502"/>
      <c r="J40" s="502"/>
      <c r="K40" s="503"/>
      <c r="L40" s="464"/>
      <c r="M40" s="465"/>
      <c r="N40" s="465"/>
      <c r="O40" s="465"/>
      <c r="P40" s="466"/>
      <c r="Q40" s="464"/>
      <c r="R40" s="465"/>
      <c r="S40" s="465"/>
      <c r="T40" s="465"/>
      <c r="U40" s="466"/>
      <c r="V40" s="464"/>
      <c r="W40" s="465"/>
      <c r="X40" s="465"/>
      <c r="Y40" s="465"/>
      <c r="Z40" s="466"/>
      <c r="AA40" s="464"/>
      <c r="AB40" s="465"/>
      <c r="AC40" s="465"/>
      <c r="AD40" s="465"/>
      <c r="AE40" s="477"/>
      <c r="AF40" s="194"/>
      <c r="AG40" s="473"/>
      <c r="AH40" s="473"/>
      <c r="AI40" s="473"/>
      <c r="AJ40" s="473"/>
      <c r="AK40" s="473"/>
      <c r="AL40" s="473"/>
      <c r="AM40" s="473"/>
      <c r="AN40" s="473"/>
      <c r="AO40" s="195"/>
      <c r="AP40" s="194"/>
      <c r="AQ40" s="194"/>
      <c r="AR40" s="194"/>
      <c r="AS40" s="194"/>
      <c r="AT40" s="195"/>
    </row>
    <row r="41" spans="2:46" ht="12.75" customHeight="1">
      <c r="B41" s="525"/>
      <c r="C41" s="465"/>
      <c r="D41" s="465"/>
      <c r="E41" s="465"/>
      <c r="F41" s="466"/>
      <c r="G41" s="521"/>
      <c r="H41" s="502"/>
      <c r="I41" s="502"/>
      <c r="J41" s="502"/>
      <c r="K41" s="503"/>
      <c r="L41" s="464"/>
      <c r="M41" s="465"/>
      <c r="N41" s="465"/>
      <c r="O41" s="465"/>
      <c r="P41" s="466"/>
      <c r="Q41" s="464"/>
      <c r="R41" s="465"/>
      <c r="S41" s="465"/>
      <c r="T41" s="465"/>
      <c r="U41" s="466"/>
      <c r="V41" s="464"/>
      <c r="W41" s="465"/>
      <c r="X41" s="465"/>
      <c r="Y41" s="465"/>
      <c r="Z41" s="466"/>
      <c r="AA41" s="464"/>
      <c r="AB41" s="465"/>
      <c r="AC41" s="465"/>
      <c r="AD41" s="465"/>
      <c r="AE41" s="477"/>
      <c r="AF41" s="194"/>
      <c r="AG41" s="194"/>
      <c r="AH41" s="194"/>
      <c r="AI41" s="194"/>
      <c r="AJ41" s="194"/>
      <c r="AK41" s="194"/>
      <c r="AL41" s="194"/>
      <c r="AM41" s="194"/>
      <c r="AN41" s="194"/>
      <c r="AO41" s="195"/>
      <c r="AP41" s="194"/>
      <c r="AQ41" s="194"/>
      <c r="AR41" s="194"/>
      <c r="AS41" s="194"/>
      <c r="AT41" s="195"/>
    </row>
    <row r="42" spans="2:46" ht="12.75" customHeight="1" thickBot="1">
      <c r="B42" s="196"/>
      <c r="C42" s="197"/>
      <c r="D42" s="197"/>
      <c r="E42" s="197"/>
      <c r="F42" s="197"/>
      <c r="G42" s="198"/>
      <c r="H42" s="197"/>
      <c r="I42" s="197"/>
      <c r="J42" s="197"/>
      <c r="K42" s="197"/>
      <c r="L42" s="198"/>
      <c r="M42" s="197"/>
      <c r="N42" s="197"/>
      <c r="O42" s="197"/>
      <c r="P42" s="197"/>
      <c r="Q42" s="198"/>
      <c r="R42" s="197"/>
      <c r="S42" s="197"/>
      <c r="T42" s="197"/>
      <c r="U42" s="197"/>
      <c r="V42" s="198"/>
      <c r="W42" s="197"/>
      <c r="X42" s="197"/>
      <c r="Y42" s="197"/>
      <c r="Z42" s="197"/>
      <c r="AA42" s="198"/>
      <c r="AB42" s="197"/>
      <c r="AC42" s="197"/>
      <c r="AD42" s="197"/>
      <c r="AE42" s="199"/>
      <c r="AF42" s="200"/>
      <c r="AG42" s="200"/>
      <c r="AH42" s="200"/>
      <c r="AI42" s="200"/>
      <c r="AJ42" s="200"/>
      <c r="AK42" s="200"/>
      <c r="AL42" s="200"/>
      <c r="AM42" s="200"/>
      <c r="AN42" s="200"/>
      <c r="AO42" s="201"/>
      <c r="AP42" s="200"/>
      <c r="AQ42" s="200"/>
      <c r="AR42" s="200"/>
      <c r="AS42" s="200"/>
      <c r="AT42" s="201"/>
    </row>
    <row r="43" spans="2:46" ht="12.75" customHeight="1">
      <c r="B43" s="530" t="s">
        <v>387</v>
      </c>
      <c r="C43" s="531"/>
      <c r="D43" s="531"/>
      <c r="E43" s="531"/>
      <c r="F43" s="532"/>
      <c r="G43" s="536" t="s">
        <v>288</v>
      </c>
      <c r="H43" s="531"/>
      <c r="I43" s="531"/>
      <c r="J43" s="531"/>
      <c r="K43" s="532"/>
      <c r="L43" s="536" t="s">
        <v>290</v>
      </c>
      <c r="M43" s="531"/>
      <c r="N43" s="531"/>
      <c r="O43" s="531"/>
      <c r="P43" s="532"/>
      <c r="Q43" s="538" t="s">
        <v>395</v>
      </c>
      <c r="R43" s="539"/>
      <c r="S43" s="539"/>
      <c r="T43" s="539"/>
      <c r="U43" s="540"/>
      <c r="V43" s="538" t="s">
        <v>11</v>
      </c>
      <c r="W43" s="539"/>
      <c r="X43" s="539"/>
      <c r="Y43" s="539"/>
      <c r="Z43" s="540"/>
      <c r="AA43" s="544"/>
      <c r="AB43" s="545"/>
      <c r="AC43" s="545"/>
      <c r="AD43" s="545"/>
      <c r="AE43" s="546"/>
      <c r="AF43" s="522"/>
      <c r="AG43" s="468"/>
      <c r="AH43" s="468"/>
      <c r="AI43" s="468"/>
      <c r="AJ43" s="469"/>
      <c r="AK43" s="467"/>
      <c r="AL43" s="468"/>
      <c r="AM43" s="468"/>
      <c r="AN43" s="468"/>
      <c r="AO43" s="469"/>
      <c r="AP43" s="467"/>
      <c r="AQ43" s="468"/>
      <c r="AR43" s="468"/>
      <c r="AS43" s="468"/>
      <c r="AT43" s="469"/>
    </row>
    <row r="44" spans="2:46" ht="12.75" customHeight="1">
      <c r="B44" s="533"/>
      <c r="C44" s="534"/>
      <c r="D44" s="534"/>
      <c r="E44" s="534"/>
      <c r="F44" s="535"/>
      <c r="G44" s="537"/>
      <c r="H44" s="534"/>
      <c r="I44" s="534"/>
      <c r="J44" s="534"/>
      <c r="K44" s="535"/>
      <c r="L44" s="537"/>
      <c r="M44" s="534"/>
      <c r="N44" s="534"/>
      <c r="O44" s="534"/>
      <c r="P44" s="535"/>
      <c r="Q44" s="541"/>
      <c r="R44" s="542"/>
      <c r="S44" s="542"/>
      <c r="T44" s="542"/>
      <c r="U44" s="543"/>
      <c r="V44" s="541"/>
      <c r="W44" s="542"/>
      <c r="X44" s="542"/>
      <c r="Y44" s="542"/>
      <c r="Z44" s="543"/>
      <c r="AA44" s="470"/>
      <c r="AB44" s="471"/>
      <c r="AC44" s="471"/>
      <c r="AD44" s="471"/>
      <c r="AE44" s="485"/>
      <c r="AF44" s="523"/>
      <c r="AG44" s="471"/>
      <c r="AH44" s="471"/>
      <c r="AI44" s="471"/>
      <c r="AJ44" s="472"/>
      <c r="AK44" s="470"/>
      <c r="AL44" s="471"/>
      <c r="AM44" s="471"/>
      <c r="AN44" s="471"/>
      <c r="AO44" s="472"/>
      <c r="AP44" s="470"/>
      <c r="AQ44" s="471"/>
      <c r="AR44" s="471"/>
      <c r="AS44" s="471"/>
      <c r="AT44" s="472"/>
    </row>
    <row r="45" spans="2:46" ht="12.75" customHeight="1">
      <c r="B45" s="533"/>
      <c r="C45" s="534"/>
      <c r="D45" s="534"/>
      <c r="E45" s="534"/>
      <c r="F45" s="535"/>
      <c r="G45" s="537"/>
      <c r="H45" s="534"/>
      <c r="I45" s="534"/>
      <c r="J45" s="534"/>
      <c r="K45" s="535"/>
      <c r="L45" s="537"/>
      <c r="M45" s="534"/>
      <c r="N45" s="534"/>
      <c r="O45" s="534"/>
      <c r="P45" s="535"/>
      <c r="Q45" s="541"/>
      <c r="R45" s="542"/>
      <c r="S45" s="542"/>
      <c r="T45" s="542"/>
      <c r="U45" s="543"/>
      <c r="V45" s="541"/>
      <c r="W45" s="542"/>
      <c r="X45" s="542"/>
      <c r="Y45" s="542"/>
      <c r="Z45" s="543"/>
      <c r="AA45" s="470"/>
      <c r="AB45" s="471"/>
      <c r="AC45" s="471"/>
      <c r="AD45" s="471"/>
      <c r="AE45" s="485"/>
      <c r="AF45" s="523"/>
      <c r="AG45" s="471"/>
      <c r="AH45" s="471"/>
      <c r="AI45" s="471"/>
      <c r="AJ45" s="472"/>
      <c r="AK45" s="470"/>
      <c r="AL45" s="471"/>
      <c r="AM45" s="471"/>
      <c r="AN45" s="471"/>
      <c r="AO45" s="472"/>
      <c r="AP45" s="470"/>
      <c r="AQ45" s="471"/>
      <c r="AR45" s="471"/>
      <c r="AS45" s="471"/>
      <c r="AT45" s="472"/>
    </row>
    <row r="46" spans="2:46" ht="12.75" customHeight="1">
      <c r="B46" s="533"/>
      <c r="C46" s="534"/>
      <c r="D46" s="534"/>
      <c r="E46" s="534"/>
      <c r="F46" s="535"/>
      <c r="G46" s="537"/>
      <c r="H46" s="534"/>
      <c r="I46" s="534"/>
      <c r="J46" s="534"/>
      <c r="K46" s="535"/>
      <c r="L46" s="537"/>
      <c r="M46" s="534"/>
      <c r="N46" s="534"/>
      <c r="O46" s="534"/>
      <c r="P46" s="535"/>
      <c r="Q46" s="541"/>
      <c r="R46" s="542"/>
      <c r="S46" s="542"/>
      <c r="T46" s="542"/>
      <c r="U46" s="543"/>
      <c r="V46" s="541"/>
      <c r="W46" s="542"/>
      <c r="X46" s="542"/>
      <c r="Y46" s="542"/>
      <c r="Z46" s="543"/>
      <c r="AA46" s="470"/>
      <c r="AB46" s="471"/>
      <c r="AC46" s="471"/>
      <c r="AD46" s="471"/>
      <c r="AE46" s="485"/>
      <c r="AF46" s="523"/>
      <c r="AG46" s="471"/>
      <c r="AH46" s="471"/>
      <c r="AI46" s="471"/>
      <c r="AJ46" s="472"/>
      <c r="AK46" s="470"/>
      <c r="AL46" s="471"/>
      <c r="AM46" s="471"/>
      <c r="AN46" s="471"/>
      <c r="AO46" s="472"/>
      <c r="AP46" s="470"/>
      <c r="AQ46" s="471"/>
      <c r="AR46" s="471"/>
      <c r="AS46" s="471"/>
      <c r="AT46" s="472"/>
    </row>
    <row r="47" spans="2:46" ht="12.75" customHeight="1">
      <c r="B47" s="105"/>
      <c r="C47" s="82"/>
      <c r="D47" s="82"/>
      <c r="E47" s="526" t="s">
        <v>445</v>
      </c>
      <c r="F47" s="527"/>
      <c r="G47" s="81"/>
      <c r="H47" s="82"/>
      <c r="I47" s="82"/>
      <c r="J47" s="526" t="s">
        <v>447</v>
      </c>
      <c r="K47" s="527"/>
      <c r="L47" s="81"/>
      <c r="M47" s="82"/>
      <c r="N47" s="82"/>
      <c r="O47" s="526" t="s">
        <v>434</v>
      </c>
      <c r="P47" s="527"/>
      <c r="Q47" s="83"/>
      <c r="R47" s="84"/>
      <c r="S47" s="84"/>
      <c r="T47" s="528" t="s">
        <v>43</v>
      </c>
      <c r="U47" s="529"/>
      <c r="V47" s="83"/>
      <c r="W47" s="84"/>
      <c r="X47" s="84"/>
      <c r="Y47" s="528" t="s">
        <v>456</v>
      </c>
      <c r="Z47" s="529"/>
      <c r="AA47" s="69"/>
      <c r="AB47" s="70"/>
      <c r="AC47" s="70"/>
      <c r="AD47" s="489"/>
      <c r="AE47" s="495"/>
      <c r="AF47" s="70"/>
      <c r="AG47" s="70"/>
      <c r="AH47" s="70"/>
      <c r="AI47" s="489"/>
      <c r="AJ47" s="490"/>
      <c r="AK47" s="69"/>
      <c r="AL47" s="70"/>
      <c r="AM47" s="70"/>
      <c r="AN47" s="489"/>
      <c r="AO47" s="490"/>
      <c r="AP47" s="69"/>
      <c r="AQ47" s="70"/>
      <c r="AR47" s="70"/>
      <c r="AS47" s="489"/>
      <c r="AT47" s="490"/>
    </row>
    <row r="48" spans="2:46" ht="12.75" customHeight="1">
      <c r="B48" s="547" t="s">
        <v>284</v>
      </c>
      <c r="C48" s="548"/>
      <c r="D48" s="548"/>
      <c r="E48" s="548"/>
      <c r="F48" s="549"/>
      <c r="G48" s="550" t="s">
        <v>289</v>
      </c>
      <c r="H48" s="548"/>
      <c r="I48" s="548"/>
      <c r="J48" s="548"/>
      <c r="K48" s="549"/>
      <c r="L48" s="550" t="s">
        <v>1277</v>
      </c>
      <c r="M48" s="548"/>
      <c r="N48" s="548"/>
      <c r="O48" s="548"/>
      <c r="P48" s="549"/>
      <c r="Q48" s="551" t="s">
        <v>3</v>
      </c>
      <c r="R48" s="552"/>
      <c r="S48" s="552"/>
      <c r="T48" s="552"/>
      <c r="U48" s="553"/>
      <c r="V48" s="551" t="s">
        <v>12</v>
      </c>
      <c r="W48" s="552"/>
      <c r="X48" s="552"/>
      <c r="Y48" s="552"/>
      <c r="Z48" s="553"/>
      <c r="AA48" s="467"/>
      <c r="AB48" s="468"/>
      <c r="AC48" s="468"/>
      <c r="AD48" s="468"/>
      <c r="AE48" s="491"/>
      <c r="AF48" s="522"/>
      <c r="AG48" s="468"/>
      <c r="AH48" s="468"/>
      <c r="AI48" s="468"/>
      <c r="AJ48" s="469"/>
      <c r="AK48" s="467"/>
      <c r="AL48" s="468"/>
      <c r="AM48" s="468"/>
      <c r="AN48" s="468"/>
      <c r="AO48" s="469"/>
      <c r="AP48" s="467"/>
      <c r="AQ48" s="468"/>
      <c r="AR48" s="468"/>
      <c r="AS48" s="468"/>
      <c r="AT48" s="469"/>
    </row>
    <row r="49" spans="2:46" ht="12.75" customHeight="1">
      <c r="B49" s="533"/>
      <c r="C49" s="534"/>
      <c r="D49" s="534"/>
      <c r="E49" s="534"/>
      <c r="F49" s="535"/>
      <c r="G49" s="537"/>
      <c r="H49" s="534"/>
      <c r="I49" s="534"/>
      <c r="J49" s="534"/>
      <c r="K49" s="535"/>
      <c r="L49" s="537"/>
      <c r="M49" s="534"/>
      <c r="N49" s="534"/>
      <c r="O49" s="534"/>
      <c r="P49" s="535"/>
      <c r="Q49" s="541"/>
      <c r="R49" s="542"/>
      <c r="S49" s="542"/>
      <c r="T49" s="542"/>
      <c r="U49" s="543"/>
      <c r="V49" s="541"/>
      <c r="W49" s="542"/>
      <c r="X49" s="542"/>
      <c r="Y49" s="542"/>
      <c r="Z49" s="543"/>
      <c r="AA49" s="470"/>
      <c r="AB49" s="471"/>
      <c r="AC49" s="471"/>
      <c r="AD49" s="471"/>
      <c r="AE49" s="485"/>
      <c r="AF49" s="523"/>
      <c r="AG49" s="471"/>
      <c r="AH49" s="471"/>
      <c r="AI49" s="471"/>
      <c r="AJ49" s="472"/>
      <c r="AK49" s="470"/>
      <c r="AL49" s="471"/>
      <c r="AM49" s="471"/>
      <c r="AN49" s="471"/>
      <c r="AO49" s="472"/>
      <c r="AP49" s="470"/>
      <c r="AQ49" s="471"/>
      <c r="AR49" s="471"/>
      <c r="AS49" s="471"/>
      <c r="AT49" s="472"/>
    </row>
    <row r="50" spans="2:46" ht="12.75" customHeight="1">
      <c r="B50" s="533"/>
      <c r="C50" s="534"/>
      <c r="D50" s="534"/>
      <c r="E50" s="534"/>
      <c r="F50" s="535"/>
      <c r="G50" s="537"/>
      <c r="H50" s="534"/>
      <c r="I50" s="534"/>
      <c r="J50" s="534"/>
      <c r="K50" s="535"/>
      <c r="L50" s="537"/>
      <c r="M50" s="534"/>
      <c r="N50" s="534"/>
      <c r="O50" s="534"/>
      <c r="P50" s="535"/>
      <c r="Q50" s="541"/>
      <c r="R50" s="542"/>
      <c r="S50" s="542"/>
      <c r="T50" s="542"/>
      <c r="U50" s="543"/>
      <c r="V50" s="541"/>
      <c r="W50" s="542"/>
      <c r="X50" s="542"/>
      <c r="Y50" s="542"/>
      <c r="Z50" s="543"/>
      <c r="AA50" s="470"/>
      <c r="AB50" s="471"/>
      <c r="AC50" s="471"/>
      <c r="AD50" s="471"/>
      <c r="AE50" s="485"/>
      <c r="AF50" s="523"/>
      <c r="AG50" s="471"/>
      <c r="AH50" s="471"/>
      <c r="AI50" s="471"/>
      <c r="AJ50" s="472"/>
      <c r="AK50" s="470"/>
      <c r="AL50" s="471"/>
      <c r="AM50" s="471"/>
      <c r="AN50" s="471"/>
      <c r="AO50" s="472"/>
      <c r="AP50" s="470"/>
      <c r="AQ50" s="471"/>
      <c r="AR50" s="471"/>
      <c r="AS50" s="471"/>
      <c r="AT50" s="472"/>
    </row>
    <row r="51" spans="2:46" ht="12.75" customHeight="1">
      <c r="B51" s="533"/>
      <c r="C51" s="534"/>
      <c r="D51" s="534"/>
      <c r="E51" s="534"/>
      <c r="F51" s="535"/>
      <c r="G51" s="537"/>
      <c r="H51" s="534"/>
      <c r="I51" s="534"/>
      <c r="J51" s="534"/>
      <c r="K51" s="535"/>
      <c r="L51" s="537"/>
      <c r="M51" s="534"/>
      <c r="N51" s="534"/>
      <c r="O51" s="534"/>
      <c r="P51" s="535"/>
      <c r="Q51" s="541"/>
      <c r="R51" s="542"/>
      <c r="S51" s="542"/>
      <c r="T51" s="542"/>
      <c r="U51" s="543"/>
      <c r="V51" s="541"/>
      <c r="W51" s="542"/>
      <c r="X51" s="542"/>
      <c r="Y51" s="542"/>
      <c r="Z51" s="543"/>
      <c r="AA51" s="470"/>
      <c r="AB51" s="471"/>
      <c r="AC51" s="471"/>
      <c r="AD51" s="471"/>
      <c r="AE51" s="485"/>
      <c r="AF51" s="523"/>
      <c r="AG51" s="471"/>
      <c r="AH51" s="471"/>
      <c r="AI51" s="471"/>
      <c r="AJ51" s="472"/>
      <c r="AK51" s="470"/>
      <c r="AL51" s="471"/>
      <c r="AM51" s="471"/>
      <c r="AN51" s="471"/>
      <c r="AO51" s="472"/>
      <c r="AP51" s="470"/>
      <c r="AQ51" s="471"/>
      <c r="AR51" s="471"/>
      <c r="AS51" s="471"/>
      <c r="AT51" s="472"/>
    </row>
    <row r="52" spans="2:46" ht="12.75" customHeight="1">
      <c r="B52" s="105"/>
      <c r="C52" s="82"/>
      <c r="D52" s="82"/>
      <c r="E52" s="526" t="s">
        <v>446</v>
      </c>
      <c r="F52" s="527"/>
      <c r="G52" s="81"/>
      <c r="H52" s="82"/>
      <c r="I52" s="82"/>
      <c r="J52" s="526" t="s">
        <v>448</v>
      </c>
      <c r="K52" s="527"/>
      <c r="L52" s="81"/>
      <c r="M52" s="82"/>
      <c r="N52" s="82"/>
      <c r="O52" s="526" t="s">
        <v>434</v>
      </c>
      <c r="P52" s="527"/>
      <c r="Q52" s="83"/>
      <c r="R52" s="84"/>
      <c r="S52" s="84"/>
      <c r="T52" s="528" t="s">
        <v>43</v>
      </c>
      <c r="U52" s="529"/>
      <c r="V52" s="83"/>
      <c r="W52" s="84"/>
      <c r="X52" s="84"/>
      <c r="Y52" s="528" t="s">
        <v>457</v>
      </c>
      <c r="Z52" s="529"/>
      <c r="AA52" s="69"/>
      <c r="AB52" s="70"/>
      <c r="AC52" s="70"/>
      <c r="AD52" s="489"/>
      <c r="AE52" s="495"/>
      <c r="AF52" s="70"/>
      <c r="AG52" s="70"/>
      <c r="AH52" s="70"/>
      <c r="AI52" s="489"/>
      <c r="AJ52" s="490"/>
      <c r="AK52" s="69"/>
      <c r="AL52" s="70"/>
      <c r="AM52" s="70"/>
      <c r="AN52" s="489"/>
      <c r="AO52" s="490"/>
      <c r="AP52" s="69"/>
      <c r="AQ52" s="70"/>
      <c r="AR52" s="70"/>
      <c r="AS52" s="489"/>
      <c r="AT52" s="490"/>
    </row>
    <row r="53" spans="2:46" ht="12.75" customHeight="1">
      <c r="B53" s="547" t="s">
        <v>285</v>
      </c>
      <c r="C53" s="548"/>
      <c r="D53" s="548"/>
      <c r="E53" s="548"/>
      <c r="F53" s="549"/>
      <c r="G53" s="550" t="s">
        <v>292</v>
      </c>
      <c r="H53" s="548"/>
      <c r="I53" s="548"/>
      <c r="J53" s="548"/>
      <c r="K53" s="549"/>
      <c r="L53" s="550" t="s">
        <v>294</v>
      </c>
      <c r="M53" s="548"/>
      <c r="N53" s="548"/>
      <c r="O53" s="548"/>
      <c r="P53" s="549"/>
      <c r="Q53" s="551" t="s">
        <v>389</v>
      </c>
      <c r="R53" s="552"/>
      <c r="S53" s="552"/>
      <c r="T53" s="552"/>
      <c r="U53" s="553"/>
      <c r="V53" s="551" t="s">
        <v>398</v>
      </c>
      <c r="W53" s="552"/>
      <c r="X53" s="552"/>
      <c r="Y53" s="552"/>
      <c r="Z53" s="553"/>
      <c r="AA53" s="467"/>
      <c r="AB53" s="468"/>
      <c r="AC53" s="468"/>
      <c r="AD53" s="468"/>
      <c r="AE53" s="491"/>
      <c r="AF53" s="522"/>
      <c r="AG53" s="468"/>
      <c r="AH53" s="468"/>
      <c r="AI53" s="468"/>
      <c r="AJ53" s="469"/>
      <c r="AK53" s="467"/>
      <c r="AL53" s="468"/>
      <c r="AM53" s="468"/>
      <c r="AN53" s="468"/>
      <c r="AO53" s="469"/>
      <c r="AP53" s="467"/>
      <c r="AQ53" s="468"/>
      <c r="AR53" s="468"/>
      <c r="AS53" s="468"/>
      <c r="AT53" s="469"/>
    </row>
    <row r="54" spans="2:46" ht="12.75" customHeight="1">
      <c r="B54" s="533"/>
      <c r="C54" s="534"/>
      <c r="D54" s="534"/>
      <c r="E54" s="534"/>
      <c r="F54" s="535"/>
      <c r="G54" s="537"/>
      <c r="H54" s="534"/>
      <c r="I54" s="534"/>
      <c r="J54" s="534"/>
      <c r="K54" s="535"/>
      <c r="L54" s="537"/>
      <c r="M54" s="534"/>
      <c r="N54" s="534"/>
      <c r="O54" s="534"/>
      <c r="P54" s="535"/>
      <c r="Q54" s="541"/>
      <c r="R54" s="542"/>
      <c r="S54" s="542"/>
      <c r="T54" s="542"/>
      <c r="U54" s="543"/>
      <c r="V54" s="541"/>
      <c r="W54" s="542"/>
      <c r="X54" s="542"/>
      <c r="Y54" s="542"/>
      <c r="Z54" s="543"/>
      <c r="AA54" s="470"/>
      <c r="AB54" s="471"/>
      <c r="AC54" s="471"/>
      <c r="AD54" s="471"/>
      <c r="AE54" s="485"/>
      <c r="AF54" s="523"/>
      <c r="AG54" s="471"/>
      <c r="AH54" s="471"/>
      <c r="AI54" s="471"/>
      <c r="AJ54" s="472"/>
      <c r="AK54" s="470"/>
      <c r="AL54" s="471"/>
      <c r="AM54" s="471"/>
      <c r="AN54" s="471"/>
      <c r="AO54" s="472"/>
      <c r="AP54" s="470"/>
      <c r="AQ54" s="471"/>
      <c r="AR54" s="471"/>
      <c r="AS54" s="471"/>
      <c r="AT54" s="472"/>
    </row>
    <row r="55" spans="2:46" ht="12.75" customHeight="1">
      <c r="B55" s="533"/>
      <c r="C55" s="534"/>
      <c r="D55" s="534"/>
      <c r="E55" s="534"/>
      <c r="F55" s="535"/>
      <c r="G55" s="537"/>
      <c r="H55" s="534"/>
      <c r="I55" s="534"/>
      <c r="J55" s="534"/>
      <c r="K55" s="535"/>
      <c r="L55" s="537"/>
      <c r="M55" s="534"/>
      <c r="N55" s="534"/>
      <c r="O55" s="534"/>
      <c r="P55" s="535"/>
      <c r="Q55" s="541"/>
      <c r="R55" s="542"/>
      <c r="S55" s="542"/>
      <c r="T55" s="542"/>
      <c r="U55" s="543"/>
      <c r="V55" s="541"/>
      <c r="W55" s="542"/>
      <c r="X55" s="542"/>
      <c r="Y55" s="542"/>
      <c r="Z55" s="543"/>
      <c r="AA55" s="470"/>
      <c r="AB55" s="471"/>
      <c r="AC55" s="471"/>
      <c r="AD55" s="471"/>
      <c r="AE55" s="485"/>
      <c r="AF55" s="523"/>
      <c r="AG55" s="471"/>
      <c r="AH55" s="471"/>
      <c r="AI55" s="471"/>
      <c r="AJ55" s="472"/>
      <c r="AK55" s="470"/>
      <c r="AL55" s="471"/>
      <c r="AM55" s="471"/>
      <c r="AN55" s="471"/>
      <c r="AO55" s="472"/>
      <c r="AP55" s="470"/>
      <c r="AQ55" s="471"/>
      <c r="AR55" s="471"/>
      <c r="AS55" s="471"/>
      <c r="AT55" s="472"/>
    </row>
    <row r="56" spans="2:46" ht="12.75" customHeight="1">
      <c r="B56" s="533"/>
      <c r="C56" s="534"/>
      <c r="D56" s="534"/>
      <c r="E56" s="534"/>
      <c r="F56" s="535"/>
      <c r="G56" s="537"/>
      <c r="H56" s="534"/>
      <c r="I56" s="534"/>
      <c r="J56" s="534"/>
      <c r="K56" s="535"/>
      <c r="L56" s="537"/>
      <c r="M56" s="534"/>
      <c r="N56" s="534"/>
      <c r="O56" s="534"/>
      <c r="P56" s="535"/>
      <c r="Q56" s="541"/>
      <c r="R56" s="542"/>
      <c r="S56" s="542"/>
      <c r="T56" s="542"/>
      <c r="U56" s="543"/>
      <c r="V56" s="541"/>
      <c r="W56" s="542"/>
      <c r="X56" s="542"/>
      <c r="Y56" s="542"/>
      <c r="Z56" s="543"/>
      <c r="AA56" s="470"/>
      <c r="AB56" s="471"/>
      <c r="AC56" s="471"/>
      <c r="AD56" s="471"/>
      <c r="AE56" s="485"/>
      <c r="AF56" s="523"/>
      <c r="AG56" s="471"/>
      <c r="AH56" s="471"/>
      <c r="AI56" s="471"/>
      <c r="AJ56" s="472"/>
      <c r="AK56" s="470"/>
      <c r="AL56" s="471"/>
      <c r="AM56" s="471"/>
      <c r="AN56" s="471"/>
      <c r="AO56" s="472"/>
      <c r="AP56" s="470"/>
      <c r="AQ56" s="471"/>
      <c r="AR56" s="471"/>
      <c r="AS56" s="471"/>
      <c r="AT56" s="472"/>
    </row>
    <row r="57" spans="2:46" ht="12.75" customHeight="1">
      <c r="B57" s="105"/>
      <c r="C57" s="82"/>
      <c r="D57" s="82"/>
      <c r="E57" s="526" t="s">
        <v>44</v>
      </c>
      <c r="F57" s="527"/>
      <c r="G57" s="81"/>
      <c r="H57" s="82"/>
      <c r="I57" s="82"/>
      <c r="J57" s="526" t="s">
        <v>449</v>
      </c>
      <c r="K57" s="527"/>
      <c r="L57" s="81"/>
      <c r="M57" s="82"/>
      <c r="N57" s="82"/>
      <c r="O57" s="526" t="s">
        <v>447</v>
      </c>
      <c r="P57" s="527"/>
      <c r="Q57" s="83"/>
      <c r="R57" s="84"/>
      <c r="S57" s="84"/>
      <c r="T57" s="528" t="s">
        <v>454</v>
      </c>
      <c r="U57" s="529"/>
      <c r="V57" s="83"/>
      <c r="W57" s="84"/>
      <c r="X57" s="84"/>
      <c r="Y57" s="528" t="s">
        <v>458</v>
      </c>
      <c r="Z57" s="529"/>
      <c r="AA57" s="69"/>
      <c r="AB57" s="70"/>
      <c r="AC57" s="70"/>
      <c r="AD57" s="489"/>
      <c r="AE57" s="495"/>
      <c r="AF57" s="70"/>
      <c r="AG57" s="70"/>
      <c r="AH57" s="70"/>
      <c r="AI57" s="489"/>
      <c r="AJ57" s="490"/>
      <c r="AK57" s="69"/>
      <c r="AL57" s="70"/>
      <c r="AM57" s="70"/>
      <c r="AN57" s="489"/>
      <c r="AO57" s="490"/>
      <c r="AP57" s="69"/>
      <c r="AQ57" s="70"/>
      <c r="AR57" s="70"/>
      <c r="AS57" s="489"/>
      <c r="AT57" s="490"/>
    </row>
    <row r="58" spans="2:46" ht="12.75" customHeight="1">
      <c r="B58" s="547" t="s">
        <v>286</v>
      </c>
      <c r="C58" s="548"/>
      <c r="D58" s="548"/>
      <c r="E58" s="548"/>
      <c r="F58" s="549"/>
      <c r="G58" s="550" t="s">
        <v>388</v>
      </c>
      <c r="H58" s="548"/>
      <c r="I58" s="548"/>
      <c r="J58" s="548"/>
      <c r="K58" s="549"/>
      <c r="L58" s="550" t="s">
        <v>293</v>
      </c>
      <c r="M58" s="548"/>
      <c r="N58" s="548"/>
      <c r="O58" s="548"/>
      <c r="P58" s="549"/>
      <c r="Q58" s="551" t="s">
        <v>397</v>
      </c>
      <c r="R58" s="552"/>
      <c r="S58" s="552"/>
      <c r="T58" s="552"/>
      <c r="U58" s="553"/>
      <c r="V58" s="551" t="s">
        <v>396</v>
      </c>
      <c r="W58" s="552"/>
      <c r="X58" s="552"/>
      <c r="Y58" s="552"/>
      <c r="Z58" s="553"/>
      <c r="AA58" s="467"/>
      <c r="AB58" s="468"/>
      <c r="AC58" s="468"/>
      <c r="AD58" s="468"/>
      <c r="AE58" s="491"/>
      <c r="AF58" s="522"/>
      <c r="AG58" s="468"/>
      <c r="AH58" s="468"/>
      <c r="AI58" s="468"/>
      <c r="AJ58" s="469"/>
      <c r="AK58" s="467"/>
      <c r="AL58" s="468"/>
      <c r="AM58" s="468"/>
      <c r="AN58" s="468"/>
      <c r="AO58" s="469"/>
      <c r="AP58" s="467"/>
      <c r="AQ58" s="468"/>
      <c r="AR58" s="468"/>
      <c r="AS58" s="468"/>
      <c r="AT58" s="469"/>
    </row>
    <row r="59" spans="2:46" ht="12.75" customHeight="1">
      <c r="B59" s="533"/>
      <c r="C59" s="534"/>
      <c r="D59" s="534"/>
      <c r="E59" s="534"/>
      <c r="F59" s="535"/>
      <c r="G59" s="537"/>
      <c r="H59" s="534"/>
      <c r="I59" s="534"/>
      <c r="J59" s="534"/>
      <c r="K59" s="535"/>
      <c r="L59" s="537"/>
      <c r="M59" s="534"/>
      <c r="N59" s="534"/>
      <c r="O59" s="534"/>
      <c r="P59" s="535"/>
      <c r="Q59" s="541"/>
      <c r="R59" s="542"/>
      <c r="S59" s="542"/>
      <c r="T59" s="542"/>
      <c r="U59" s="543"/>
      <c r="V59" s="541"/>
      <c r="W59" s="542"/>
      <c r="X59" s="542"/>
      <c r="Y59" s="542"/>
      <c r="Z59" s="543"/>
      <c r="AA59" s="470"/>
      <c r="AB59" s="471"/>
      <c r="AC59" s="471"/>
      <c r="AD59" s="471"/>
      <c r="AE59" s="485"/>
      <c r="AF59" s="523"/>
      <c r="AG59" s="471"/>
      <c r="AH59" s="471"/>
      <c r="AI59" s="471"/>
      <c r="AJ59" s="472"/>
      <c r="AK59" s="470"/>
      <c r="AL59" s="471"/>
      <c r="AM59" s="471"/>
      <c r="AN59" s="471"/>
      <c r="AO59" s="472"/>
      <c r="AP59" s="470"/>
      <c r="AQ59" s="471"/>
      <c r="AR59" s="471"/>
      <c r="AS59" s="471"/>
      <c r="AT59" s="472"/>
    </row>
    <row r="60" spans="2:46" ht="12.75" customHeight="1">
      <c r="B60" s="533"/>
      <c r="C60" s="534"/>
      <c r="D60" s="534"/>
      <c r="E60" s="534"/>
      <c r="F60" s="535"/>
      <c r="G60" s="537"/>
      <c r="H60" s="534"/>
      <c r="I60" s="534"/>
      <c r="J60" s="534"/>
      <c r="K60" s="535"/>
      <c r="L60" s="537"/>
      <c r="M60" s="534"/>
      <c r="N60" s="534"/>
      <c r="O60" s="534"/>
      <c r="P60" s="535"/>
      <c r="Q60" s="541"/>
      <c r="R60" s="542"/>
      <c r="S60" s="542"/>
      <c r="T60" s="542"/>
      <c r="U60" s="543"/>
      <c r="V60" s="541"/>
      <c r="W60" s="542"/>
      <c r="X60" s="542"/>
      <c r="Y60" s="542"/>
      <c r="Z60" s="543"/>
      <c r="AA60" s="470"/>
      <c r="AB60" s="471"/>
      <c r="AC60" s="471"/>
      <c r="AD60" s="471"/>
      <c r="AE60" s="485"/>
      <c r="AF60" s="523"/>
      <c r="AG60" s="471"/>
      <c r="AH60" s="471"/>
      <c r="AI60" s="471"/>
      <c r="AJ60" s="472"/>
      <c r="AK60" s="470"/>
      <c r="AL60" s="471"/>
      <c r="AM60" s="471"/>
      <c r="AN60" s="471"/>
      <c r="AO60" s="472"/>
      <c r="AP60" s="470"/>
      <c r="AQ60" s="471"/>
      <c r="AR60" s="471"/>
      <c r="AS60" s="471"/>
      <c r="AT60" s="472"/>
    </row>
    <row r="61" spans="2:46" ht="12.75" customHeight="1">
      <c r="B61" s="533"/>
      <c r="C61" s="534"/>
      <c r="D61" s="534"/>
      <c r="E61" s="534"/>
      <c r="F61" s="535"/>
      <c r="G61" s="537"/>
      <c r="H61" s="534"/>
      <c r="I61" s="534"/>
      <c r="J61" s="534"/>
      <c r="K61" s="535"/>
      <c r="L61" s="537"/>
      <c r="M61" s="534"/>
      <c r="N61" s="534"/>
      <c r="O61" s="534"/>
      <c r="P61" s="535"/>
      <c r="Q61" s="541"/>
      <c r="R61" s="542"/>
      <c r="S61" s="542"/>
      <c r="T61" s="542"/>
      <c r="U61" s="543"/>
      <c r="V61" s="541"/>
      <c r="W61" s="542"/>
      <c r="X61" s="542"/>
      <c r="Y61" s="542"/>
      <c r="Z61" s="543"/>
      <c r="AA61" s="470"/>
      <c r="AB61" s="471"/>
      <c r="AC61" s="471"/>
      <c r="AD61" s="471"/>
      <c r="AE61" s="485"/>
      <c r="AF61" s="523"/>
      <c r="AG61" s="471"/>
      <c r="AH61" s="471"/>
      <c r="AI61" s="471"/>
      <c r="AJ61" s="472"/>
      <c r="AK61" s="470"/>
      <c r="AL61" s="471"/>
      <c r="AM61" s="471"/>
      <c r="AN61" s="471"/>
      <c r="AO61" s="472"/>
      <c r="AP61" s="470"/>
      <c r="AQ61" s="471"/>
      <c r="AR61" s="471"/>
      <c r="AS61" s="471"/>
      <c r="AT61" s="472"/>
    </row>
    <row r="62" spans="2:46" ht="12.75" customHeight="1">
      <c r="B62" s="105"/>
      <c r="C62" s="82"/>
      <c r="D62" s="82"/>
      <c r="E62" s="526" t="s">
        <v>433</v>
      </c>
      <c r="F62" s="527"/>
      <c r="G62" s="81"/>
      <c r="H62" s="82"/>
      <c r="I62" s="82"/>
      <c r="J62" s="526" t="s">
        <v>450</v>
      </c>
      <c r="K62" s="527"/>
      <c r="L62" s="81"/>
      <c r="M62" s="82"/>
      <c r="N62" s="82"/>
      <c r="O62" s="526" t="s">
        <v>453</v>
      </c>
      <c r="P62" s="527"/>
      <c r="Q62" s="83"/>
      <c r="R62" s="84"/>
      <c r="S62" s="84"/>
      <c r="T62" s="528" t="s">
        <v>455</v>
      </c>
      <c r="U62" s="529"/>
      <c r="V62" s="83"/>
      <c r="W62" s="84"/>
      <c r="X62" s="84"/>
      <c r="Y62" s="528" t="s">
        <v>455</v>
      </c>
      <c r="Z62" s="529"/>
      <c r="AA62" s="69"/>
      <c r="AB62" s="70"/>
      <c r="AC62" s="70"/>
      <c r="AD62" s="489"/>
      <c r="AE62" s="495"/>
      <c r="AF62" s="70"/>
      <c r="AG62" s="70"/>
      <c r="AH62" s="70"/>
      <c r="AI62" s="489"/>
      <c r="AJ62" s="490"/>
      <c r="AK62" s="69"/>
      <c r="AL62" s="70"/>
      <c r="AM62" s="70"/>
      <c r="AN62" s="489"/>
      <c r="AO62" s="490"/>
      <c r="AP62" s="69"/>
      <c r="AQ62" s="70"/>
      <c r="AR62" s="70"/>
      <c r="AS62" s="489"/>
      <c r="AT62" s="490"/>
    </row>
    <row r="63" spans="2:46" ht="12.75" customHeight="1">
      <c r="B63" s="547" t="s">
        <v>207</v>
      </c>
      <c r="C63" s="548"/>
      <c r="D63" s="548"/>
      <c r="E63" s="548"/>
      <c r="F63" s="549"/>
      <c r="G63" s="550" t="s">
        <v>291</v>
      </c>
      <c r="H63" s="548"/>
      <c r="I63" s="548"/>
      <c r="J63" s="548"/>
      <c r="K63" s="549"/>
      <c r="L63" s="551" t="s">
        <v>295</v>
      </c>
      <c r="M63" s="552"/>
      <c r="N63" s="552"/>
      <c r="O63" s="552"/>
      <c r="P63" s="553"/>
      <c r="Q63" s="551" t="s">
        <v>394</v>
      </c>
      <c r="R63" s="552"/>
      <c r="S63" s="552"/>
      <c r="T63" s="552"/>
      <c r="U63" s="553"/>
      <c r="V63" s="551" t="s">
        <v>903</v>
      </c>
      <c r="W63" s="552"/>
      <c r="X63" s="552"/>
      <c r="Y63" s="552"/>
      <c r="Z63" s="553"/>
      <c r="AA63" s="467"/>
      <c r="AB63" s="468"/>
      <c r="AC63" s="468"/>
      <c r="AD63" s="468"/>
      <c r="AE63" s="491"/>
      <c r="AF63" s="522"/>
      <c r="AG63" s="468"/>
      <c r="AH63" s="468"/>
      <c r="AI63" s="468"/>
      <c r="AJ63" s="469"/>
      <c r="AK63" s="467"/>
      <c r="AL63" s="468"/>
      <c r="AM63" s="468"/>
      <c r="AN63" s="468"/>
      <c r="AO63" s="469"/>
      <c r="AP63" s="467"/>
      <c r="AQ63" s="468"/>
      <c r="AR63" s="468"/>
      <c r="AS63" s="468"/>
      <c r="AT63" s="469"/>
    </row>
    <row r="64" spans="2:46" ht="12.75" customHeight="1">
      <c r="B64" s="533"/>
      <c r="C64" s="534"/>
      <c r="D64" s="534"/>
      <c r="E64" s="534"/>
      <c r="F64" s="535"/>
      <c r="G64" s="537"/>
      <c r="H64" s="534"/>
      <c r="I64" s="534"/>
      <c r="J64" s="534"/>
      <c r="K64" s="535"/>
      <c r="L64" s="541"/>
      <c r="M64" s="542"/>
      <c r="N64" s="542"/>
      <c r="O64" s="542"/>
      <c r="P64" s="543"/>
      <c r="Q64" s="541"/>
      <c r="R64" s="542"/>
      <c r="S64" s="542"/>
      <c r="T64" s="542"/>
      <c r="U64" s="543"/>
      <c r="V64" s="541"/>
      <c r="W64" s="542"/>
      <c r="X64" s="542"/>
      <c r="Y64" s="542"/>
      <c r="Z64" s="543"/>
      <c r="AA64" s="470"/>
      <c r="AB64" s="471"/>
      <c r="AC64" s="471"/>
      <c r="AD64" s="471"/>
      <c r="AE64" s="485"/>
      <c r="AF64" s="523"/>
      <c r="AG64" s="471"/>
      <c r="AH64" s="471"/>
      <c r="AI64" s="471"/>
      <c r="AJ64" s="472"/>
      <c r="AK64" s="470"/>
      <c r="AL64" s="471"/>
      <c r="AM64" s="471"/>
      <c r="AN64" s="471"/>
      <c r="AO64" s="472"/>
      <c r="AP64" s="470"/>
      <c r="AQ64" s="471"/>
      <c r="AR64" s="471"/>
      <c r="AS64" s="471"/>
      <c r="AT64" s="472"/>
    </row>
    <row r="65" spans="2:46" ht="12.75" customHeight="1">
      <c r="B65" s="533"/>
      <c r="C65" s="534"/>
      <c r="D65" s="534"/>
      <c r="E65" s="534"/>
      <c r="F65" s="535"/>
      <c r="G65" s="537"/>
      <c r="H65" s="534"/>
      <c r="I65" s="534"/>
      <c r="J65" s="534"/>
      <c r="K65" s="535"/>
      <c r="L65" s="541"/>
      <c r="M65" s="542"/>
      <c r="N65" s="542"/>
      <c r="O65" s="542"/>
      <c r="P65" s="543"/>
      <c r="Q65" s="541"/>
      <c r="R65" s="542"/>
      <c r="S65" s="542"/>
      <c r="T65" s="542"/>
      <c r="U65" s="543"/>
      <c r="V65" s="541"/>
      <c r="W65" s="542"/>
      <c r="X65" s="542"/>
      <c r="Y65" s="542"/>
      <c r="Z65" s="543"/>
      <c r="AA65" s="470"/>
      <c r="AB65" s="471"/>
      <c r="AC65" s="471"/>
      <c r="AD65" s="471"/>
      <c r="AE65" s="485"/>
      <c r="AF65" s="523"/>
      <c r="AG65" s="471"/>
      <c r="AH65" s="471"/>
      <c r="AI65" s="471"/>
      <c r="AJ65" s="472"/>
      <c r="AK65" s="470"/>
      <c r="AL65" s="471"/>
      <c r="AM65" s="471"/>
      <c r="AN65" s="471"/>
      <c r="AO65" s="472"/>
      <c r="AP65" s="470"/>
      <c r="AQ65" s="471"/>
      <c r="AR65" s="471"/>
      <c r="AS65" s="471"/>
      <c r="AT65" s="472"/>
    </row>
    <row r="66" spans="2:46" ht="12.75" customHeight="1">
      <c r="B66" s="533"/>
      <c r="C66" s="534"/>
      <c r="D66" s="534"/>
      <c r="E66" s="534"/>
      <c r="F66" s="535"/>
      <c r="G66" s="537"/>
      <c r="H66" s="534"/>
      <c r="I66" s="534"/>
      <c r="J66" s="534"/>
      <c r="K66" s="535"/>
      <c r="L66" s="541"/>
      <c r="M66" s="542"/>
      <c r="N66" s="542"/>
      <c r="O66" s="542"/>
      <c r="P66" s="543"/>
      <c r="Q66" s="541"/>
      <c r="R66" s="542"/>
      <c r="S66" s="542"/>
      <c r="T66" s="542"/>
      <c r="U66" s="543"/>
      <c r="V66" s="541"/>
      <c r="W66" s="542"/>
      <c r="X66" s="542"/>
      <c r="Y66" s="542"/>
      <c r="Z66" s="543"/>
      <c r="AA66" s="470"/>
      <c r="AB66" s="471"/>
      <c r="AC66" s="471"/>
      <c r="AD66" s="471"/>
      <c r="AE66" s="485"/>
      <c r="AF66" s="523"/>
      <c r="AG66" s="471"/>
      <c r="AH66" s="471"/>
      <c r="AI66" s="471"/>
      <c r="AJ66" s="472"/>
      <c r="AK66" s="470"/>
      <c r="AL66" s="471"/>
      <c r="AM66" s="471"/>
      <c r="AN66" s="471"/>
      <c r="AO66" s="472"/>
      <c r="AP66" s="470"/>
      <c r="AQ66" s="471"/>
      <c r="AR66" s="471"/>
      <c r="AS66" s="471"/>
      <c r="AT66" s="472"/>
    </row>
    <row r="67" spans="2:46" ht="12.75" customHeight="1">
      <c r="B67" s="105"/>
      <c r="C67" s="82"/>
      <c r="D67" s="82"/>
      <c r="E67" s="526" t="s">
        <v>44</v>
      </c>
      <c r="F67" s="527"/>
      <c r="G67" s="81"/>
      <c r="H67" s="82"/>
      <c r="I67" s="82"/>
      <c r="J67" s="526" t="s">
        <v>451</v>
      </c>
      <c r="K67" s="527"/>
      <c r="L67" s="83"/>
      <c r="M67" s="84"/>
      <c r="N67" s="84"/>
      <c r="O67" s="528" t="s">
        <v>435</v>
      </c>
      <c r="P67" s="529"/>
      <c r="Q67" s="83"/>
      <c r="R67" s="84"/>
      <c r="S67" s="84"/>
      <c r="T67" s="528" t="s">
        <v>43</v>
      </c>
      <c r="U67" s="529"/>
      <c r="V67" s="83"/>
      <c r="W67" s="84"/>
      <c r="X67" s="84"/>
      <c r="Y67" s="528" t="s">
        <v>44</v>
      </c>
      <c r="Z67" s="529"/>
      <c r="AA67" s="69"/>
      <c r="AB67" s="70"/>
      <c r="AC67" s="70"/>
      <c r="AD67" s="489"/>
      <c r="AE67" s="495"/>
      <c r="AF67" s="70"/>
      <c r="AG67" s="70"/>
      <c r="AH67" s="70"/>
      <c r="AI67" s="489"/>
      <c r="AJ67" s="490"/>
      <c r="AK67" s="69"/>
      <c r="AL67" s="70"/>
      <c r="AM67" s="70"/>
      <c r="AN67" s="489"/>
      <c r="AO67" s="490"/>
      <c r="AP67" s="69"/>
      <c r="AQ67" s="70"/>
      <c r="AR67" s="70"/>
      <c r="AS67" s="489"/>
      <c r="AT67" s="490"/>
    </row>
    <row r="68" spans="2:46" ht="12.75" customHeight="1">
      <c r="B68" s="547" t="s">
        <v>283</v>
      </c>
      <c r="C68" s="548"/>
      <c r="D68" s="548"/>
      <c r="E68" s="548"/>
      <c r="F68" s="549"/>
      <c r="G68" s="550" t="s">
        <v>296</v>
      </c>
      <c r="H68" s="548"/>
      <c r="I68" s="548"/>
      <c r="J68" s="548"/>
      <c r="K68" s="549"/>
      <c r="L68" s="551" t="s">
        <v>399</v>
      </c>
      <c r="M68" s="552"/>
      <c r="N68" s="552"/>
      <c r="O68" s="552"/>
      <c r="P68" s="553"/>
      <c r="Q68" s="551" t="s">
        <v>2</v>
      </c>
      <c r="R68" s="552"/>
      <c r="S68" s="552"/>
      <c r="T68" s="552"/>
      <c r="U68" s="553"/>
      <c r="V68" s="554" t="s">
        <v>841</v>
      </c>
      <c r="W68" s="555"/>
      <c r="X68" s="555"/>
      <c r="Y68" s="555"/>
      <c r="Z68" s="556"/>
      <c r="AA68" s="467"/>
      <c r="AB68" s="468"/>
      <c r="AC68" s="468"/>
      <c r="AD68" s="468"/>
      <c r="AE68" s="491"/>
      <c r="AF68" s="522"/>
      <c r="AG68" s="468"/>
      <c r="AH68" s="468"/>
      <c r="AI68" s="468"/>
      <c r="AJ68" s="469"/>
      <c r="AK68" s="467"/>
      <c r="AL68" s="468"/>
      <c r="AM68" s="468"/>
      <c r="AN68" s="468"/>
      <c r="AO68" s="469"/>
      <c r="AP68" s="467"/>
      <c r="AQ68" s="468"/>
      <c r="AR68" s="468"/>
      <c r="AS68" s="468"/>
      <c r="AT68" s="469"/>
    </row>
    <row r="69" spans="2:46" ht="12.75" customHeight="1">
      <c r="B69" s="533"/>
      <c r="C69" s="534"/>
      <c r="D69" s="534"/>
      <c r="E69" s="534"/>
      <c r="F69" s="535"/>
      <c r="G69" s="537"/>
      <c r="H69" s="534"/>
      <c r="I69" s="534"/>
      <c r="J69" s="534"/>
      <c r="K69" s="535"/>
      <c r="L69" s="541"/>
      <c r="M69" s="542"/>
      <c r="N69" s="542"/>
      <c r="O69" s="542"/>
      <c r="P69" s="543"/>
      <c r="Q69" s="541"/>
      <c r="R69" s="542"/>
      <c r="S69" s="542"/>
      <c r="T69" s="542"/>
      <c r="U69" s="543"/>
      <c r="V69" s="482"/>
      <c r="W69" s="483"/>
      <c r="X69" s="483"/>
      <c r="Y69" s="483"/>
      <c r="Z69" s="484"/>
      <c r="AA69" s="470"/>
      <c r="AB69" s="471"/>
      <c r="AC69" s="471"/>
      <c r="AD69" s="471"/>
      <c r="AE69" s="485"/>
      <c r="AF69" s="523"/>
      <c r="AG69" s="471"/>
      <c r="AH69" s="471"/>
      <c r="AI69" s="471"/>
      <c r="AJ69" s="472"/>
      <c r="AK69" s="470"/>
      <c r="AL69" s="471"/>
      <c r="AM69" s="471"/>
      <c r="AN69" s="471"/>
      <c r="AO69" s="472"/>
      <c r="AP69" s="470"/>
      <c r="AQ69" s="471"/>
      <c r="AR69" s="471"/>
      <c r="AS69" s="471"/>
      <c r="AT69" s="472"/>
    </row>
    <row r="70" spans="2:46" ht="12.75" customHeight="1">
      <c r="B70" s="533"/>
      <c r="C70" s="534"/>
      <c r="D70" s="534"/>
      <c r="E70" s="534"/>
      <c r="F70" s="535"/>
      <c r="G70" s="537"/>
      <c r="H70" s="534"/>
      <c r="I70" s="534"/>
      <c r="J70" s="534"/>
      <c r="K70" s="535"/>
      <c r="L70" s="541"/>
      <c r="M70" s="542"/>
      <c r="N70" s="542"/>
      <c r="O70" s="542"/>
      <c r="P70" s="543"/>
      <c r="Q70" s="541"/>
      <c r="R70" s="542"/>
      <c r="S70" s="542"/>
      <c r="T70" s="542"/>
      <c r="U70" s="543"/>
      <c r="V70" s="482"/>
      <c r="W70" s="483"/>
      <c r="X70" s="483"/>
      <c r="Y70" s="483"/>
      <c r="Z70" s="484"/>
      <c r="AA70" s="470"/>
      <c r="AB70" s="471"/>
      <c r="AC70" s="471"/>
      <c r="AD70" s="471"/>
      <c r="AE70" s="485"/>
      <c r="AF70" s="523"/>
      <c r="AG70" s="471"/>
      <c r="AH70" s="471"/>
      <c r="AI70" s="471"/>
      <c r="AJ70" s="472"/>
      <c r="AK70" s="470"/>
      <c r="AL70" s="471"/>
      <c r="AM70" s="471"/>
      <c r="AN70" s="471"/>
      <c r="AO70" s="472"/>
      <c r="AP70" s="470"/>
      <c r="AQ70" s="471"/>
      <c r="AR70" s="471"/>
      <c r="AS70" s="471"/>
      <c r="AT70" s="472"/>
    </row>
    <row r="71" spans="2:46" ht="12.75" customHeight="1">
      <c r="B71" s="533"/>
      <c r="C71" s="534"/>
      <c r="D71" s="534"/>
      <c r="E71" s="534"/>
      <c r="F71" s="535"/>
      <c r="G71" s="537"/>
      <c r="H71" s="534"/>
      <c r="I71" s="534"/>
      <c r="J71" s="534"/>
      <c r="K71" s="535"/>
      <c r="L71" s="541"/>
      <c r="M71" s="542"/>
      <c r="N71" s="542"/>
      <c r="O71" s="542"/>
      <c r="P71" s="543"/>
      <c r="Q71" s="541"/>
      <c r="R71" s="542"/>
      <c r="S71" s="542"/>
      <c r="T71" s="542"/>
      <c r="U71" s="543"/>
      <c r="V71" s="482"/>
      <c r="W71" s="483"/>
      <c r="X71" s="483"/>
      <c r="Y71" s="483"/>
      <c r="Z71" s="484"/>
      <c r="AA71" s="470"/>
      <c r="AB71" s="471"/>
      <c r="AC71" s="471"/>
      <c r="AD71" s="471"/>
      <c r="AE71" s="485"/>
      <c r="AF71" s="523"/>
      <c r="AG71" s="471"/>
      <c r="AH71" s="471"/>
      <c r="AI71" s="471"/>
      <c r="AJ71" s="472"/>
      <c r="AK71" s="470"/>
      <c r="AL71" s="471"/>
      <c r="AM71" s="471"/>
      <c r="AN71" s="471"/>
      <c r="AO71" s="472"/>
      <c r="AP71" s="470"/>
      <c r="AQ71" s="471"/>
      <c r="AR71" s="471"/>
      <c r="AS71" s="471"/>
      <c r="AT71" s="472"/>
    </row>
    <row r="72" spans="2:46" ht="12.75" customHeight="1" thickBot="1">
      <c r="B72" s="106"/>
      <c r="C72" s="107"/>
      <c r="D72" s="107"/>
      <c r="E72" s="563" t="s">
        <v>447</v>
      </c>
      <c r="F72" s="564"/>
      <c r="G72" s="108"/>
      <c r="H72" s="107"/>
      <c r="I72" s="107"/>
      <c r="J72" s="563" t="s">
        <v>44</v>
      </c>
      <c r="K72" s="564"/>
      <c r="L72" s="111"/>
      <c r="M72" s="110"/>
      <c r="N72" s="110"/>
      <c r="O72" s="565" t="s">
        <v>448</v>
      </c>
      <c r="P72" s="566"/>
      <c r="Q72" s="111"/>
      <c r="R72" s="110"/>
      <c r="S72" s="110"/>
      <c r="T72" s="565" t="s">
        <v>452</v>
      </c>
      <c r="U72" s="566"/>
      <c r="V72" s="320"/>
      <c r="W72" s="321"/>
      <c r="X72" s="321"/>
      <c r="Y72" s="567" t="s">
        <v>911</v>
      </c>
      <c r="Z72" s="568"/>
      <c r="AA72" s="104"/>
      <c r="AB72" s="103"/>
      <c r="AC72" s="103"/>
      <c r="AD72" s="496"/>
      <c r="AE72" s="497"/>
      <c r="AF72" s="70"/>
      <c r="AG72" s="70"/>
      <c r="AH72" s="70"/>
      <c r="AI72" s="489"/>
      <c r="AJ72" s="490"/>
      <c r="AK72" s="69"/>
      <c r="AL72" s="70"/>
      <c r="AM72" s="70"/>
      <c r="AN72" s="489"/>
      <c r="AO72" s="490"/>
      <c r="AP72" s="69"/>
      <c r="AQ72" s="70"/>
      <c r="AR72" s="70"/>
      <c r="AS72" s="489"/>
      <c r="AT72" s="490"/>
    </row>
    <row r="73" spans="2:46" ht="15" thickBot="1"/>
    <row r="74" spans="2:46" ht="12.75" customHeight="1">
      <c r="B74" s="524" t="s">
        <v>331</v>
      </c>
      <c r="C74" s="475"/>
      <c r="D74" s="475"/>
      <c r="E74" s="475"/>
      <c r="F74" s="504"/>
      <c r="G74" s="557" t="str">
        <f>CaisseBoutonGroupe2</f>
        <v>Viennoiserie</v>
      </c>
      <c r="H74" s="558"/>
      <c r="I74" s="558"/>
      <c r="J74" s="558"/>
      <c r="K74" s="559"/>
      <c r="L74" s="520" t="str">
        <f>CaisseBoutonGroupe3</f>
        <v>Patisserie</v>
      </c>
      <c r="M74" s="499"/>
      <c r="N74" s="499"/>
      <c r="O74" s="499"/>
      <c r="P74" s="500"/>
      <c r="Q74" s="474" t="str">
        <f>CaisseBoutonGroupe4</f>
        <v>Traiteur</v>
      </c>
      <c r="R74" s="475"/>
      <c r="S74" s="475"/>
      <c r="T74" s="475"/>
      <c r="U74" s="504"/>
      <c r="V74" s="474" t="str">
        <f>CaisseBoutonGroupe5</f>
        <v>Crêperie</v>
      </c>
      <c r="W74" s="475"/>
      <c r="X74" s="475"/>
      <c r="Y74" s="475"/>
      <c r="Z74" s="504"/>
      <c r="AA74" s="474" t="str">
        <f>CaisseBoutonGroupe6</f>
        <v>Boisson</v>
      </c>
      <c r="AB74" s="475"/>
      <c r="AC74" s="475"/>
      <c r="AD74" s="475"/>
      <c r="AE74" s="476"/>
      <c r="AF74" s="192"/>
      <c r="AG74" s="192"/>
      <c r="AH74" s="192"/>
      <c r="AI74" s="192"/>
      <c r="AJ74" s="192"/>
      <c r="AK74" s="192"/>
      <c r="AL74" s="192"/>
      <c r="AM74" s="192"/>
      <c r="AN74" s="192"/>
      <c r="AO74" s="193"/>
      <c r="AP74" s="192"/>
      <c r="AQ74" s="192"/>
      <c r="AR74" s="192"/>
      <c r="AS74" s="192"/>
      <c r="AT74" s="193"/>
    </row>
    <row r="75" spans="2:46" ht="12.75" customHeight="1">
      <c r="B75" s="525"/>
      <c r="C75" s="465"/>
      <c r="D75" s="465"/>
      <c r="E75" s="465"/>
      <c r="F75" s="466"/>
      <c r="G75" s="560"/>
      <c r="H75" s="561"/>
      <c r="I75" s="561"/>
      <c r="J75" s="561"/>
      <c r="K75" s="562"/>
      <c r="L75" s="521"/>
      <c r="M75" s="502"/>
      <c r="N75" s="502"/>
      <c r="O75" s="502"/>
      <c r="P75" s="503"/>
      <c r="Q75" s="464"/>
      <c r="R75" s="465"/>
      <c r="S75" s="465"/>
      <c r="T75" s="465"/>
      <c r="U75" s="466"/>
      <c r="V75" s="464"/>
      <c r="W75" s="465"/>
      <c r="X75" s="465"/>
      <c r="Y75" s="465"/>
      <c r="Z75" s="466"/>
      <c r="AA75" s="464"/>
      <c r="AB75" s="465"/>
      <c r="AC75" s="465"/>
      <c r="AD75" s="465"/>
      <c r="AE75" s="477"/>
      <c r="AF75" s="194"/>
      <c r="AG75" s="473" t="str">
        <f>L74</f>
        <v>Patisserie</v>
      </c>
      <c r="AH75" s="473"/>
      <c r="AI75" s="473"/>
      <c r="AJ75" s="473"/>
      <c r="AK75" s="473"/>
      <c r="AL75" s="473"/>
      <c r="AM75" s="473"/>
      <c r="AN75" s="473"/>
      <c r="AO75" s="195"/>
      <c r="AP75" s="194"/>
      <c r="AQ75" s="194"/>
      <c r="AR75" s="194"/>
      <c r="AS75" s="194"/>
      <c r="AT75" s="195"/>
    </row>
    <row r="76" spans="2:46" ht="12.75" customHeight="1">
      <c r="B76" s="525"/>
      <c r="C76" s="465"/>
      <c r="D76" s="465"/>
      <c r="E76" s="465"/>
      <c r="F76" s="466"/>
      <c r="G76" s="560"/>
      <c r="H76" s="561"/>
      <c r="I76" s="561"/>
      <c r="J76" s="561"/>
      <c r="K76" s="562"/>
      <c r="L76" s="521"/>
      <c r="M76" s="502"/>
      <c r="N76" s="502"/>
      <c r="O76" s="502"/>
      <c r="P76" s="503"/>
      <c r="Q76" s="464"/>
      <c r="R76" s="465"/>
      <c r="S76" s="465"/>
      <c r="T76" s="465"/>
      <c r="U76" s="466"/>
      <c r="V76" s="464"/>
      <c r="W76" s="465"/>
      <c r="X76" s="465"/>
      <c r="Y76" s="465"/>
      <c r="Z76" s="466"/>
      <c r="AA76" s="464"/>
      <c r="AB76" s="465"/>
      <c r="AC76" s="465"/>
      <c r="AD76" s="465"/>
      <c r="AE76" s="477"/>
      <c r="AF76" s="194"/>
      <c r="AG76" s="473"/>
      <c r="AH76" s="473"/>
      <c r="AI76" s="473"/>
      <c r="AJ76" s="473"/>
      <c r="AK76" s="473"/>
      <c r="AL76" s="473"/>
      <c r="AM76" s="473"/>
      <c r="AN76" s="473"/>
      <c r="AO76" s="195"/>
      <c r="AP76" s="194"/>
      <c r="AQ76" s="194"/>
      <c r="AR76" s="194"/>
      <c r="AS76" s="194"/>
      <c r="AT76" s="195"/>
    </row>
    <row r="77" spans="2:46" ht="12.75" customHeight="1">
      <c r="B77" s="525"/>
      <c r="C77" s="465"/>
      <c r="D77" s="465"/>
      <c r="E77" s="465"/>
      <c r="F77" s="466"/>
      <c r="G77" s="560"/>
      <c r="H77" s="561"/>
      <c r="I77" s="561"/>
      <c r="J77" s="561"/>
      <c r="K77" s="562"/>
      <c r="L77" s="521"/>
      <c r="M77" s="502"/>
      <c r="N77" s="502"/>
      <c r="O77" s="502"/>
      <c r="P77" s="503"/>
      <c r="Q77" s="464"/>
      <c r="R77" s="465"/>
      <c r="S77" s="465"/>
      <c r="T77" s="465"/>
      <c r="U77" s="466"/>
      <c r="V77" s="464"/>
      <c r="W77" s="465"/>
      <c r="X77" s="465"/>
      <c r="Y77" s="465"/>
      <c r="Z77" s="466"/>
      <c r="AA77" s="464"/>
      <c r="AB77" s="465"/>
      <c r="AC77" s="465"/>
      <c r="AD77" s="465"/>
      <c r="AE77" s="477"/>
      <c r="AF77" s="194"/>
      <c r="AG77" s="194"/>
      <c r="AH77" s="194"/>
      <c r="AI77" s="194"/>
      <c r="AJ77" s="194"/>
      <c r="AK77" s="194"/>
      <c r="AL77" s="194"/>
      <c r="AM77" s="194"/>
      <c r="AN77" s="194"/>
      <c r="AO77" s="195"/>
      <c r="AP77" s="194"/>
      <c r="AQ77" s="194"/>
      <c r="AR77" s="194"/>
      <c r="AS77" s="194"/>
      <c r="AT77" s="195"/>
    </row>
    <row r="78" spans="2:46" ht="12.75" customHeight="1" thickBot="1">
      <c r="B78" s="196"/>
      <c r="C78" s="197"/>
      <c r="D78" s="197"/>
      <c r="E78" s="197"/>
      <c r="F78" s="197"/>
      <c r="G78" s="198"/>
      <c r="H78" s="197"/>
      <c r="I78" s="197"/>
      <c r="J78" s="197"/>
      <c r="K78" s="197"/>
      <c r="L78" s="198"/>
      <c r="M78" s="197"/>
      <c r="N78" s="197"/>
      <c r="O78" s="197"/>
      <c r="P78" s="197"/>
      <c r="Q78" s="198"/>
      <c r="R78" s="197"/>
      <c r="S78" s="197"/>
      <c r="T78" s="197"/>
      <c r="U78" s="197"/>
      <c r="V78" s="198"/>
      <c r="W78" s="197"/>
      <c r="X78" s="197"/>
      <c r="Y78" s="197"/>
      <c r="Z78" s="197"/>
      <c r="AA78" s="198"/>
      <c r="AB78" s="197"/>
      <c r="AC78" s="197"/>
      <c r="AD78" s="197"/>
      <c r="AE78" s="199"/>
      <c r="AF78" s="200"/>
      <c r="AG78" s="200"/>
      <c r="AH78" s="200"/>
      <c r="AI78" s="200"/>
      <c r="AJ78" s="200"/>
      <c r="AK78" s="200"/>
      <c r="AL78" s="200"/>
      <c r="AM78" s="200"/>
      <c r="AN78" s="200"/>
      <c r="AO78" s="201"/>
      <c r="AP78" s="200"/>
      <c r="AQ78" s="200"/>
      <c r="AR78" s="200"/>
      <c r="AS78" s="200"/>
      <c r="AT78" s="201"/>
    </row>
    <row r="79" spans="2:46" ht="12.75" customHeight="1">
      <c r="B79" s="584" t="s">
        <v>5</v>
      </c>
      <c r="C79" s="585"/>
      <c r="D79" s="585"/>
      <c r="E79" s="585"/>
      <c r="F79" s="586"/>
      <c r="G79" s="590" t="s">
        <v>913</v>
      </c>
      <c r="H79" s="585"/>
      <c r="I79" s="585"/>
      <c r="J79" s="585"/>
      <c r="K79" s="586"/>
      <c r="L79" s="590" t="s">
        <v>233</v>
      </c>
      <c r="M79" s="585"/>
      <c r="N79" s="585"/>
      <c r="O79" s="585"/>
      <c r="P79" s="586"/>
      <c r="Q79" s="590" t="s">
        <v>6</v>
      </c>
      <c r="R79" s="585"/>
      <c r="S79" s="585"/>
      <c r="T79" s="585"/>
      <c r="U79" s="586"/>
      <c r="V79" s="592" t="s">
        <v>1432</v>
      </c>
      <c r="W79" s="593"/>
      <c r="X79" s="593"/>
      <c r="Y79" s="593"/>
      <c r="Z79" s="594"/>
      <c r="AA79" s="598" t="s">
        <v>204</v>
      </c>
      <c r="AB79" s="599"/>
      <c r="AC79" s="599"/>
      <c r="AD79" s="599"/>
      <c r="AE79" s="600"/>
      <c r="AF79" s="569" t="s">
        <v>163</v>
      </c>
      <c r="AG79" s="570"/>
      <c r="AH79" s="570"/>
      <c r="AI79" s="570"/>
      <c r="AJ79" s="571"/>
      <c r="AK79" s="575" t="s">
        <v>905</v>
      </c>
      <c r="AL79" s="570"/>
      <c r="AM79" s="570"/>
      <c r="AN79" s="570"/>
      <c r="AO79" s="571"/>
      <c r="AP79" s="575" t="s">
        <v>1401</v>
      </c>
      <c r="AQ79" s="570"/>
      <c r="AR79" s="570"/>
      <c r="AS79" s="570"/>
      <c r="AT79" s="571"/>
    </row>
    <row r="80" spans="2:46" ht="12.75" customHeight="1">
      <c r="B80" s="587"/>
      <c r="C80" s="588"/>
      <c r="D80" s="588"/>
      <c r="E80" s="588"/>
      <c r="F80" s="589"/>
      <c r="G80" s="591"/>
      <c r="H80" s="588"/>
      <c r="I80" s="588"/>
      <c r="J80" s="588"/>
      <c r="K80" s="589"/>
      <c r="L80" s="591"/>
      <c r="M80" s="588"/>
      <c r="N80" s="588"/>
      <c r="O80" s="588"/>
      <c r="P80" s="589"/>
      <c r="Q80" s="591"/>
      <c r="R80" s="588"/>
      <c r="S80" s="588"/>
      <c r="T80" s="588"/>
      <c r="U80" s="589"/>
      <c r="V80" s="595"/>
      <c r="W80" s="596"/>
      <c r="X80" s="596"/>
      <c r="Y80" s="596"/>
      <c r="Z80" s="597"/>
      <c r="AA80" s="576"/>
      <c r="AB80" s="573"/>
      <c r="AC80" s="573"/>
      <c r="AD80" s="573"/>
      <c r="AE80" s="601"/>
      <c r="AF80" s="572"/>
      <c r="AG80" s="573"/>
      <c r="AH80" s="573"/>
      <c r="AI80" s="573"/>
      <c r="AJ80" s="574"/>
      <c r="AK80" s="576"/>
      <c r="AL80" s="573"/>
      <c r="AM80" s="573"/>
      <c r="AN80" s="573"/>
      <c r="AO80" s="574"/>
      <c r="AP80" s="576"/>
      <c r="AQ80" s="573"/>
      <c r="AR80" s="573"/>
      <c r="AS80" s="573"/>
      <c r="AT80" s="574"/>
    </row>
    <row r="81" spans="2:46" ht="12.75" customHeight="1">
      <c r="B81" s="587"/>
      <c r="C81" s="588"/>
      <c r="D81" s="588"/>
      <c r="E81" s="588"/>
      <c r="F81" s="589"/>
      <c r="G81" s="591"/>
      <c r="H81" s="588"/>
      <c r="I81" s="588"/>
      <c r="J81" s="588"/>
      <c r="K81" s="589"/>
      <c r="L81" s="591"/>
      <c r="M81" s="588"/>
      <c r="N81" s="588"/>
      <c r="O81" s="588"/>
      <c r="P81" s="589"/>
      <c r="Q81" s="591"/>
      <c r="R81" s="588"/>
      <c r="S81" s="588"/>
      <c r="T81" s="588"/>
      <c r="U81" s="589"/>
      <c r="V81" s="595"/>
      <c r="W81" s="596"/>
      <c r="X81" s="596"/>
      <c r="Y81" s="596"/>
      <c r="Z81" s="597"/>
      <c r="AA81" s="576"/>
      <c r="AB81" s="573"/>
      <c r="AC81" s="573"/>
      <c r="AD81" s="573"/>
      <c r="AE81" s="601"/>
      <c r="AF81" s="572"/>
      <c r="AG81" s="573"/>
      <c r="AH81" s="573"/>
      <c r="AI81" s="573"/>
      <c r="AJ81" s="574"/>
      <c r="AK81" s="576"/>
      <c r="AL81" s="573"/>
      <c r="AM81" s="573"/>
      <c r="AN81" s="573"/>
      <c r="AO81" s="574"/>
      <c r="AP81" s="576"/>
      <c r="AQ81" s="573"/>
      <c r="AR81" s="573"/>
      <c r="AS81" s="573"/>
      <c r="AT81" s="574"/>
    </row>
    <row r="82" spans="2:46" ht="12.75" customHeight="1">
      <c r="B82" s="587"/>
      <c r="C82" s="588"/>
      <c r="D82" s="588"/>
      <c r="E82" s="588"/>
      <c r="F82" s="589"/>
      <c r="G82" s="591"/>
      <c r="H82" s="588"/>
      <c r="I82" s="588"/>
      <c r="J82" s="588"/>
      <c r="K82" s="589"/>
      <c r="L82" s="591"/>
      <c r="M82" s="588"/>
      <c r="N82" s="588"/>
      <c r="O82" s="588"/>
      <c r="P82" s="589"/>
      <c r="Q82" s="591"/>
      <c r="R82" s="588"/>
      <c r="S82" s="588"/>
      <c r="T82" s="588"/>
      <c r="U82" s="589"/>
      <c r="V82" s="595"/>
      <c r="W82" s="596"/>
      <c r="X82" s="596"/>
      <c r="Y82" s="596"/>
      <c r="Z82" s="597"/>
      <c r="AA82" s="576"/>
      <c r="AB82" s="573"/>
      <c r="AC82" s="573"/>
      <c r="AD82" s="573"/>
      <c r="AE82" s="601"/>
      <c r="AF82" s="572"/>
      <c r="AG82" s="573"/>
      <c r="AH82" s="573"/>
      <c r="AI82" s="573"/>
      <c r="AJ82" s="574"/>
      <c r="AK82" s="576"/>
      <c r="AL82" s="573"/>
      <c r="AM82" s="573"/>
      <c r="AN82" s="573"/>
      <c r="AO82" s="574"/>
      <c r="AP82" s="576"/>
      <c r="AQ82" s="573"/>
      <c r="AR82" s="573"/>
      <c r="AS82" s="573"/>
      <c r="AT82" s="574"/>
    </row>
    <row r="83" spans="2:46" ht="12.75" customHeight="1">
      <c r="B83" s="112"/>
      <c r="C83" s="86"/>
      <c r="D83" s="86"/>
      <c r="E83" s="577" t="s">
        <v>459</v>
      </c>
      <c r="F83" s="578"/>
      <c r="G83" s="85"/>
      <c r="H83" s="86"/>
      <c r="I83" s="86"/>
      <c r="J83" s="577" t="s">
        <v>460</v>
      </c>
      <c r="K83" s="578"/>
      <c r="L83" s="85"/>
      <c r="M83" s="86"/>
      <c r="N83" s="86"/>
      <c r="O83" s="577" t="s">
        <v>461</v>
      </c>
      <c r="P83" s="578"/>
      <c r="Q83" s="85"/>
      <c r="R83" s="86"/>
      <c r="S83" s="86"/>
      <c r="T83" s="577" t="s">
        <v>452</v>
      </c>
      <c r="U83" s="578"/>
      <c r="V83" s="87"/>
      <c r="W83" s="88"/>
      <c r="X83" s="88"/>
      <c r="Y83" s="579" t="s">
        <v>461</v>
      </c>
      <c r="Z83" s="580"/>
      <c r="AA83" s="89"/>
      <c r="AB83" s="90"/>
      <c r="AC83" s="90"/>
      <c r="AD83" s="581" t="s">
        <v>463</v>
      </c>
      <c r="AE83" s="582"/>
      <c r="AF83" s="90"/>
      <c r="AG83" s="90"/>
      <c r="AH83" s="90"/>
      <c r="AI83" s="581" t="s">
        <v>467</v>
      </c>
      <c r="AJ83" s="583"/>
      <c r="AK83" s="89"/>
      <c r="AL83" s="90"/>
      <c r="AM83" s="90"/>
      <c r="AN83" s="581" t="s">
        <v>912</v>
      </c>
      <c r="AO83" s="583"/>
      <c r="AP83" s="89"/>
      <c r="AQ83" s="90"/>
      <c r="AR83" s="90"/>
      <c r="AS83" s="581" t="s">
        <v>1893</v>
      </c>
      <c r="AT83" s="583"/>
    </row>
    <row r="84" spans="2:46" ht="12.75" customHeight="1">
      <c r="B84" s="602" t="s">
        <v>235</v>
      </c>
      <c r="C84" s="603"/>
      <c r="D84" s="603"/>
      <c r="E84" s="603"/>
      <c r="F84" s="604"/>
      <c r="G84" s="605" t="s">
        <v>419</v>
      </c>
      <c r="H84" s="603"/>
      <c r="I84" s="603"/>
      <c r="J84" s="603"/>
      <c r="K84" s="604"/>
      <c r="L84" s="605" t="s">
        <v>236</v>
      </c>
      <c r="M84" s="603"/>
      <c r="N84" s="603"/>
      <c r="O84" s="603"/>
      <c r="P84" s="604"/>
      <c r="Q84" s="605" t="s">
        <v>1442</v>
      </c>
      <c r="R84" s="603"/>
      <c r="S84" s="603"/>
      <c r="T84" s="603"/>
      <c r="U84" s="604"/>
      <c r="V84" s="606" t="s">
        <v>229</v>
      </c>
      <c r="W84" s="607"/>
      <c r="X84" s="607"/>
      <c r="Y84" s="607"/>
      <c r="Z84" s="608"/>
      <c r="AA84" s="575" t="s">
        <v>205</v>
      </c>
      <c r="AB84" s="570"/>
      <c r="AC84" s="570"/>
      <c r="AD84" s="570"/>
      <c r="AE84" s="609"/>
      <c r="AF84" s="569" t="s">
        <v>164</v>
      </c>
      <c r="AG84" s="570"/>
      <c r="AH84" s="570"/>
      <c r="AI84" s="570"/>
      <c r="AJ84" s="571"/>
      <c r="AK84" s="575" t="s">
        <v>905</v>
      </c>
      <c r="AL84" s="570"/>
      <c r="AM84" s="570"/>
      <c r="AN84" s="570"/>
      <c r="AO84" s="571"/>
      <c r="AP84" s="575" t="s">
        <v>1402</v>
      </c>
      <c r="AQ84" s="570"/>
      <c r="AR84" s="570"/>
      <c r="AS84" s="570"/>
      <c r="AT84" s="571"/>
    </row>
    <row r="85" spans="2:46" ht="12.75" customHeight="1">
      <c r="B85" s="587"/>
      <c r="C85" s="588"/>
      <c r="D85" s="588"/>
      <c r="E85" s="588"/>
      <c r="F85" s="589"/>
      <c r="G85" s="591"/>
      <c r="H85" s="588"/>
      <c r="I85" s="588"/>
      <c r="J85" s="588"/>
      <c r="K85" s="589"/>
      <c r="L85" s="591"/>
      <c r="M85" s="588"/>
      <c r="N85" s="588"/>
      <c r="O85" s="588"/>
      <c r="P85" s="589"/>
      <c r="Q85" s="591"/>
      <c r="R85" s="588"/>
      <c r="S85" s="588"/>
      <c r="T85" s="588"/>
      <c r="U85" s="589"/>
      <c r="V85" s="595"/>
      <c r="W85" s="596"/>
      <c r="X85" s="596"/>
      <c r="Y85" s="596"/>
      <c r="Z85" s="597"/>
      <c r="AA85" s="576"/>
      <c r="AB85" s="573"/>
      <c r="AC85" s="573"/>
      <c r="AD85" s="573"/>
      <c r="AE85" s="601"/>
      <c r="AF85" s="572"/>
      <c r="AG85" s="573"/>
      <c r="AH85" s="573"/>
      <c r="AI85" s="573"/>
      <c r="AJ85" s="574"/>
      <c r="AK85" s="576"/>
      <c r="AL85" s="573"/>
      <c r="AM85" s="573"/>
      <c r="AN85" s="573"/>
      <c r="AO85" s="574"/>
      <c r="AP85" s="576"/>
      <c r="AQ85" s="573"/>
      <c r="AR85" s="573"/>
      <c r="AS85" s="573"/>
      <c r="AT85" s="574"/>
    </row>
    <row r="86" spans="2:46" ht="12.75" customHeight="1">
      <c r="B86" s="587"/>
      <c r="C86" s="588"/>
      <c r="D86" s="588"/>
      <c r="E86" s="588"/>
      <c r="F86" s="589"/>
      <c r="G86" s="591"/>
      <c r="H86" s="588"/>
      <c r="I86" s="588"/>
      <c r="J86" s="588"/>
      <c r="K86" s="589"/>
      <c r="L86" s="591"/>
      <c r="M86" s="588"/>
      <c r="N86" s="588"/>
      <c r="O86" s="588"/>
      <c r="P86" s="589"/>
      <c r="Q86" s="591"/>
      <c r="R86" s="588"/>
      <c r="S86" s="588"/>
      <c r="T86" s="588"/>
      <c r="U86" s="589"/>
      <c r="V86" s="595"/>
      <c r="W86" s="596"/>
      <c r="X86" s="596"/>
      <c r="Y86" s="596"/>
      <c r="Z86" s="597"/>
      <c r="AA86" s="576"/>
      <c r="AB86" s="573"/>
      <c r="AC86" s="573"/>
      <c r="AD86" s="573"/>
      <c r="AE86" s="601"/>
      <c r="AF86" s="572"/>
      <c r="AG86" s="573"/>
      <c r="AH86" s="573"/>
      <c r="AI86" s="573"/>
      <c r="AJ86" s="574"/>
      <c r="AK86" s="576"/>
      <c r="AL86" s="573"/>
      <c r="AM86" s="573"/>
      <c r="AN86" s="573"/>
      <c r="AO86" s="574"/>
      <c r="AP86" s="576"/>
      <c r="AQ86" s="573"/>
      <c r="AR86" s="573"/>
      <c r="AS86" s="573"/>
      <c r="AT86" s="574"/>
    </row>
    <row r="87" spans="2:46" ht="12.75" customHeight="1">
      <c r="B87" s="587"/>
      <c r="C87" s="588"/>
      <c r="D87" s="588"/>
      <c r="E87" s="588"/>
      <c r="F87" s="589"/>
      <c r="G87" s="591"/>
      <c r="H87" s="588"/>
      <c r="I87" s="588"/>
      <c r="J87" s="588"/>
      <c r="K87" s="589"/>
      <c r="L87" s="591"/>
      <c r="M87" s="588"/>
      <c r="N87" s="588"/>
      <c r="O87" s="588"/>
      <c r="P87" s="589"/>
      <c r="Q87" s="591"/>
      <c r="R87" s="588"/>
      <c r="S87" s="588"/>
      <c r="T87" s="588"/>
      <c r="U87" s="589"/>
      <c r="V87" s="595"/>
      <c r="W87" s="596"/>
      <c r="X87" s="596"/>
      <c r="Y87" s="596"/>
      <c r="Z87" s="597"/>
      <c r="AA87" s="576"/>
      <c r="AB87" s="573"/>
      <c r="AC87" s="573"/>
      <c r="AD87" s="573"/>
      <c r="AE87" s="601"/>
      <c r="AF87" s="572"/>
      <c r="AG87" s="573"/>
      <c r="AH87" s="573"/>
      <c r="AI87" s="573"/>
      <c r="AJ87" s="574"/>
      <c r="AK87" s="576"/>
      <c r="AL87" s="573"/>
      <c r="AM87" s="573"/>
      <c r="AN87" s="573"/>
      <c r="AO87" s="574"/>
      <c r="AP87" s="576"/>
      <c r="AQ87" s="573"/>
      <c r="AR87" s="573"/>
      <c r="AS87" s="573"/>
      <c r="AT87" s="574"/>
    </row>
    <row r="88" spans="2:46" ht="12.75" customHeight="1">
      <c r="B88" s="112"/>
      <c r="C88" s="86"/>
      <c r="D88" s="86"/>
      <c r="E88" s="577" t="s">
        <v>452</v>
      </c>
      <c r="F88" s="578"/>
      <c r="G88" s="85"/>
      <c r="H88" s="86"/>
      <c r="I88" s="86"/>
      <c r="J88" s="577" t="s">
        <v>454</v>
      </c>
      <c r="K88" s="578"/>
      <c r="L88" s="85"/>
      <c r="M88" s="86"/>
      <c r="N88" s="86"/>
      <c r="O88" s="577" t="s">
        <v>454</v>
      </c>
      <c r="P88" s="578"/>
      <c r="Q88" s="85"/>
      <c r="R88" s="86"/>
      <c r="S88" s="86"/>
      <c r="T88" s="577" t="s">
        <v>1891</v>
      </c>
      <c r="U88" s="578"/>
      <c r="V88" s="87"/>
      <c r="W88" s="88"/>
      <c r="X88" s="88"/>
      <c r="Y88" s="579" t="s">
        <v>462</v>
      </c>
      <c r="Z88" s="580"/>
      <c r="AA88" s="89"/>
      <c r="AB88" s="90"/>
      <c r="AC88" s="90"/>
      <c r="AD88" s="581" t="s">
        <v>464</v>
      </c>
      <c r="AE88" s="582"/>
      <c r="AF88" s="90"/>
      <c r="AG88" s="90"/>
      <c r="AH88" s="90"/>
      <c r="AI88" s="581" t="s">
        <v>468</v>
      </c>
      <c r="AJ88" s="583"/>
      <c r="AK88" s="89"/>
      <c r="AL88" s="90"/>
      <c r="AM88" s="90"/>
      <c r="AN88" s="581" t="s">
        <v>912</v>
      </c>
      <c r="AO88" s="583"/>
      <c r="AP88" s="89"/>
      <c r="AQ88" s="90"/>
      <c r="AR88" s="90"/>
      <c r="AS88" s="581" t="s">
        <v>1894</v>
      </c>
      <c r="AT88" s="583"/>
    </row>
    <row r="89" spans="2:46" ht="12.75" customHeight="1">
      <c r="B89" s="602" t="s">
        <v>413</v>
      </c>
      <c r="C89" s="603"/>
      <c r="D89" s="603"/>
      <c r="E89" s="603"/>
      <c r="F89" s="604"/>
      <c r="G89" s="605" t="s">
        <v>414</v>
      </c>
      <c r="H89" s="603"/>
      <c r="I89" s="603"/>
      <c r="J89" s="603"/>
      <c r="K89" s="604"/>
      <c r="L89" s="605" t="s">
        <v>269</v>
      </c>
      <c r="M89" s="603"/>
      <c r="N89" s="603"/>
      <c r="O89" s="603"/>
      <c r="P89" s="604"/>
      <c r="Q89" s="605" t="s">
        <v>1443</v>
      </c>
      <c r="R89" s="603"/>
      <c r="S89" s="603"/>
      <c r="T89" s="603"/>
      <c r="U89" s="604"/>
      <c r="V89" s="575" t="s">
        <v>204</v>
      </c>
      <c r="W89" s="570"/>
      <c r="X89" s="570"/>
      <c r="Y89" s="570"/>
      <c r="Z89" s="571"/>
      <c r="AA89" s="575" t="s">
        <v>165</v>
      </c>
      <c r="AB89" s="570"/>
      <c r="AC89" s="570"/>
      <c r="AD89" s="570"/>
      <c r="AE89" s="609"/>
      <c r="AF89" s="569" t="s">
        <v>904</v>
      </c>
      <c r="AG89" s="570"/>
      <c r="AH89" s="570"/>
      <c r="AI89" s="570"/>
      <c r="AJ89" s="571"/>
      <c r="AK89" s="575" t="s">
        <v>1411</v>
      </c>
      <c r="AL89" s="570"/>
      <c r="AM89" s="570"/>
      <c r="AN89" s="570"/>
      <c r="AO89" s="571"/>
      <c r="AP89" s="554" t="s">
        <v>842</v>
      </c>
      <c r="AQ89" s="555"/>
      <c r="AR89" s="555"/>
      <c r="AS89" s="555"/>
      <c r="AT89" s="556"/>
    </row>
    <row r="90" spans="2:46" ht="12.75" customHeight="1">
      <c r="B90" s="587"/>
      <c r="C90" s="588"/>
      <c r="D90" s="588"/>
      <c r="E90" s="588"/>
      <c r="F90" s="589"/>
      <c r="G90" s="591"/>
      <c r="H90" s="588"/>
      <c r="I90" s="588"/>
      <c r="J90" s="588"/>
      <c r="K90" s="589"/>
      <c r="L90" s="591"/>
      <c r="M90" s="588"/>
      <c r="N90" s="588"/>
      <c r="O90" s="588"/>
      <c r="P90" s="589"/>
      <c r="Q90" s="591"/>
      <c r="R90" s="588"/>
      <c r="S90" s="588"/>
      <c r="T90" s="588"/>
      <c r="U90" s="589"/>
      <c r="V90" s="576"/>
      <c r="W90" s="573"/>
      <c r="X90" s="573"/>
      <c r="Y90" s="573"/>
      <c r="Z90" s="574"/>
      <c r="AA90" s="576"/>
      <c r="AB90" s="573"/>
      <c r="AC90" s="573"/>
      <c r="AD90" s="573"/>
      <c r="AE90" s="601"/>
      <c r="AF90" s="572"/>
      <c r="AG90" s="573"/>
      <c r="AH90" s="573"/>
      <c r="AI90" s="573"/>
      <c r="AJ90" s="574"/>
      <c r="AK90" s="576"/>
      <c r="AL90" s="573"/>
      <c r="AM90" s="573"/>
      <c r="AN90" s="573"/>
      <c r="AO90" s="574"/>
      <c r="AP90" s="482"/>
      <c r="AQ90" s="483"/>
      <c r="AR90" s="483"/>
      <c r="AS90" s="483"/>
      <c r="AT90" s="484"/>
    </row>
    <row r="91" spans="2:46" ht="12.75" customHeight="1">
      <c r="B91" s="587"/>
      <c r="C91" s="588"/>
      <c r="D91" s="588"/>
      <c r="E91" s="588"/>
      <c r="F91" s="589"/>
      <c r="G91" s="591"/>
      <c r="H91" s="588"/>
      <c r="I91" s="588"/>
      <c r="J91" s="588"/>
      <c r="K91" s="589"/>
      <c r="L91" s="591"/>
      <c r="M91" s="588"/>
      <c r="N91" s="588"/>
      <c r="O91" s="588"/>
      <c r="P91" s="589"/>
      <c r="Q91" s="591"/>
      <c r="R91" s="588"/>
      <c r="S91" s="588"/>
      <c r="T91" s="588"/>
      <c r="U91" s="589"/>
      <c r="V91" s="576"/>
      <c r="W91" s="573"/>
      <c r="X91" s="573"/>
      <c r="Y91" s="573"/>
      <c r="Z91" s="574"/>
      <c r="AA91" s="576"/>
      <c r="AB91" s="573"/>
      <c r="AC91" s="573"/>
      <c r="AD91" s="573"/>
      <c r="AE91" s="601"/>
      <c r="AF91" s="572"/>
      <c r="AG91" s="573"/>
      <c r="AH91" s="573"/>
      <c r="AI91" s="573"/>
      <c r="AJ91" s="574"/>
      <c r="AK91" s="576"/>
      <c r="AL91" s="573"/>
      <c r="AM91" s="573"/>
      <c r="AN91" s="573"/>
      <c r="AO91" s="574"/>
      <c r="AP91" s="482"/>
      <c r="AQ91" s="483"/>
      <c r="AR91" s="483"/>
      <c r="AS91" s="483"/>
      <c r="AT91" s="484"/>
    </row>
    <row r="92" spans="2:46" ht="12.75" customHeight="1">
      <c r="B92" s="587"/>
      <c r="C92" s="588"/>
      <c r="D92" s="588"/>
      <c r="E92" s="588"/>
      <c r="F92" s="589"/>
      <c r="G92" s="591"/>
      <c r="H92" s="588"/>
      <c r="I92" s="588"/>
      <c r="J92" s="588"/>
      <c r="K92" s="589"/>
      <c r="L92" s="591"/>
      <c r="M92" s="588"/>
      <c r="N92" s="588"/>
      <c r="O92" s="588"/>
      <c r="P92" s="589"/>
      <c r="Q92" s="591"/>
      <c r="R92" s="588"/>
      <c r="S92" s="588"/>
      <c r="T92" s="588"/>
      <c r="U92" s="589"/>
      <c r="V92" s="576"/>
      <c r="W92" s="573"/>
      <c r="X92" s="573"/>
      <c r="Y92" s="573"/>
      <c r="Z92" s="574"/>
      <c r="AA92" s="576"/>
      <c r="AB92" s="573"/>
      <c r="AC92" s="573"/>
      <c r="AD92" s="573"/>
      <c r="AE92" s="601"/>
      <c r="AF92" s="572"/>
      <c r="AG92" s="573"/>
      <c r="AH92" s="573"/>
      <c r="AI92" s="573"/>
      <c r="AJ92" s="574"/>
      <c r="AK92" s="576"/>
      <c r="AL92" s="573"/>
      <c r="AM92" s="573"/>
      <c r="AN92" s="573"/>
      <c r="AO92" s="574"/>
      <c r="AP92" s="482"/>
      <c r="AQ92" s="483"/>
      <c r="AR92" s="483"/>
      <c r="AS92" s="483"/>
      <c r="AT92" s="484"/>
    </row>
    <row r="93" spans="2:46" ht="12.75" customHeight="1">
      <c r="B93" s="112"/>
      <c r="C93" s="86"/>
      <c r="D93" s="86"/>
      <c r="E93" s="577" t="s">
        <v>1890</v>
      </c>
      <c r="F93" s="578"/>
      <c r="G93" s="85"/>
      <c r="H93" s="86"/>
      <c r="I93" s="86"/>
      <c r="J93" s="577" t="s">
        <v>43</v>
      </c>
      <c r="K93" s="578"/>
      <c r="L93" s="85"/>
      <c r="M93" s="86"/>
      <c r="N93" s="86"/>
      <c r="O93" s="577"/>
      <c r="P93" s="578"/>
      <c r="Q93" s="85"/>
      <c r="R93" s="86"/>
      <c r="S93" s="86"/>
      <c r="T93" s="577" t="s">
        <v>1892</v>
      </c>
      <c r="U93" s="578"/>
      <c r="V93" s="89"/>
      <c r="W93" s="90"/>
      <c r="X93" s="90"/>
      <c r="Y93" s="581" t="s">
        <v>463</v>
      </c>
      <c r="Z93" s="583"/>
      <c r="AA93" s="89"/>
      <c r="AB93" s="90"/>
      <c r="AC93" s="90"/>
      <c r="AD93" s="581" t="s">
        <v>465</v>
      </c>
      <c r="AE93" s="582"/>
      <c r="AF93" s="90"/>
      <c r="AG93" s="90"/>
      <c r="AH93" s="90"/>
      <c r="AI93" s="581" t="s">
        <v>467</v>
      </c>
      <c r="AJ93" s="583"/>
      <c r="AK93" s="89"/>
      <c r="AL93" s="90"/>
      <c r="AM93" s="90"/>
      <c r="AN93" s="581" t="s">
        <v>463</v>
      </c>
      <c r="AO93" s="583"/>
      <c r="AP93" s="318"/>
      <c r="AQ93" s="319"/>
      <c r="AR93" s="319"/>
      <c r="AS93" s="511" t="s">
        <v>911</v>
      </c>
      <c r="AT93" s="512"/>
    </row>
    <row r="94" spans="2:46" ht="12.75" customHeight="1">
      <c r="B94" s="602" t="s">
        <v>234</v>
      </c>
      <c r="C94" s="603"/>
      <c r="D94" s="603"/>
      <c r="E94" s="603"/>
      <c r="F94" s="604"/>
      <c r="G94" s="605" t="s">
        <v>416</v>
      </c>
      <c r="H94" s="603"/>
      <c r="I94" s="603"/>
      <c r="J94" s="603"/>
      <c r="K94" s="604"/>
      <c r="L94" s="605" t="s">
        <v>202</v>
      </c>
      <c r="M94" s="603"/>
      <c r="N94" s="603"/>
      <c r="O94" s="603"/>
      <c r="P94" s="604"/>
      <c r="Q94" s="606" t="s">
        <v>201</v>
      </c>
      <c r="R94" s="607"/>
      <c r="S94" s="607"/>
      <c r="T94" s="607"/>
      <c r="U94" s="608"/>
      <c r="V94" s="575" t="s">
        <v>205</v>
      </c>
      <c r="W94" s="570"/>
      <c r="X94" s="570"/>
      <c r="Y94" s="570"/>
      <c r="Z94" s="571"/>
      <c r="AA94" s="575" t="s">
        <v>166</v>
      </c>
      <c r="AB94" s="570"/>
      <c r="AC94" s="570"/>
      <c r="AD94" s="570"/>
      <c r="AE94" s="609"/>
      <c r="AF94" s="569" t="s">
        <v>169</v>
      </c>
      <c r="AG94" s="570"/>
      <c r="AH94" s="570"/>
      <c r="AI94" s="570"/>
      <c r="AJ94" s="571"/>
      <c r="AK94" s="575" t="s">
        <v>1413</v>
      </c>
      <c r="AL94" s="570"/>
      <c r="AM94" s="570"/>
      <c r="AN94" s="570"/>
      <c r="AO94" s="571"/>
      <c r="AP94" s="467"/>
      <c r="AQ94" s="468"/>
      <c r="AR94" s="468"/>
      <c r="AS94" s="468"/>
      <c r="AT94" s="469"/>
    </row>
    <row r="95" spans="2:46" ht="12.75" customHeight="1">
      <c r="B95" s="587"/>
      <c r="C95" s="588"/>
      <c r="D95" s="588"/>
      <c r="E95" s="588"/>
      <c r="F95" s="589"/>
      <c r="G95" s="591"/>
      <c r="H95" s="588"/>
      <c r="I95" s="588"/>
      <c r="J95" s="588"/>
      <c r="K95" s="589"/>
      <c r="L95" s="591"/>
      <c r="M95" s="588"/>
      <c r="N95" s="588"/>
      <c r="O95" s="588"/>
      <c r="P95" s="589"/>
      <c r="Q95" s="595"/>
      <c r="R95" s="596"/>
      <c r="S95" s="596"/>
      <c r="T95" s="596"/>
      <c r="U95" s="597"/>
      <c r="V95" s="576"/>
      <c r="W95" s="573"/>
      <c r="X95" s="573"/>
      <c r="Y95" s="573"/>
      <c r="Z95" s="574"/>
      <c r="AA95" s="576"/>
      <c r="AB95" s="573"/>
      <c r="AC95" s="573"/>
      <c r="AD95" s="573"/>
      <c r="AE95" s="601"/>
      <c r="AF95" s="572"/>
      <c r="AG95" s="573"/>
      <c r="AH95" s="573"/>
      <c r="AI95" s="573"/>
      <c r="AJ95" s="574"/>
      <c r="AK95" s="576"/>
      <c r="AL95" s="573"/>
      <c r="AM95" s="573"/>
      <c r="AN95" s="573"/>
      <c r="AO95" s="574"/>
      <c r="AP95" s="470"/>
      <c r="AQ95" s="471"/>
      <c r="AR95" s="471"/>
      <c r="AS95" s="471"/>
      <c r="AT95" s="472"/>
    </row>
    <row r="96" spans="2:46" ht="12.75" customHeight="1">
      <c r="B96" s="587"/>
      <c r="C96" s="588"/>
      <c r="D96" s="588"/>
      <c r="E96" s="588"/>
      <c r="F96" s="589"/>
      <c r="G96" s="591"/>
      <c r="H96" s="588"/>
      <c r="I96" s="588"/>
      <c r="J96" s="588"/>
      <c r="K96" s="589"/>
      <c r="L96" s="591"/>
      <c r="M96" s="588"/>
      <c r="N96" s="588"/>
      <c r="O96" s="588"/>
      <c r="P96" s="589"/>
      <c r="Q96" s="595"/>
      <c r="R96" s="596"/>
      <c r="S96" s="596"/>
      <c r="T96" s="596"/>
      <c r="U96" s="597"/>
      <c r="V96" s="576"/>
      <c r="W96" s="573"/>
      <c r="X96" s="573"/>
      <c r="Y96" s="573"/>
      <c r="Z96" s="574"/>
      <c r="AA96" s="576"/>
      <c r="AB96" s="573"/>
      <c r="AC96" s="573"/>
      <c r="AD96" s="573"/>
      <c r="AE96" s="601"/>
      <c r="AF96" s="572"/>
      <c r="AG96" s="573"/>
      <c r="AH96" s="573"/>
      <c r="AI96" s="573"/>
      <c r="AJ96" s="574"/>
      <c r="AK96" s="576"/>
      <c r="AL96" s="573"/>
      <c r="AM96" s="573"/>
      <c r="AN96" s="573"/>
      <c r="AO96" s="574"/>
      <c r="AP96" s="470"/>
      <c r="AQ96" s="471"/>
      <c r="AR96" s="471"/>
      <c r="AS96" s="471"/>
      <c r="AT96" s="472"/>
    </row>
    <row r="97" spans="2:46" ht="12.75" customHeight="1">
      <c r="B97" s="587"/>
      <c r="C97" s="588"/>
      <c r="D97" s="588"/>
      <c r="E97" s="588"/>
      <c r="F97" s="589"/>
      <c r="G97" s="591"/>
      <c r="H97" s="588"/>
      <c r="I97" s="588"/>
      <c r="J97" s="588"/>
      <c r="K97" s="589"/>
      <c r="L97" s="591"/>
      <c r="M97" s="588"/>
      <c r="N97" s="588"/>
      <c r="O97" s="588"/>
      <c r="P97" s="589"/>
      <c r="Q97" s="595"/>
      <c r="R97" s="596"/>
      <c r="S97" s="596"/>
      <c r="T97" s="596"/>
      <c r="U97" s="597"/>
      <c r="V97" s="576"/>
      <c r="W97" s="573"/>
      <c r="X97" s="573"/>
      <c r="Y97" s="573"/>
      <c r="Z97" s="574"/>
      <c r="AA97" s="576"/>
      <c r="AB97" s="573"/>
      <c r="AC97" s="573"/>
      <c r="AD97" s="573"/>
      <c r="AE97" s="601"/>
      <c r="AF97" s="572"/>
      <c r="AG97" s="573"/>
      <c r="AH97" s="573"/>
      <c r="AI97" s="573"/>
      <c r="AJ97" s="574"/>
      <c r="AK97" s="576"/>
      <c r="AL97" s="573"/>
      <c r="AM97" s="573"/>
      <c r="AN97" s="573"/>
      <c r="AO97" s="574"/>
      <c r="AP97" s="470"/>
      <c r="AQ97" s="471"/>
      <c r="AR97" s="471"/>
      <c r="AS97" s="471"/>
      <c r="AT97" s="472"/>
    </row>
    <row r="98" spans="2:46" ht="12.75" customHeight="1">
      <c r="B98" s="112"/>
      <c r="C98" s="86"/>
      <c r="D98" s="86"/>
      <c r="E98" s="577" t="s">
        <v>459</v>
      </c>
      <c r="F98" s="578"/>
      <c r="G98" s="85"/>
      <c r="H98" s="86"/>
      <c r="I98" s="86"/>
      <c r="J98" s="577" t="s">
        <v>452</v>
      </c>
      <c r="K98" s="578"/>
      <c r="L98" s="85"/>
      <c r="M98" s="86"/>
      <c r="N98" s="86"/>
      <c r="O98" s="577" t="s">
        <v>460</v>
      </c>
      <c r="P98" s="578"/>
      <c r="Q98" s="87"/>
      <c r="R98" s="88"/>
      <c r="S98" s="88"/>
      <c r="T98" s="579" t="s">
        <v>45</v>
      </c>
      <c r="U98" s="580"/>
      <c r="V98" s="89"/>
      <c r="W98" s="90"/>
      <c r="X98" s="90"/>
      <c r="Y98" s="581" t="s">
        <v>464</v>
      </c>
      <c r="Z98" s="583"/>
      <c r="AA98" s="89"/>
      <c r="AB98" s="90"/>
      <c r="AC98" s="90"/>
      <c r="AD98" s="581" t="s">
        <v>466</v>
      </c>
      <c r="AE98" s="582"/>
      <c r="AF98" s="90"/>
      <c r="AG98" s="90"/>
      <c r="AH98" s="90"/>
      <c r="AI98" s="581" t="s">
        <v>468</v>
      </c>
      <c r="AJ98" s="583"/>
      <c r="AK98" s="89"/>
      <c r="AL98" s="90"/>
      <c r="AM98" s="90"/>
      <c r="AN98" s="581" t="s">
        <v>464</v>
      </c>
      <c r="AO98" s="583"/>
      <c r="AP98" s="69"/>
      <c r="AQ98" s="70"/>
      <c r="AR98" s="70"/>
      <c r="AS98" s="489"/>
      <c r="AT98" s="490"/>
    </row>
    <row r="99" spans="2:46" ht="12.75" customHeight="1">
      <c r="B99" s="602" t="s">
        <v>230</v>
      </c>
      <c r="C99" s="603"/>
      <c r="D99" s="603"/>
      <c r="E99" s="603"/>
      <c r="F99" s="604"/>
      <c r="G99" s="605" t="s">
        <v>423</v>
      </c>
      <c r="H99" s="603"/>
      <c r="I99" s="603"/>
      <c r="J99" s="603"/>
      <c r="K99" s="604"/>
      <c r="L99" s="605" t="s">
        <v>417</v>
      </c>
      <c r="M99" s="603"/>
      <c r="N99" s="603"/>
      <c r="O99" s="603"/>
      <c r="P99" s="604"/>
      <c r="Q99" s="606" t="s">
        <v>206</v>
      </c>
      <c r="R99" s="607"/>
      <c r="S99" s="607"/>
      <c r="T99" s="607"/>
      <c r="U99" s="608"/>
      <c r="V99" s="575" t="s">
        <v>204</v>
      </c>
      <c r="W99" s="570"/>
      <c r="X99" s="570"/>
      <c r="Y99" s="570"/>
      <c r="Z99" s="571"/>
      <c r="AA99" s="575" t="s">
        <v>167</v>
      </c>
      <c r="AB99" s="570"/>
      <c r="AC99" s="570"/>
      <c r="AD99" s="570"/>
      <c r="AE99" s="609"/>
      <c r="AF99" s="569" t="s">
        <v>905</v>
      </c>
      <c r="AG99" s="570"/>
      <c r="AH99" s="570"/>
      <c r="AI99" s="570"/>
      <c r="AJ99" s="571"/>
      <c r="AK99" s="575" t="s">
        <v>1412</v>
      </c>
      <c r="AL99" s="570"/>
      <c r="AM99" s="570"/>
      <c r="AN99" s="570"/>
      <c r="AO99" s="571"/>
      <c r="AP99" s="467"/>
      <c r="AQ99" s="468"/>
      <c r="AR99" s="468"/>
      <c r="AS99" s="468"/>
      <c r="AT99" s="469"/>
    </row>
    <row r="100" spans="2:46" ht="12.75" customHeight="1">
      <c r="B100" s="587"/>
      <c r="C100" s="588"/>
      <c r="D100" s="588"/>
      <c r="E100" s="588"/>
      <c r="F100" s="589"/>
      <c r="G100" s="591"/>
      <c r="H100" s="588"/>
      <c r="I100" s="588"/>
      <c r="J100" s="588"/>
      <c r="K100" s="589"/>
      <c r="L100" s="591"/>
      <c r="M100" s="588"/>
      <c r="N100" s="588"/>
      <c r="O100" s="588"/>
      <c r="P100" s="589"/>
      <c r="Q100" s="595"/>
      <c r="R100" s="596"/>
      <c r="S100" s="596"/>
      <c r="T100" s="596"/>
      <c r="U100" s="597"/>
      <c r="V100" s="576"/>
      <c r="W100" s="573"/>
      <c r="X100" s="573"/>
      <c r="Y100" s="573"/>
      <c r="Z100" s="574"/>
      <c r="AA100" s="576"/>
      <c r="AB100" s="573"/>
      <c r="AC100" s="573"/>
      <c r="AD100" s="573"/>
      <c r="AE100" s="601"/>
      <c r="AF100" s="572"/>
      <c r="AG100" s="573"/>
      <c r="AH100" s="573"/>
      <c r="AI100" s="573"/>
      <c r="AJ100" s="574"/>
      <c r="AK100" s="576"/>
      <c r="AL100" s="573"/>
      <c r="AM100" s="573"/>
      <c r="AN100" s="573"/>
      <c r="AO100" s="574"/>
      <c r="AP100" s="470"/>
      <c r="AQ100" s="471"/>
      <c r="AR100" s="471"/>
      <c r="AS100" s="471"/>
      <c r="AT100" s="472"/>
    </row>
    <row r="101" spans="2:46" ht="12.75" customHeight="1">
      <c r="B101" s="587"/>
      <c r="C101" s="588"/>
      <c r="D101" s="588"/>
      <c r="E101" s="588"/>
      <c r="F101" s="589"/>
      <c r="G101" s="591"/>
      <c r="H101" s="588"/>
      <c r="I101" s="588"/>
      <c r="J101" s="588"/>
      <c r="K101" s="589"/>
      <c r="L101" s="591"/>
      <c r="M101" s="588"/>
      <c r="N101" s="588"/>
      <c r="O101" s="588"/>
      <c r="P101" s="589"/>
      <c r="Q101" s="595"/>
      <c r="R101" s="596"/>
      <c r="S101" s="596"/>
      <c r="T101" s="596"/>
      <c r="U101" s="597"/>
      <c r="V101" s="576"/>
      <c r="W101" s="573"/>
      <c r="X101" s="573"/>
      <c r="Y101" s="573"/>
      <c r="Z101" s="574"/>
      <c r="AA101" s="576"/>
      <c r="AB101" s="573"/>
      <c r="AC101" s="573"/>
      <c r="AD101" s="573"/>
      <c r="AE101" s="601"/>
      <c r="AF101" s="572"/>
      <c r="AG101" s="573"/>
      <c r="AH101" s="573"/>
      <c r="AI101" s="573"/>
      <c r="AJ101" s="574"/>
      <c r="AK101" s="576"/>
      <c r="AL101" s="573"/>
      <c r="AM101" s="573"/>
      <c r="AN101" s="573"/>
      <c r="AO101" s="574"/>
      <c r="AP101" s="470"/>
      <c r="AQ101" s="471"/>
      <c r="AR101" s="471"/>
      <c r="AS101" s="471"/>
      <c r="AT101" s="472"/>
    </row>
    <row r="102" spans="2:46" ht="12.75" customHeight="1">
      <c r="B102" s="587"/>
      <c r="C102" s="588"/>
      <c r="D102" s="588"/>
      <c r="E102" s="588"/>
      <c r="F102" s="589"/>
      <c r="G102" s="591"/>
      <c r="H102" s="588"/>
      <c r="I102" s="588"/>
      <c r="J102" s="588"/>
      <c r="K102" s="589"/>
      <c r="L102" s="591"/>
      <c r="M102" s="588"/>
      <c r="N102" s="588"/>
      <c r="O102" s="588"/>
      <c r="P102" s="589"/>
      <c r="Q102" s="595"/>
      <c r="R102" s="596"/>
      <c r="S102" s="596"/>
      <c r="T102" s="596"/>
      <c r="U102" s="597"/>
      <c r="V102" s="576"/>
      <c r="W102" s="573"/>
      <c r="X102" s="573"/>
      <c r="Y102" s="573"/>
      <c r="Z102" s="574"/>
      <c r="AA102" s="576"/>
      <c r="AB102" s="573"/>
      <c r="AC102" s="573"/>
      <c r="AD102" s="573"/>
      <c r="AE102" s="601"/>
      <c r="AF102" s="572"/>
      <c r="AG102" s="573"/>
      <c r="AH102" s="573"/>
      <c r="AI102" s="573"/>
      <c r="AJ102" s="574"/>
      <c r="AK102" s="576"/>
      <c r="AL102" s="573"/>
      <c r="AM102" s="573"/>
      <c r="AN102" s="573"/>
      <c r="AO102" s="574"/>
      <c r="AP102" s="470"/>
      <c r="AQ102" s="471"/>
      <c r="AR102" s="471"/>
      <c r="AS102" s="471"/>
      <c r="AT102" s="472"/>
    </row>
    <row r="103" spans="2:46" ht="12.75" customHeight="1">
      <c r="B103" s="112"/>
      <c r="C103" s="86"/>
      <c r="D103" s="86"/>
      <c r="E103" s="577" t="s">
        <v>46</v>
      </c>
      <c r="F103" s="578"/>
      <c r="G103" s="85"/>
      <c r="H103" s="86"/>
      <c r="I103" s="86"/>
      <c r="J103" s="577" t="s">
        <v>46</v>
      </c>
      <c r="K103" s="578"/>
      <c r="L103" s="85"/>
      <c r="M103" s="86"/>
      <c r="N103" s="86"/>
      <c r="O103" s="577" t="s">
        <v>454</v>
      </c>
      <c r="P103" s="578"/>
      <c r="Q103" s="87"/>
      <c r="R103" s="88"/>
      <c r="S103" s="88"/>
      <c r="T103" s="579" t="s">
        <v>45</v>
      </c>
      <c r="U103" s="580"/>
      <c r="V103" s="89"/>
      <c r="W103" s="90"/>
      <c r="X103" s="90"/>
      <c r="Y103" s="581" t="s">
        <v>463</v>
      </c>
      <c r="Z103" s="583"/>
      <c r="AA103" s="89"/>
      <c r="AB103" s="90"/>
      <c r="AC103" s="90"/>
      <c r="AD103" s="581" t="s">
        <v>465</v>
      </c>
      <c r="AE103" s="582"/>
      <c r="AF103" s="90"/>
      <c r="AG103" s="90"/>
      <c r="AH103" s="90"/>
      <c r="AI103" s="581" t="s">
        <v>912</v>
      </c>
      <c r="AJ103" s="583"/>
      <c r="AK103" s="89"/>
      <c r="AL103" s="90"/>
      <c r="AM103" s="90"/>
      <c r="AN103" s="581" t="s">
        <v>485</v>
      </c>
      <c r="AO103" s="583"/>
      <c r="AP103" s="69"/>
      <c r="AQ103" s="70"/>
      <c r="AR103" s="70"/>
      <c r="AS103" s="489"/>
      <c r="AT103" s="490"/>
    </row>
    <row r="104" spans="2:46" ht="12.75" customHeight="1">
      <c r="B104" s="602" t="s">
        <v>203</v>
      </c>
      <c r="C104" s="603"/>
      <c r="D104" s="603"/>
      <c r="E104" s="603"/>
      <c r="F104" s="604"/>
      <c r="G104" s="605" t="s">
        <v>420</v>
      </c>
      <c r="H104" s="603"/>
      <c r="I104" s="603"/>
      <c r="J104" s="603"/>
      <c r="K104" s="604"/>
      <c r="L104" s="605" t="s">
        <v>412</v>
      </c>
      <c r="M104" s="603"/>
      <c r="N104" s="603"/>
      <c r="O104" s="603"/>
      <c r="P104" s="604"/>
      <c r="Q104" s="606" t="s">
        <v>228</v>
      </c>
      <c r="R104" s="607"/>
      <c r="S104" s="607"/>
      <c r="T104" s="607"/>
      <c r="U104" s="608"/>
      <c r="V104" s="575" t="s">
        <v>205</v>
      </c>
      <c r="W104" s="570"/>
      <c r="X104" s="570"/>
      <c r="Y104" s="570"/>
      <c r="Z104" s="571"/>
      <c r="AA104" s="575" t="s">
        <v>168</v>
      </c>
      <c r="AB104" s="570"/>
      <c r="AC104" s="570"/>
      <c r="AD104" s="570"/>
      <c r="AE104" s="609"/>
      <c r="AF104" s="569" t="s">
        <v>905</v>
      </c>
      <c r="AG104" s="570"/>
      <c r="AH104" s="570"/>
      <c r="AI104" s="570"/>
      <c r="AJ104" s="571"/>
      <c r="AK104" s="575" t="s">
        <v>1400</v>
      </c>
      <c r="AL104" s="570"/>
      <c r="AM104" s="570"/>
      <c r="AN104" s="570"/>
      <c r="AO104" s="571"/>
      <c r="AP104" s="467"/>
      <c r="AQ104" s="468"/>
      <c r="AR104" s="468"/>
      <c r="AS104" s="468"/>
      <c r="AT104" s="469"/>
    </row>
    <row r="105" spans="2:46" ht="12.75" customHeight="1">
      <c r="B105" s="587"/>
      <c r="C105" s="588"/>
      <c r="D105" s="588"/>
      <c r="E105" s="588"/>
      <c r="F105" s="589"/>
      <c r="G105" s="591"/>
      <c r="H105" s="588"/>
      <c r="I105" s="588"/>
      <c r="J105" s="588"/>
      <c r="K105" s="589"/>
      <c r="L105" s="591"/>
      <c r="M105" s="588"/>
      <c r="N105" s="588"/>
      <c r="O105" s="588"/>
      <c r="P105" s="589"/>
      <c r="Q105" s="595"/>
      <c r="R105" s="596"/>
      <c r="S105" s="596"/>
      <c r="T105" s="596"/>
      <c r="U105" s="597"/>
      <c r="V105" s="576"/>
      <c r="W105" s="573"/>
      <c r="X105" s="573"/>
      <c r="Y105" s="573"/>
      <c r="Z105" s="574"/>
      <c r="AA105" s="576"/>
      <c r="AB105" s="573"/>
      <c r="AC105" s="573"/>
      <c r="AD105" s="573"/>
      <c r="AE105" s="601"/>
      <c r="AF105" s="572"/>
      <c r="AG105" s="573"/>
      <c r="AH105" s="573"/>
      <c r="AI105" s="573"/>
      <c r="AJ105" s="574"/>
      <c r="AK105" s="576"/>
      <c r="AL105" s="573"/>
      <c r="AM105" s="573"/>
      <c r="AN105" s="573"/>
      <c r="AO105" s="574"/>
      <c r="AP105" s="470"/>
      <c r="AQ105" s="471"/>
      <c r="AR105" s="471"/>
      <c r="AS105" s="471"/>
      <c r="AT105" s="472"/>
    </row>
    <row r="106" spans="2:46" ht="12.75" customHeight="1">
      <c r="B106" s="587"/>
      <c r="C106" s="588"/>
      <c r="D106" s="588"/>
      <c r="E106" s="588"/>
      <c r="F106" s="589"/>
      <c r="G106" s="591"/>
      <c r="H106" s="588"/>
      <c r="I106" s="588"/>
      <c r="J106" s="588"/>
      <c r="K106" s="589"/>
      <c r="L106" s="591"/>
      <c r="M106" s="588"/>
      <c r="N106" s="588"/>
      <c r="O106" s="588"/>
      <c r="P106" s="589"/>
      <c r="Q106" s="595"/>
      <c r="R106" s="596"/>
      <c r="S106" s="596"/>
      <c r="T106" s="596"/>
      <c r="U106" s="597"/>
      <c r="V106" s="576"/>
      <c r="W106" s="573"/>
      <c r="X106" s="573"/>
      <c r="Y106" s="573"/>
      <c r="Z106" s="574"/>
      <c r="AA106" s="576"/>
      <c r="AB106" s="573"/>
      <c r="AC106" s="573"/>
      <c r="AD106" s="573"/>
      <c r="AE106" s="601"/>
      <c r="AF106" s="572"/>
      <c r="AG106" s="573"/>
      <c r="AH106" s="573"/>
      <c r="AI106" s="573"/>
      <c r="AJ106" s="574"/>
      <c r="AK106" s="576"/>
      <c r="AL106" s="573"/>
      <c r="AM106" s="573"/>
      <c r="AN106" s="573"/>
      <c r="AO106" s="574"/>
      <c r="AP106" s="470"/>
      <c r="AQ106" s="471"/>
      <c r="AR106" s="471"/>
      <c r="AS106" s="471"/>
      <c r="AT106" s="472"/>
    </row>
    <row r="107" spans="2:46" ht="12.75" customHeight="1">
      <c r="B107" s="587"/>
      <c r="C107" s="588"/>
      <c r="D107" s="588"/>
      <c r="E107" s="588"/>
      <c r="F107" s="589"/>
      <c r="G107" s="591"/>
      <c r="H107" s="588"/>
      <c r="I107" s="588"/>
      <c r="J107" s="588"/>
      <c r="K107" s="589"/>
      <c r="L107" s="591"/>
      <c r="M107" s="588"/>
      <c r="N107" s="588"/>
      <c r="O107" s="588"/>
      <c r="P107" s="589"/>
      <c r="Q107" s="595"/>
      <c r="R107" s="596"/>
      <c r="S107" s="596"/>
      <c r="T107" s="596"/>
      <c r="U107" s="597"/>
      <c r="V107" s="576"/>
      <c r="W107" s="573"/>
      <c r="X107" s="573"/>
      <c r="Y107" s="573"/>
      <c r="Z107" s="574"/>
      <c r="AA107" s="576"/>
      <c r="AB107" s="573"/>
      <c r="AC107" s="573"/>
      <c r="AD107" s="573"/>
      <c r="AE107" s="601"/>
      <c r="AF107" s="572"/>
      <c r="AG107" s="573"/>
      <c r="AH107" s="573"/>
      <c r="AI107" s="573"/>
      <c r="AJ107" s="574"/>
      <c r="AK107" s="576"/>
      <c r="AL107" s="573"/>
      <c r="AM107" s="573"/>
      <c r="AN107" s="573"/>
      <c r="AO107" s="574"/>
      <c r="AP107" s="470"/>
      <c r="AQ107" s="471"/>
      <c r="AR107" s="471"/>
      <c r="AS107" s="471"/>
      <c r="AT107" s="472"/>
    </row>
    <row r="108" spans="2:46" ht="12.75" customHeight="1" thickBot="1">
      <c r="B108" s="113"/>
      <c r="C108" s="102"/>
      <c r="D108" s="102"/>
      <c r="E108" s="610" t="s">
        <v>459</v>
      </c>
      <c r="F108" s="611"/>
      <c r="G108" s="101"/>
      <c r="H108" s="102"/>
      <c r="I108" s="102"/>
      <c r="J108" s="610" t="s">
        <v>454</v>
      </c>
      <c r="K108" s="611"/>
      <c r="L108" s="101"/>
      <c r="M108" s="102"/>
      <c r="N108" s="102"/>
      <c r="O108" s="610" t="s">
        <v>46</v>
      </c>
      <c r="P108" s="611"/>
      <c r="Q108" s="114"/>
      <c r="R108" s="115"/>
      <c r="S108" s="115"/>
      <c r="T108" s="612" t="s">
        <v>452</v>
      </c>
      <c r="U108" s="613"/>
      <c r="V108" s="116"/>
      <c r="W108" s="117"/>
      <c r="X108" s="117"/>
      <c r="Y108" s="614" t="s">
        <v>464</v>
      </c>
      <c r="Z108" s="615"/>
      <c r="AA108" s="116"/>
      <c r="AB108" s="117"/>
      <c r="AC108" s="117"/>
      <c r="AD108" s="614" t="s">
        <v>466</v>
      </c>
      <c r="AE108" s="616"/>
      <c r="AF108" s="90"/>
      <c r="AG108" s="90"/>
      <c r="AH108" s="90"/>
      <c r="AI108" s="581" t="s">
        <v>912</v>
      </c>
      <c r="AJ108" s="583"/>
      <c r="AK108" s="89"/>
      <c r="AL108" s="90"/>
      <c r="AM108" s="90"/>
      <c r="AN108" s="581" t="s">
        <v>465</v>
      </c>
      <c r="AO108" s="583"/>
      <c r="AP108" s="69"/>
      <c r="AQ108" s="70"/>
      <c r="AR108" s="70"/>
      <c r="AS108" s="489"/>
      <c r="AT108" s="490"/>
    </row>
    <row r="109" spans="2:46" ht="15" thickBot="1"/>
    <row r="110" spans="2:46" ht="12.75" customHeight="1">
      <c r="B110" s="524" t="s">
        <v>331</v>
      </c>
      <c r="C110" s="475"/>
      <c r="D110" s="475"/>
      <c r="E110" s="475"/>
      <c r="F110" s="504"/>
      <c r="G110" s="557" t="str">
        <f>CaisseBoutonGroupe2</f>
        <v>Viennoiserie</v>
      </c>
      <c r="H110" s="558"/>
      <c r="I110" s="558"/>
      <c r="J110" s="558"/>
      <c r="K110" s="559"/>
      <c r="L110" s="474" t="str">
        <f>CaisseBoutonGroupe3</f>
        <v>Patisserie</v>
      </c>
      <c r="M110" s="475"/>
      <c r="N110" s="475"/>
      <c r="O110" s="475"/>
      <c r="P110" s="504"/>
      <c r="Q110" s="520" t="str">
        <f>CaisseBoutonGroupe4</f>
        <v>Traiteur</v>
      </c>
      <c r="R110" s="499"/>
      <c r="S110" s="499"/>
      <c r="T110" s="499"/>
      <c r="U110" s="500"/>
      <c r="V110" s="474" t="str">
        <f>CaisseBoutonGroupe5</f>
        <v>Crêperie</v>
      </c>
      <c r="W110" s="475"/>
      <c r="X110" s="475"/>
      <c r="Y110" s="475"/>
      <c r="Z110" s="504"/>
      <c r="AA110" s="474" t="str">
        <f>CaisseBoutonGroupe6</f>
        <v>Boisson</v>
      </c>
      <c r="AB110" s="475"/>
      <c r="AC110" s="475"/>
      <c r="AD110" s="475"/>
      <c r="AE110" s="476"/>
      <c r="AF110" s="192"/>
      <c r="AG110" s="192"/>
      <c r="AH110" s="192"/>
      <c r="AI110" s="192"/>
      <c r="AJ110" s="192"/>
      <c r="AK110" s="192"/>
      <c r="AL110" s="192"/>
      <c r="AM110" s="192"/>
      <c r="AN110" s="192"/>
      <c r="AO110" s="193"/>
      <c r="AP110" s="192"/>
      <c r="AQ110" s="192"/>
      <c r="AR110" s="192"/>
      <c r="AS110" s="192"/>
      <c r="AT110" s="193"/>
    </row>
    <row r="111" spans="2:46" ht="12.75" customHeight="1">
      <c r="B111" s="525"/>
      <c r="C111" s="465"/>
      <c r="D111" s="465"/>
      <c r="E111" s="465"/>
      <c r="F111" s="466"/>
      <c r="G111" s="560"/>
      <c r="H111" s="561"/>
      <c r="I111" s="561"/>
      <c r="J111" s="561"/>
      <c r="K111" s="562"/>
      <c r="L111" s="464"/>
      <c r="M111" s="465"/>
      <c r="N111" s="465"/>
      <c r="O111" s="465"/>
      <c r="P111" s="466"/>
      <c r="Q111" s="521"/>
      <c r="R111" s="502"/>
      <c r="S111" s="502"/>
      <c r="T111" s="502"/>
      <c r="U111" s="503"/>
      <c r="V111" s="464"/>
      <c r="W111" s="465"/>
      <c r="X111" s="465"/>
      <c r="Y111" s="465"/>
      <c r="Z111" s="466"/>
      <c r="AA111" s="464"/>
      <c r="AB111" s="465"/>
      <c r="AC111" s="465"/>
      <c r="AD111" s="465"/>
      <c r="AE111" s="477"/>
      <c r="AF111" s="194"/>
      <c r="AG111" s="473" t="str">
        <f>Q110</f>
        <v>Traiteur</v>
      </c>
      <c r="AH111" s="473"/>
      <c r="AI111" s="473"/>
      <c r="AJ111" s="473"/>
      <c r="AK111" s="473"/>
      <c r="AL111" s="473"/>
      <c r="AM111" s="473"/>
      <c r="AN111" s="473"/>
      <c r="AO111" s="195"/>
      <c r="AP111" s="194"/>
      <c r="AQ111" s="194"/>
      <c r="AR111" s="194"/>
      <c r="AS111" s="194"/>
      <c r="AT111" s="195"/>
    </row>
    <row r="112" spans="2:46" ht="12.75" customHeight="1">
      <c r="B112" s="525"/>
      <c r="C112" s="465"/>
      <c r="D112" s="465"/>
      <c r="E112" s="465"/>
      <c r="F112" s="466"/>
      <c r="G112" s="560"/>
      <c r="H112" s="561"/>
      <c r="I112" s="561"/>
      <c r="J112" s="561"/>
      <c r="K112" s="562"/>
      <c r="L112" s="464"/>
      <c r="M112" s="465"/>
      <c r="N112" s="465"/>
      <c r="O112" s="465"/>
      <c r="P112" s="466"/>
      <c r="Q112" s="521"/>
      <c r="R112" s="502"/>
      <c r="S112" s="502"/>
      <c r="T112" s="502"/>
      <c r="U112" s="503"/>
      <c r="V112" s="464"/>
      <c r="W112" s="465"/>
      <c r="X112" s="465"/>
      <c r="Y112" s="465"/>
      <c r="Z112" s="466"/>
      <c r="AA112" s="464"/>
      <c r="AB112" s="465"/>
      <c r="AC112" s="465"/>
      <c r="AD112" s="465"/>
      <c r="AE112" s="477"/>
      <c r="AF112" s="194"/>
      <c r="AG112" s="473"/>
      <c r="AH112" s="473"/>
      <c r="AI112" s="473"/>
      <c r="AJ112" s="473"/>
      <c r="AK112" s="473"/>
      <c r="AL112" s="473"/>
      <c r="AM112" s="473"/>
      <c r="AN112" s="473"/>
      <c r="AO112" s="195"/>
      <c r="AP112" s="194"/>
      <c r="AQ112" s="194"/>
      <c r="AR112" s="194"/>
      <c r="AS112" s="194"/>
      <c r="AT112" s="195"/>
    </row>
    <row r="113" spans="2:46" ht="12.75" customHeight="1">
      <c r="B113" s="525"/>
      <c r="C113" s="465"/>
      <c r="D113" s="465"/>
      <c r="E113" s="465"/>
      <c r="F113" s="466"/>
      <c r="G113" s="560"/>
      <c r="H113" s="561"/>
      <c r="I113" s="561"/>
      <c r="J113" s="561"/>
      <c r="K113" s="562"/>
      <c r="L113" s="464"/>
      <c r="M113" s="465"/>
      <c r="N113" s="465"/>
      <c r="O113" s="465"/>
      <c r="P113" s="466"/>
      <c r="Q113" s="521"/>
      <c r="R113" s="502"/>
      <c r="S113" s="502"/>
      <c r="T113" s="502"/>
      <c r="U113" s="503"/>
      <c r="V113" s="464"/>
      <c r="W113" s="465"/>
      <c r="X113" s="465"/>
      <c r="Y113" s="465"/>
      <c r="Z113" s="466"/>
      <c r="AA113" s="464"/>
      <c r="AB113" s="465"/>
      <c r="AC113" s="465"/>
      <c r="AD113" s="465"/>
      <c r="AE113" s="477"/>
      <c r="AF113" s="194"/>
      <c r="AG113" s="194"/>
      <c r="AH113" s="194"/>
      <c r="AI113" s="194"/>
      <c r="AJ113" s="194"/>
      <c r="AK113" s="194"/>
      <c r="AL113" s="194"/>
      <c r="AM113" s="194"/>
      <c r="AN113" s="194"/>
      <c r="AO113" s="195"/>
      <c r="AP113" s="194"/>
      <c r="AQ113" s="194"/>
      <c r="AR113" s="194"/>
      <c r="AS113" s="194"/>
      <c r="AT113" s="195"/>
    </row>
    <row r="114" spans="2:46" ht="12.75" customHeight="1" thickBot="1">
      <c r="B114" s="196"/>
      <c r="C114" s="197"/>
      <c r="D114" s="197"/>
      <c r="E114" s="197"/>
      <c r="F114" s="197"/>
      <c r="G114" s="198"/>
      <c r="H114" s="197"/>
      <c r="I114" s="197"/>
      <c r="J114" s="197"/>
      <c r="K114" s="197"/>
      <c r="L114" s="198"/>
      <c r="M114" s="197"/>
      <c r="N114" s="197"/>
      <c r="O114" s="197"/>
      <c r="P114" s="197"/>
      <c r="Q114" s="198"/>
      <c r="R114" s="197"/>
      <c r="S114" s="197"/>
      <c r="T114" s="197"/>
      <c r="U114" s="197"/>
      <c r="V114" s="198"/>
      <c r="W114" s="197"/>
      <c r="X114" s="197"/>
      <c r="Y114" s="197"/>
      <c r="Z114" s="197"/>
      <c r="AA114" s="198"/>
      <c r="AB114" s="197"/>
      <c r="AC114" s="197"/>
      <c r="AD114" s="197"/>
      <c r="AE114" s="199"/>
      <c r="AF114" s="200"/>
      <c r="AG114" s="200"/>
      <c r="AH114" s="200"/>
      <c r="AI114" s="200"/>
      <c r="AJ114" s="200"/>
      <c r="AK114" s="200"/>
      <c r="AL114" s="200"/>
      <c r="AM114" s="200"/>
      <c r="AN114" s="200"/>
      <c r="AO114" s="201"/>
      <c r="AP114" s="200"/>
      <c r="AQ114" s="200"/>
      <c r="AR114" s="200"/>
      <c r="AS114" s="200"/>
      <c r="AT114" s="201"/>
    </row>
    <row r="115" spans="2:46" ht="12.75" customHeight="1">
      <c r="B115" s="621" t="s">
        <v>1242</v>
      </c>
      <c r="C115" s="622"/>
      <c r="D115" s="622"/>
      <c r="E115" s="622"/>
      <c r="F115" s="623"/>
      <c r="G115" s="624" t="s">
        <v>1247</v>
      </c>
      <c r="H115" s="622"/>
      <c r="I115" s="622"/>
      <c r="J115" s="622"/>
      <c r="K115" s="623"/>
      <c r="L115" s="624" t="s">
        <v>1253</v>
      </c>
      <c r="M115" s="622"/>
      <c r="N115" s="622"/>
      <c r="O115" s="622"/>
      <c r="P115" s="623"/>
      <c r="Q115" s="625" t="s">
        <v>194</v>
      </c>
      <c r="R115" s="626"/>
      <c r="S115" s="626"/>
      <c r="T115" s="626"/>
      <c r="U115" s="627"/>
      <c r="V115" s="628" t="s">
        <v>190</v>
      </c>
      <c r="W115" s="629"/>
      <c r="X115" s="629"/>
      <c r="Y115" s="629"/>
      <c r="Z115" s="630"/>
      <c r="AA115" s="634" t="s">
        <v>249</v>
      </c>
      <c r="AB115" s="635"/>
      <c r="AC115" s="635"/>
      <c r="AD115" s="635"/>
      <c r="AE115" s="636"/>
      <c r="AF115" s="522"/>
      <c r="AG115" s="468"/>
      <c r="AH115" s="468"/>
      <c r="AI115" s="468"/>
      <c r="AJ115" s="469"/>
      <c r="AK115" s="467"/>
      <c r="AL115" s="468"/>
      <c r="AM115" s="468"/>
      <c r="AN115" s="468"/>
      <c r="AO115" s="469"/>
      <c r="AP115" s="467"/>
      <c r="AQ115" s="468"/>
      <c r="AR115" s="468"/>
      <c r="AS115" s="468"/>
      <c r="AT115" s="469"/>
    </row>
    <row r="116" spans="2:46" ht="12.75" customHeight="1">
      <c r="B116" s="478"/>
      <c r="C116" s="479"/>
      <c r="D116" s="479"/>
      <c r="E116" s="479"/>
      <c r="F116" s="480"/>
      <c r="G116" s="481"/>
      <c r="H116" s="479"/>
      <c r="I116" s="479"/>
      <c r="J116" s="479"/>
      <c r="K116" s="480"/>
      <c r="L116" s="481"/>
      <c r="M116" s="479"/>
      <c r="N116" s="479"/>
      <c r="O116" s="479"/>
      <c r="P116" s="480"/>
      <c r="Q116" s="508"/>
      <c r="R116" s="509"/>
      <c r="S116" s="509"/>
      <c r="T116" s="509"/>
      <c r="U116" s="510"/>
      <c r="V116" s="631"/>
      <c r="W116" s="632"/>
      <c r="X116" s="632"/>
      <c r="Y116" s="632"/>
      <c r="Z116" s="633"/>
      <c r="AA116" s="637"/>
      <c r="AB116" s="638"/>
      <c r="AC116" s="638"/>
      <c r="AD116" s="638"/>
      <c r="AE116" s="639"/>
      <c r="AF116" s="523"/>
      <c r="AG116" s="471"/>
      <c r="AH116" s="471"/>
      <c r="AI116" s="471"/>
      <c r="AJ116" s="472"/>
      <c r="AK116" s="470"/>
      <c r="AL116" s="471"/>
      <c r="AM116" s="471"/>
      <c r="AN116" s="471"/>
      <c r="AO116" s="472"/>
      <c r="AP116" s="470"/>
      <c r="AQ116" s="471"/>
      <c r="AR116" s="471"/>
      <c r="AS116" s="471"/>
      <c r="AT116" s="472"/>
    </row>
    <row r="117" spans="2:46" ht="12.75" customHeight="1">
      <c r="B117" s="478"/>
      <c r="C117" s="479"/>
      <c r="D117" s="479"/>
      <c r="E117" s="479"/>
      <c r="F117" s="480"/>
      <c r="G117" s="481"/>
      <c r="H117" s="479"/>
      <c r="I117" s="479"/>
      <c r="J117" s="479"/>
      <c r="K117" s="480"/>
      <c r="L117" s="481"/>
      <c r="M117" s="479"/>
      <c r="N117" s="479"/>
      <c r="O117" s="479"/>
      <c r="P117" s="480"/>
      <c r="Q117" s="508"/>
      <c r="R117" s="509"/>
      <c r="S117" s="509"/>
      <c r="T117" s="509"/>
      <c r="U117" s="510"/>
      <c r="V117" s="631"/>
      <c r="W117" s="632"/>
      <c r="X117" s="632"/>
      <c r="Y117" s="632"/>
      <c r="Z117" s="633"/>
      <c r="AA117" s="637"/>
      <c r="AB117" s="638"/>
      <c r="AC117" s="638"/>
      <c r="AD117" s="638"/>
      <c r="AE117" s="639"/>
      <c r="AF117" s="523"/>
      <c r="AG117" s="471"/>
      <c r="AH117" s="471"/>
      <c r="AI117" s="471"/>
      <c r="AJ117" s="472"/>
      <c r="AK117" s="470"/>
      <c r="AL117" s="471"/>
      <c r="AM117" s="471"/>
      <c r="AN117" s="471"/>
      <c r="AO117" s="472"/>
      <c r="AP117" s="470"/>
      <c r="AQ117" s="471"/>
      <c r="AR117" s="471"/>
      <c r="AS117" s="471"/>
      <c r="AT117" s="472"/>
    </row>
    <row r="118" spans="2:46" ht="12.75" customHeight="1">
      <c r="B118" s="478"/>
      <c r="C118" s="479"/>
      <c r="D118" s="479"/>
      <c r="E118" s="479"/>
      <c r="F118" s="480"/>
      <c r="G118" s="481"/>
      <c r="H118" s="479"/>
      <c r="I118" s="479"/>
      <c r="J118" s="479"/>
      <c r="K118" s="480"/>
      <c r="L118" s="481"/>
      <c r="M118" s="479"/>
      <c r="N118" s="479"/>
      <c r="O118" s="479"/>
      <c r="P118" s="480"/>
      <c r="Q118" s="508"/>
      <c r="R118" s="509"/>
      <c r="S118" s="509"/>
      <c r="T118" s="509"/>
      <c r="U118" s="510"/>
      <c r="V118" s="631"/>
      <c r="W118" s="632"/>
      <c r="X118" s="632"/>
      <c r="Y118" s="632"/>
      <c r="Z118" s="633"/>
      <c r="AA118" s="637"/>
      <c r="AB118" s="638"/>
      <c r="AC118" s="638"/>
      <c r="AD118" s="638"/>
      <c r="AE118" s="639"/>
      <c r="AF118" s="523"/>
      <c r="AG118" s="471"/>
      <c r="AH118" s="471"/>
      <c r="AI118" s="471"/>
      <c r="AJ118" s="472"/>
      <c r="AK118" s="470"/>
      <c r="AL118" s="471"/>
      <c r="AM118" s="471"/>
      <c r="AN118" s="471"/>
      <c r="AO118" s="472"/>
      <c r="AP118" s="470"/>
      <c r="AQ118" s="471"/>
      <c r="AR118" s="471"/>
      <c r="AS118" s="471"/>
      <c r="AT118" s="472"/>
    </row>
    <row r="119" spans="2:46" ht="12.75" customHeight="1">
      <c r="B119" s="96"/>
      <c r="C119" s="72"/>
      <c r="D119" s="72"/>
      <c r="E119" s="492" t="s">
        <v>470</v>
      </c>
      <c r="F119" s="493"/>
      <c r="G119" s="71"/>
      <c r="H119" s="72"/>
      <c r="I119" s="72"/>
      <c r="J119" s="492" t="s">
        <v>47</v>
      </c>
      <c r="K119" s="493"/>
      <c r="L119" s="71"/>
      <c r="M119" s="72"/>
      <c r="N119" s="72"/>
      <c r="O119" s="492" t="s">
        <v>46</v>
      </c>
      <c r="P119" s="493"/>
      <c r="Q119" s="73"/>
      <c r="R119" s="74"/>
      <c r="S119" s="74"/>
      <c r="T119" s="518" t="s">
        <v>462</v>
      </c>
      <c r="U119" s="519"/>
      <c r="V119" s="91"/>
      <c r="W119" s="92"/>
      <c r="X119" s="92"/>
      <c r="Y119" s="617" t="s">
        <v>47</v>
      </c>
      <c r="Z119" s="618"/>
      <c r="AA119" s="150"/>
      <c r="AB119" s="95"/>
      <c r="AC119" s="95"/>
      <c r="AD119" s="619" t="s">
        <v>475</v>
      </c>
      <c r="AE119" s="620"/>
      <c r="AF119" s="70"/>
      <c r="AG119" s="70"/>
      <c r="AH119" s="70"/>
      <c r="AI119" s="489"/>
      <c r="AJ119" s="490"/>
      <c r="AK119" s="69"/>
      <c r="AL119" s="70"/>
      <c r="AM119" s="70"/>
      <c r="AN119" s="489"/>
      <c r="AO119" s="490"/>
      <c r="AP119" s="69"/>
      <c r="AQ119" s="70"/>
      <c r="AR119" s="70"/>
      <c r="AS119" s="489"/>
      <c r="AT119" s="490"/>
    </row>
    <row r="120" spans="2:46" ht="12.75" customHeight="1">
      <c r="B120" s="494" t="s">
        <v>1243</v>
      </c>
      <c r="C120" s="487"/>
      <c r="D120" s="487"/>
      <c r="E120" s="487"/>
      <c r="F120" s="488"/>
      <c r="G120" s="486" t="s">
        <v>1248</v>
      </c>
      <c r="H120" s="487"/>
      <c r="I120" s="487"/>
      <c r="J120" s="487"/>
      <c r="K120" s="488"/>
      <c r="L120" s="486" t="s">
        <v>1254</v>
      </c>
      <c r="M120" s="487"/>
      <c r="N120" s="487"/>
      <c r="O120" s="487"/>
      <c r="P120" s="488"/>
      <c r="Q120" s="505" t="s">
        <v>195</v>
      </c>
      <c r="R120" s="506"/>
      <c r="S120" s="506"/>
      <c r="T120" s="506"/>
      <c r="U120" s="507"/>
      <c r="V120" s="640" t="s">
        <v>909</v>
      </c>
      <c r="W120" s="641"/>
      <c r="X120" s="641"/>
      <c r="Y120" s="641"/>
      <c r="Z120" s="642"/>
      <c r="AA120" s="643" t="s">
        <v>251</v>
      </c>
      <c r="AB120" s="644"/>
      <c r="AC120" s="644"/>
      <c r="AD120" s="644"/>
      <c r="AE120" s="645"/>
      <c r="AF120" s="522"/>
      <c r="AG120" s="468"/>
      <c r="AH120" s="468"/>
      <c r="AI120" s="468"/>
      <c r="AJ120" s="469"/>
      <c r="AK120" s="467"/>
      <c r="AL120" s="468"/>
      <c r="AM120" s="468"/>
      <c r="AN120" s="468"/>
      <c r="AO120" s="469"/>
      <c r="AP120" s="467"/>
      <c r="AQ120" s="468"/>
      <c r="AR120" s="468"/>
      <c r="AS120" s="468"/>
      <c r="AT120" s="469"/>
    </row>
    <row r="121" spans="2:46" ht="12.75" customHeight="1">
      <c r="B121" s="478"/>
      <c r="C121" s="479"/>
      <c r="D121" s="479"/>
      <c r="E121" s="479"/>
      <c r="F121" s="480"/>
      <c r="G121" s="481"/>
      <c r="H121" s="479"/>
      <c r="I121" s="479"/>
      <c r="J121" s="479"/>
      <c r="K121" s="480"/>
      <c r="L121" s="481"/>
      <c r="M121" s="479"/>
      <c r="N121" s="479"/>
      <c r="O121" s="479"/>
      <c r="P121" s="480"/>
      <c r="Q121" s="508"/>
      <c r="R121" s="509"/>
      <c r="S121" s="509"/>
      <c r="T121" s="509"/>
      <c r="U121" s="510"/>
      <c r="V121" s="631"/>
      <c r="W121" s="632"/>
      <c r="X121" s="632"/>
      <c r="Y121" s="632"/>
      <c r="Z121" s="633"/>
      <c r="AA121" s="637"/>
      <c r="AB121" s="638"/>
      <c r="AC121" s="638"/>
      <c r="AD121" s="638"/>
      <c r="AE121" s="639"/>
      <c r="AF121" s="523"/>
      <c r="AG121" s="471"/>
      <c r="AH121" s="471"/>
      <c r="AI121" s="471"/>
      <c r="AJ121" s="472"/>
      <c r="AK121" s="470"/>
      <c r="AL121" s="471"/>
      <c r="AM121" s="471"/>
      <c r="AN121" s="471"/>
      <c r="AO121" s="472"/>
      <c r="AP121" s="470"/>
      <c r="AQ121" s="471"/>
      <c r="AR121" s="471"/>
      <c r="AS121" s="471"/>
      <c r="AT121" s="472"/>
    </row>
    <row r="122" spans="2:46" ht="12.75" customHeight="1">
      <c r="B122" s="478"/>
      <c r="C122" s="479"/>
      <c r="D122" s="479"/>
      <c r="E122" s="479"/>
      <c r="F122" s="480"/>
      <c r="G122" s="481"/>
      <c r="H122" s="479"/>
      <c r="I122" s="479"/>
      <c r="J122" s="479"/>
      <c r="K122" s="480"/>
      <c r="L122" s="481"/>
      <c r="M122" s="479"/>
      <c r="N122" s="479"/>
      <c r="O122" s="479"/>
      <c r="P122" s="480"/>
      <c r="Q122" s="508"/>
      <c r="R122" s="509"/>
      <c r="S122" s="509"/>
      <c r="T122" s="509"/>
      <c r="U122" s="510"/>
      <c r="V122" s="631"/>
      <c r="W122" s="632"/>
      <c r="X122" s="632"/>
      <c r="Y122" s="632"/>
      <c r="Z122" s="633"/>
      <c r="AA122" s="637"/>
      <c r="AB122" s="638"/>
      <c r="AC122" s="638"/>
      <c r="AD122" s="638"/>
      <c r="AE122" s="639"/>
      <c r="AF122" s="523"/>
      <c r="AG122" s="471"/>
      <c r="AH122" s="471"/>
      <c r="AI122" s="471"/>
      <c r="AJ122" s="472"/>
      <c r="AK122" s="470"/>
      <c r="AL122" s="471"/>
      <c r="AM122" s="471"/>
      <c r="AN122" s="471"/>
      <c r="AO122" s="472"/>
      <c r="AP122" s="470"/>
      <c r="AQ122" s="471"/>
      <c r="AR122" s="471"/>
      <c r="AS122" s="471"/>
      <c r="AT122" s="472"/>
    </row>
    <row r="123" spans="2:46" ht="12.75" customHeight="1">
      <c r="B123" s="478"/>
      <c r="C123" s="479"/>
      <c r="D123" s="479"/>
      <c r="E123" s="479"/>
      <c r="F123" s="480"/>
      <c r="G123" s="481"/>
      <c r="H123" s="479"/>
      <c r="I123" s="479"/>
      <c r="J123" s="479"/>
      <c r="K123" s="480"/>
      <c r="L123" s="481"/>
      <c r="M123" s="479"/>
      <c r="N123" s="479"/>
      <c r="O123" s="479"/>
      <c r="P123" s="480"/>
      <c r="Q123" s="508"/>
      <c r="R123" s="509"/>
      <c r="S123" s="509"/>
      <c r="T123" s="509"/>
      <c r="U123" s="510"/>
      <c r="V123" s="631"/>
      <c r="W123" s="632"/>
      <c r="X123" s="632"/>
      <c r="Y123" s="632"/>
      <c r="Z123" s="633"/>
      <c r="AA123" s="637"/>
      <c r="AB123" s="638"/>
      <c r="AC123" s="638"/>
      <c r="AD123" s="638"/>
      <c r="AE123" s="639"/>
      <c r="AF123" s="523"/>
      <c r="AG123" s="471"/>
      <c r="AH123" s="471"/>
      <c r="AI123" s="471"/>
      <c r="AJ123" s="472"/>
      <c r="AK123" s="470"/>
      <c r="AL123" s="471"/>
      <c r="AM123" s="471"/>
      <c r="AN123" s="471"/>
      <c r="AO123" s="472"/>
      <c r="AP123" s="470"/>
      <c r="AQ123" s="471"/>
      <c r="AR123" s="471"/>
      <c r="AS123" s="471"/>
      <c r="AT123" s="472"/>
    </row>
    <row r="124" spans="2:46" ht="12.75" customHeight="1">
      <c r="B124" s="96"/>
      <c r="C124" s="72"/>
      <c r="D124" s="72"/>
      <c r="E124" s="492" t="s">
        <v>469</v>
      </c>
      <c r="F124" s="493"/>
      <c r="G124" s="71"/>
      <c r="H124" s="72"/>
      <c r="I124" s="72"/>
      <c r="J124" s="492" t="s">
        <v>47</v>
      </c>
      <c r="K124" s="493"/>
      <c r="L124" s="71"/>
      <c r="M124" s="72"/>
      <c r="N124" s="72"/>
      <c r="O124" s="492" t="s">
        <v>46</v>
      </c>
      <c r="P124" s="493"/>
      <c r="Q124" s="73"/>
      <c r="R124" s="74"/>
      <c r="S124" s="74"/>
      <c r="T124" s="518" t="s">
        <v>471</v>
      </c>
      <c r="U124" s="519"/>
      <c r="V124" s="91"/>
      <c r="W124" s="92"/>
      <c r="X124" s="92"/>
      <c r="Y124" s="617" t="s">
        <v>461</v>
      </c>
      <c r="Z124" s="618"/>
      <c r="AA124" s="150"/>
      <c r="AB124" s="95"/>
      <c r="AC124" s="95"/>
      <c r="AD124" s="619" t="s">
        <v>474</v>
      </c>
      <c r="AE124" s="620"/>
      <c r="AF124" s="70"/>
      <c r="AG124" s="70"/>
      <c r="AH124" s="70"/>
      <c r="AI124" s="489"/>
      <c r="AJ124" s="490"/>
      <c r="AK124" s="69"/>
      <c r="AL124" s="70"/>
      <c r="AM124" s="70"/>
      <c r="AN124" s="489"/>
      <c r="AO124" s="490"/>
      <c r="AP124" s="69"/>
      <c r="AQ124" s="70"/>
      <c r="AR124" s="70"/>
      <c r="AS124" s="489"/>
      <c r="AT124" s="490"/>
    </row>
    <row r="125" spans="2:46" ht="12.75" customHeight="1">
      <c r="B125" s="494" t="s">
        <v>1244</v>
      </c>
      <c r="C125" s="487"/>
      <c r="D125" s="487"/>
      <c r="E125" s="487"/>
      <c r="F125" s="488"/>
      <c r="G125" s="486" t="s">
        <v>1249</v>
      </c>
      <c r="H125" s="487"/>
      <c r="I125" s="487"/>
      <c r="J125" s="487"/>
      <c r="K125" s="488"/>
      <c r="L125" s="486" t="s">
        <v>1255</v>
      </c>
      <c r="M125" s="487"/>
      <c r="N125" s="487"/>
      <c r="O125" s="487"/>
      <c r="P125" s="488"/>
      <c r="Q125" s="505" t="s">
        <v>192</v>
      </c>
      <c r="R125" s="506"/>
      <c r="S125" s="506"/>
      <c r="T125" s="506"/>
      <c r="U125" s="507"/>
      <c r="V125" s="646" t="s">
        <v>7</v>
      </c>
      <c r="W125" s="647"/>
      <c r="X125" s="647"/>
      <c r="Y125" s="647"/>
      <c r="Z125" s="648"/>
      <c r="AA125" s="643" t="s">
        <v>252</v>
      </c>
      <c r="AB125" s="644"/>
      <c r="AC125" s="644"/>
      <c r="AD125" s="644"/>
      <c r="AE125" s="645"/>
      <c r="AF125" s="522"/>
      <c r="AG125" s="468"/>
      <c r="AH125" s="468"/>
      <c r="AI125" s="468"/>
      <c r="AJ125" s="469"/>
      <c r="AK125" s="467"/>
      <c r="AL125" s="468"/>
      <c r="AM125" s="468"/>
      <c r="AN125" s="468"/>
      <c r="AO125" s="469"/>
      <c r="AP125" s="467"/>
      <c r="AQ125" s="468"/>
      <c r="AR125" s="468"/>
      <c r="AS125" s="468"/>
      <c r="AT125" s="469"/>
    </row>
    <row r="126" spans="2:46" ht="12.75" customHeight="1">
      <c r="B126" s="478"/>
      <c r="C126" s="479"/>
      <c r="D126" s="479"/>
      <c r="E126" s="479"/>
      <c r="F126" s="480"/>
      <c r="G126" s="481"/>
      <c r="H126" s="479"/>
      <c r="I126" s="479"/>
      <c r="J126" s="479"/>
      <c r="K126" s="480"/>
      <c r="L126" s="481"/>
      <c r="M126" s="479"/>
      <c r="N126" s="479"/>
      <c r="O126" s="479"/>
      <c r="P126" s="480"/>
      <c r="Q126" s="508"/>
      <c r="R126" s="509"/>
      <c r="S126" s="509"/>
      <c r="T126" s="509"/>
      <c r="U126" s="510"/>
      <c r="V126" s="649"/>
      <c r="W126" s="650"/>
      <c r="X126" s="650"/>
      <c r="Y126" s="650"/>
      <c r="Z126" s="651"/>
      <c r="AA126" s="637"/>
      <c r="AB126" s="638"/>
      <c r="AC126" s="638"/>
      <c r="AD126" s="638"/>
      <c r="AE126" s="639"/>
      <c r="AF126" s="523"/>
      <c r="AG126" s="471"/>
      <c r="AH126" s="471"/>
      <c r="AI126" s="471"/>
      <c r="AJ126" s="472"/>
      <c r="AK126" s="470"/>
      <c r="AL126" s="471"/>
      <c r="AM126" s="471"/>
      <c r="AN126" s="471"/>
      <c r="AO126" s="472"/>
      <c r="AP126" s="470"/>
      <c r="AQ126" s="471"/>
      <c r="AR126" s="471"/>
      <c r="AS126" s="471"/>
      <c r="AT126" s="472"/>
    </row>
    <row r="127" spans="2:46" ht="12.75" customHeight="1">
      <c r="B127" s="478"/>
      <c r="C127" s="479"/>
      <c r="D127" s="479"/>
      <c r="E127" s="479"/>
      <c r="F127" s="480"/>
      <c r="G127" s="481"/>
      <c r="H127" s="479"/>
      <c r="I127" s="479"/>
      <c r="J127" s="479"/>
      <c r="K127" s="480"/>
      <c r="L127" s="481"/>
      <c r="M127" s="479"/>
      <c r="N127" s="479"/>
      <c r="O127" s="479"/>
      <c r="P127" s="480"/>
      <c r="Q127" s="508"/>
      <c r="R127" s="509"/>
      <c r="S127" s="509"/>
      <c r="T127" s="509"/>
      <c r="U127" s="510"/>
      <c r="V127" s="649"/>
      <c r="W127" s="650"/>
      <c r="X127" s="650"/>
      <c r="Y127" s="650"/>
      <c r="Z127" s="651"/>
      <c r="AA127" s="637"/>
      <c r="AB127" s="638"/>
      <c r="AC127" s="638"/>
      <c r="AD127" s="638"/>
      <c r="AE127" s="639"/>
      <c r="AF127" s="523"/>
      <c r="AG127" s="471"/>
      <c r="AH127" s="471"/>
      <c r="AI127" s="471"/>
      <c r="AJ127" s="472"/>
      <c r="AK127" s="470"/>
      <c r="AL127" s="471"/>
      <c r="AM127" s="471"/>
      <c r="AN127" s="471"/>
      <c r="AO127" s="472"/>
      <c r="AP127" s="470"/>
      <c r="AQ127" s="471"/>
      <c r="AR127" s="471"/>
      <c r="AS127" s="471"/>
      <c r="AT127" s="472"/>
    </row>
    <row r="128" spans="2:46" ht="12.75" customHeight="1">
      <c r="B128" s="478"/>
      <c r="C128" s="479"/>
      <c r="D128" s="479"/>
      <c r="E128" s="479"/>
      <c r="F128" s="480"/>
      <c r="G128" s="481"/>
      <c r="H128" s="479"/>
      <c r="I128" s="479"/>
      <c r="J128" s="479"/>
      <c r="K128" s="480"/>
      <c r="L128" s="481"/>
      <c r="M128" s="479"/>
      <c r="N128" s="479"/>
      <c r="O128" s="479"/>
      <c r="P128" s="480"/>
      <c r="Q128" s="508"/>
      <c r="R128" s="509"/>
      <c r="S128" s="509"/>
      <c r="T128" s="509"/>
      <c r="U128" s="510"/>
      <c r="V128" s="649"/>
      <c r="W128" s="650"/>
      <c r="X128" s="650"/>
      <c r="Y128" s="650"/>
      <c r="Z128" s="651"/>
      <c r="AA128" s="637"/>
      <c r="AB128" s="638"/>
      <c r="AC128" s="638"/>
      <c r="AD128" s="638"/>
      <c r="AE128" s="639"/>
      <c r="AF128" s="523"/>
      <c r="AG128" s="471"/>
      <c r="AH128" s="471"/>
      <c r="AI128" s="471"/>
      <c r="AJ128" s="472"/>
      <c r="AK128" s="470"/>
      <c r="AL128" s="471"/>
      <c r="AM128" s="471"/>
      <c r="AN128" s="471"/>
      <c r="AO128" s="472"/>
      <c r="AP128" s="470"/>
      <c r="AQ128" s="471"/>
      <c r="AR128" s="471"/>
      <c r="AS128" s="471"/>
      <c r="AT128" s="472"/>
    </row>
    <row r="129" spans="2:46" ht="12.75" customHeight="1">
      <c r="B129" s="96"/>
      <c r="C129" s="72"/>
      <c r="D129" s="72"/>
      <c r="E129" s="492" t="s">
        <v>470</v>
      </c>
      <c r="F129" s="493"/>
      <c r="G129" s="71"/>
      <c r="H129" s="72"/>
      <c r="I129" s="72"/>
      <c r="J129" s="492" t="s">
        <v>47</v>
      </c>
      <c r="K129" s="493"/>
      <c r="L129" s="71"/>
      <c r="M129" s="72"/>
      <c r="N129" s="72"/>
      <c r="O129" s="492" t="s">
        <v>46</v>
      </c>
      <c r="P129" s="493"/>
      <c r="Q129" s="73"/>
      <c r="R129" s="74"/>
      <c r="S129" s="74"/>
      <c r="T129" s="518" t="s">
        <v>472</v>
      </c>
      <c r="U129" s="519"/>
      <c r="V129" s="93"/>
      <c r="W129" s="94"/>
      <c r="X129" s="94"/>
      <c r="Y129" s="652" t="s">
        <v>461</v>
      </c>
      <c r="Z129" s="653"/>
      <c r="AA129" s="150"/>
      <c r="AB129" s="95"/>
      <c r="AC129" s="95"/>
      <c r="AD129" s="619" t="s">
        <v>476</v>
      </c>
      <c r="AE129" s="620"/>
      <c r="AF129" s="70"/>
      <c r="AG129" s="70"/>
      <c r="AH129" s="70"/>
      <c r="AI129" s="489"/>
      <c r="AJ129" s="490"/>
      <c r="AK129" s="69"/>
      <c r="AL129" s="70"/>
      <c r="AM129" s="70"/>
      <c r="AN129" s="489"/>
      <c r="AO129" s="490"/>
      <c r="AP129" s="69"/>
      <c r="AQ129" s="70"/>
      <c r="AR129" s="70"/>
      <c r="AS129" s="489"/>
      <c r="AT129" s="490"/>
    </row>
    <row r="130" spans="2:46" ht="12.75" customHeight="1">
      <c r="B130" s="494" t="s">
        <v>1245</v>
      </c>
      <c r="C130" s="487"/>
      <c r="D130" s="487"/>
      <c r="E130" s="487"/>
      <c r="F130" s="488"/>
      <c r="G130" s="486" t="s">
        <v>1250</v>
      </c>
      <c r="H130" s="487"/>
      <c r="I130" s="487"/>
      <c r="J130" s="487"/>
      <c r="K130" s="488"/>
      <c r="L130" s="486" t="s">
        <v>200</v>
      </c>
      <c r="M130" s="487"/>
      <c r="N130" s="487"/>
      <c r="O130" s="487"/>
      <c r="P130" s="488"/>
      <c r="Q130" s="505" t="s">
        <v>199</v>
      </c>
      <c r="R130" s="506"/>
      <c r="S130" s="506"/>
      <c r="T130" s="506"/>
      <c r="U130" s="507"/>
      <c r="V130" s="646" t="s">
        <v>193</v>
      </c>
      <c r="W130" s="647"/>
      <c r="X130" s="647"/>
      <c r="Y130" s="647"/>
      <c r="Z130" s="648"/>
      <c r="AA130" s="643" t="s">
        <v>253</v>
      </c>
      <c r="AB130" s="644"/>
      <c r="AC130" s="644"/>
      <c r="AD130" s="644"/>
      <c r="AE130" s="645"/>
      <c r="AF130" s="522"/>
      <c r="AG130" s="468"/>
      <c r="AH130" s="468"/>
      <c r="AI130" s="468"/>
      <c r="AJ130" s="469"/>
      <c r="AK130" s="467"/>
      <c r="AL130" s="468"/>
      <c r="AM130" s="468"/>
      <c r="AN130" s="468"/>
      <c r="AO130" s="469"/>
      <c r="AP130" s="467"/>
      <c r="AQ130" s="468"/>
      <c r="AR130" s="468"/>
      <c r="AS130" s="468"/>
      <c r="AT130" s="469"/>
    </row>
    <row r="131" spans="2:46" ht="12.75" customHeight="1">
      <c r="B131" s="478"/>
      <c r="C131" s="479"/>
      <c r="D131" s="479"/>
      <c r="E131" s="479"/>
      <c r="F131" s="480"/>
      <c r="G131" s="481"/>
      <c r="H131" s="479"/>
      <c r="I131" s="479"/>
      <c r="J131" s="479"/>
      <c r="K131" s="480"/>
      <c r="L131" s="481"/>
      <c r="M131" s="479"/>
      <c r="N131" s="479"/>
      <c r="O131" s="479"/>
      <c r="P131" s="480"/>
      <c r="Q131" s="508"/>
      <c r="R131" s="509"/>
      <c r="S131" s="509"/>
      <c r="T131" s="509"/>
      <c r="U131" s="510"/>
      <c r="V131" s="649"/>
      <c r="W131" s="650"/>
      <c r="X131" s="650"/>
      <c r="Y131" s="650"/>
      <c r="Z131" s="651"/>
      <c r="AA131" s="637"/>
      <c r="AB131" s="638"/>
      <c r="AC131" s="638"/>
      <c r="AD131" s="638"/>
      <c r="AE131" s="639"/>
      <c r="AF131" s="523"/>
      <c r="AG131" s="471"/>
      <c r="AH131" s="471"/>
      <c r="AI131" s="471"/>
      <c r="AJ131" s="472"/>
      <c r="AK131" s="470"/>
      <c r="AL131" s="471"/>
      <c r="AM131" s="471"/>
      <c r="AN131" s="471"/>
      <c r="AO131" s="472"/>
      <c r="AP131" s="470"/>
      <c r="AQ131" s="471"/>
      <c r="AR131" s="471"/>
      <c r="AS131" s="471"/>
      <c r="AT131" s="472"/>
    </row>
    <row r="132" spans="2:46" ht="12.75" customHeight="1">
      <c r="B132" s="478"/>
      <c r="C132" s="479"/>
      <c r="D132" s="479"/>
      <c r="E132" s="479"/>
      <c r="F132" s="480"/>
      <c r="G132" s="481"/>
      <c r="H132" s="479"/>
      <c r="I132" s="479"/>
      <c r="J132" s="479"/>
      <c r="K132" s="480"/>
      <c r="L132" s="481"/>
      <c r="M132" s="479"/>
      <c r="N132" s="479"/>
      <c r="O132" s="479"/>
      <c r="P132" s="480"/>
      <c r="Q132" s="508"/>
      <c r="R132" s="509"/>
      <c r="S132" s="509"/>
      <c r="T132" s="509"/>
      <c r="U132" s="510"/>
      <c r="V132" s="649"/>
      <c r="W132" s="650"/>
      <c r="X132" s="650"/>
      <c r="Y132" s="650"/>
      <c r="Z132" s="651"/>
      <c r="AA132" s="637"/>
      <c r="AB132" s="638"/>
      <c r="AC132" s="638"/>
      <c r="AD132" s="638"/>
      <c r="AE132" s="639"/>
      <c r="AF132" s="523"/>
      <c r="AG132" s="471"/>
      <c r="AH132" s="471"/>
      <c r="AI132" s="471"/>
      <c r="AJ132" s="472"/>
      <c r="AK132" s="470"/>
      <c r="AL132" s="471"/>
      <c r="AM132" s="471"/>
      <c r="AN132" s="471"/>
      <c r="AO132" s="472"/>
      <c r="AP132" s="470"/>
      <c r="AQ132" s="471"/>
      <c r="AR132" s="471"/>
      <c r="AS132" s="471"/>
      <c r="AT132" s="472"/>
    </row>
    <row r="133" spans="2:46" ht="12.75" customHeight="1">
      <c r="B133" s="478"/>
      <c r="C133" s="479"/>
      <c r="D133" s="479"/>
      <c r="E133" s="479"/>
      <c r="F133" s="480"/>
      <c r="G133" s="481"/>
      <c r="H133" s="479"/>
      <c r="I133" s="479"/>
      <c r="J133" s="479"/>
      <c r="K133" s="480"/>
      <c r="L133" s="481"/>
      <c r="M133" s="479"/>
      <c r="N133" s="479"/>
      <c r="O133" s="479"/>
      <c r="P133" s="480"/>
      <c r="Q133" s="508"/>
      <c r="R133" s="509"/>
      <c r="S133" s="509"/>
      <c r="T133" s="509"/>
      <c r="U133" s="510"/>
      <c r="V133" s="649"/>
      <c r="W133" s="650"/>
      <c r="X133" s="650"/>
      <c r="Y133" s="650"/>
      <c r="Z133" s="651"/>
      <c r="AA133" s="637"/>
      <c r="AB133" s="638"/>
      <c r="AC133" s="638"/>
      <c r="AD133" s="638"/>
      <c r="AE133" s="639"/>
      <c r="AF133" s="523"/>
      <c r="AG133" s="471"/>
      <c r="AH133" s="471"/>
      <c r="AI133" s="471"/>
      <c r="AJ133" s="472"/>
      <c r="AK133" s="470"/>
      <c r="AL133" s="471"/>
      <c r="AM133" s="471"/>
      <c r="AN133" s="471"/>
      <c r="AO133" s="472"/>
      <c r="AP133" s="470"/>
      <c r="AQ133" s="471"/>
      <c r="AR133" s="471"/>
      <c r="AS133" s="471"/>
      <c r="AT133" s="472"/>
    </row>
    <row r="134" spans="2:46" ht="12.75" customHeight="1">
      <c r="B134" s="96"/>
      <c r="C134" s="72"/>
      <c r="D134" s="72"/>
      <c r="E134" s="492" t="s">
        <v>470</v>
      </c>
      <c r="F134" s="493"/>
      <c r="G134" s="71"/>
      <c r="H134" s="72"/>
      <c r="I134" s="72"/>
      <c r="J134" s="492" t="s">
        <v>47</v>
      </c>
      <c r="K134" s="493"/>
      <c r="L134" s="71"/>
      <c r="M134" s="72"/>
      <c r="N134" s="72"/>
      <c r="O134" s="492" t="s">
        <v>46</v>
      </c>
      <c r="P134" s="493"/>
      <c r="Q134" s="73"/>
      <c r="R134" s="74"/>
      <c r="S134" s="74"/>
      <c r="T134" s="518" t="s">
        <v>453</v>
      </c>
      <c r="U134" s="519"/>
      <c r="V134" s="93"/>
      <c r="W134" s="94"/>
      <c r="X134" s="94"/>
      <c r="Y134" s="652" t="s">
        <v>461</v>
      </c>
      <c r="Z134" s="653"/>
      <c r="AA134" s="150"/>
      <c r="AB134" s="95"/>
      <c r="AC134" s="95"/>
      <c r="AD134" s="619" t="s">
        <v>457</v>
      </c>
      <c r="AE134" s="620"/>
      <c r="AF134" s="70"/>
      <c r="AG134" s="70"/>
      <c r="AH134" s="70"/>
      <c r="AI134" s="489"/>
      <c r="AJ134" s="490"/>
      <c r="AK134" s="69"/>
      <c r="AL134" s="70"/>
      <c r="AM134" s="70"/>
      <c r="AN134" s="489"/>
      <c r="AO134" s="490"/>
      <c r="AP134" s="69"/>
      <c r="AQ134" s="70"/>
      <c r="AR134" s="70"/>
      <c r="AS134" s="489"/>
      <c r="AT134" s="490"/>
    </row>
    <row r="135" spans="2:46" ht="12.75" customHeight="1">
      <c r="B135" s="494" t="s">
        <v>1453</v>
      </c>
      <c r="C135" s="487"/>
      <c r="D135" s="487"/>
      <c r="E135" s="487"/>
      <c r="F135" s="488"/>
      <c r="G135" s="486" t="s">
        <v>1251</v>
      </c>
      <c r="H135" s="487"/>
      <c r="I135" s="487"/>
      <c r="J135" s="487"/>
      <c r="K135" s="488"/>
      <c r="L135" s="486" t="s">
        <v>1274</v>
      </c>
      <c r="M135" s="487"/>
      <c r="N135" s="487"/>
      <c r="O135" s="487"/>
      <c r="P135" s="488"/>
      <c r="Q135" s="505" t="s">
        <v>196</v>
      </c>
      <c r="R135" s="506"/>
      <c r="S135" s="506"/>
      <c r="T135" s="506"/>
      <c r="U135" s="507"/>
      <c r="V135" s="646" t="s">
        <v>8</v>
      </c>
      <c r="W135" s="647"/>
      <c r="X135" s="647"/>
      <c r="Y135" s="647"/>
      <c r="Z135" s="648"/>
      <c r="AA135" s="643" t="s">
        <v>10</v>
      </c>
      <c r="AB135" s="644"/>
      <c r="AC135" s="644"/>
      <c r="AD135" s="644"/>
      <c r="AE135" s="645"/>
      <c r="AF135" s="522"/>
      <c r="AG135" s="468"/>
      <c r="AH135" s="468"/>
      <c r="AI135" s="468"/>
      <c r="AJ135" s="469"/>
      <c r="AK135" s="467"/>
      <c r="AL135" s="468"/>
      <c r="AM135" s="468"/>
      <c r="AN135" s="468"/>
      <c r="AO135" s="469"/>
      <c r="AP135" s="467"/>
      <c r="AQ135" s="468"/>
      <c r="AR135" s="468"/>
      <c r="AS135" s="468"/>
      <c r="AT135" s="469"/>
    </row>
    <row r="136" spans="2:46" ht="12.75" customHeight="1">
      <c r="B136" s="478"/>
      <c r="C136" s="479"/>
      <c r="D136" s="479"/>
      <c r="E136" s="479"/>
      <c r="F136" s="480"/>
      <c r="G136" s="481"/>
      <c r="H136" s="479"/>
      <c r="I136" s="479"/>
      <c r="J136" s="479"/>
      <c r="K136" s="480"/>
      <c r="L136" s="481"/>
      <c r="M136" s="479"/>
      <c r="N136" s="479"/>
      <c r="O136" s="479"/>
      <c r="P136" s="480"/>
      <c r="Q136" s="508"/>
      <c r="R136" s="509"/>
      <c r="S136" s="509"/>
      <c r="T136" s="509"/>
      <c r="U136" s="510"/>
      <c r="V136" s="649"/>
      <c r="W136" s="650"/>
      <c r="X136" s="650"/>
      <c r="Y136" s="650"/>
      <c r="Z136" s="651"/>
      <c r="AA136" s="637"/>
      <c r="AB136" s="638"/>
      <c r="AC136" s="638"/>
      <c r="AD136" s="638"/>
      <c r="AE136" s="639"/>
      <c r="AF136" s="523"/>
      <c r="AG136" s="471"/>
      <c r="AH136" s="471"/>
      <c r="AI136" s="471"/>
      <c r="AJ136" s="472"/>
      <c r="AK136" s="470"/>
      <c r="AL136" s="471"/>
      <c r="AM136" s="471"/>
      <c r="AN136" s="471"/>
      <c r="AO136" s="472"/>
      <c r="AP136" s="470"/>
      <c r="AQ136" s="471"/>
      <c r="AR136" s="471"/>
      <c r="AS136" s="471"/>
      <c r="AT136" s="472"/>
    </row>
    <row r="137" spans="2:46" ht="12.75" customHeight="1">
      <c r="B137" s="478"/>
      <c r="C137" s="479"/>
      <c r="D137" s="479"/>
      <c r="E137" s="479"/>
      <c r="F137" s="480"/>
      <c r="G137" s="481"/>
      <c r="H137" s="479"/>
      <c r="I137" s="479"/>
      <c r="J137" s="479"/>
      <c r="K137" s="480"/>
      <c r="L137" s="481"/>
      <c r="M137" s="479"/>
      <c r="N137" s="479"/>
      <c r="O137" s="479"/>
      <c r="P137" s="480"/>
      <c r="Q137" s="508"/>
      <c r="R137" s="509"/>
      <c r="S137" s="509"/>
      <c r="T137" s="509"/>
      <c r="U137" s="510"/>
      <c r="V137" s="649"/>
      <c r="W137" s="650"/>
      <c r="X137" s="650"/>
      <c r="Y137" s="650"/>
      <c r="Z137" s="651"/>
      <c r="AA137" s="637"/>
      <c r="AB137" s="638"/>
      <c r="AC137" s="638"/>
      <c r="AD137" s="638"/>
      <c r="AE137" s="639"/>
      <c r="AF137" s="523"/>
      <c r="AG137" s="471"/>
      <c r="AH137" s="471"/>
      <c r="AI137" s="471"/>
      <c r="AJ137" s="472"/>
      <c r="AK137" s="470"/>
      <c r="AL137" s="471"/>
      <c r="AM137" s="471"/>
      <c r="AN137" s="471"/>
      <c r="AO137" s="472"/>
      <c r="AP137" s="470"/>
      <c r="AQ137" s="471"/>
      <c r="AR137" s="471"/>
      <c r="AS137" s="471"/>
      <c r="AT137" s="472"/>
    </row>
    <row r="138" spans="2:46" ht="12.75" customHeight="1">
      <c r="B138" s="478"/>
      <c r="C138" s="479"/>
      <c r="D138" s="479"/>
      <c r="E138" s="479"/>
      <c r="F138" s="480"/>
      <c r="G138" s="481"/>
      <c r="H138" s="479"/>
      <c r="I138" s="479"/>
      <c r="J138" s="479"/>
      <c r="K138" s="480"/>
      <c r="L138" s="481"/>
      <c r="M138" s="479"/>
      <c r="N138" s="479"/>
      <c r="O138" s="479"/>
      <c r="P138" s="480"/>
      <c r="Q138" s="508"/>
      <c r="R138" s="509"/>
      <c r="S138" s="509"/>
      <c r="T138" s="509"/>
      <c r="U138" s="510"/>
      <c r="V138" s="649"/>
      <c r="W138" s="650"/>
      <c r="X138" s="650"/>
      <c r="Y138" s="650"/>
      <c r="Z138" s="651"/>
      <c r="AA138" s="637"/>
      <c r="AB138" s="638"/>
      <c r="AC138" s="638"/>
      <c r="AD138" s="638"/>
      <c r="AE138" s="639"/>
      <c r="AF138" s="523"/>
      <c r="AG138" s="471"/>
      <c r="AH138" s="471"/>
      <c r="AI138" s="471"/>
      <c r="AJ138" s="472"/>
      <c r="AK138" s="470"/>
      <c r="AL138" s="471"/>
      <c r="AM138" s="471"/>
      <c r="AN138" s="471"/>
      <c r="AO138" s="472"/>
      <c r="AP138" s="470"/>
      <c r="AQ138" s="471"/>
      <c r="AR138" s="471"/>
      <c r="AS138" s="471"/>
      <c r="AT138" s="472"/>
    </row>
    <row r="139" spans="2:46" ht="12.75" customHeight="1">
      <c r="B139" s="96"/>
      <c r="C139" s="72"/>
      <c r="D139" s="72"/>
      <c r="E139" s="492" t="s">
        <v>470</v>
      </c>
      <c r="F139" s="493"/>
      <c r="G139" s="71"/>
      <c r="H139" s="72"/>
      <c r="I139" s="72"/>
      <c r="J139" s="492" t="s">
        <v>46</v>
      </c>
      <c r="K139" s="493"/>
      <c r="L139" s="71"/>
      <c r="M139" s="72"/>
      <c r="N139" s="72"/>
      <c r="O139" s="492" t="s">
        <v>469</v>
      </c>
      <c r="P139" s="493"/>
      <c r="Q139" s="73"/>
      <c r="R139" s="74"/>
      <c r="S139" s="74"/>
      <c r="T139" s="518" t="s">
        <v>48</v>
      </c>
      <c r="U139" s="519"/>
      <c r="V139" s="93"/>
      <c r="W139" s="94"/>
      <c r="X139" s="94"/>
      <c r="Y139" s="652" t="s">
        <v>455</v>
      </c>
      <c r="Z139" s="653"/>
      <c r="AA139" s="150"/>
      <c r="AB139" s="95"/>
      <c r="AC139" s="95"/>
      <c r="AD139" s="619" t="s">
        <v>477</v>
      </c>
      <c r="AE139" s="620"/>
      <c r="AF139" s="70"/>
      <c r="AG139" s="70"/>
      <c r="AH139" s="70"/>
      <c r="AI139" s="489"/>
      <c r="AJ139" s="490"/>
      <c r="AK139" s="69"/>
      <c r="AL139" s="70"/>
      <c r="AM139" s="70"/>
      <c r="AN139" s="489"/>
      <c r="AO139" s="490"/>
      <c r="AP139" s="69"/>
      <c r="AQ139" s="70"/>
      <c r="AR139" s="70"/>
      <c r="AS139" s="489"/>
      <c r="AT139" s="490"/>
    </row>
    <row r="140" spans="2:46" ht="12.75" customHeight="1">
      <c r="B140" s="494" t="s">
        <v>1246</v>
      </c>
      <c r="C140" s="487"/>
      <c r="D140" s="487"/>
      <c r="E140" s="487"/>
      <c r="F140" s="488"/>
      <c r="G140" s="486" t="s">
        <v>1252</v>
      </c>
      <c r="H140" s="487"/>
      <c r="I140" s="487"/>
      <c r="J140" s="487"/>
      <c r="K140" s="488"/>
      <c r="L140" s="505" t="s">
        <v>393</v>
      </c>
      <c r="M140" s="506"/>
      <c r="N140" s="506"/>
      <c r="O140" s="506"/>
      <c r="P140" s="507"/>
      <c r="Q140" s="505" t="s">
        <v>198</v>
      </c>
      <c r="R140" s="506"/>
      <c r="S140" s="506"/>
      <c r="T140" s="506"/>
      <c r="U140" s="507"/>
      <c r="V140" s="646" t="s">
        <v>9</v>
      </c>
      <c r="W140" s="647"/>
      <c r="X140" s="647"/>
      <c r="Y140" s="647"/>
      <c r="Z140" s="648"/>
      <c r="AA140" s="554" t="s">
        <v>843</v>
      </c>
      <c r="AB140" s="555"/>
      <c r="AC140" s="555"/>
      <c r="AD140" s="555"/>
      <c r="AE140" s="654"/>
      <c r="AF140" s="522"/>
      <c r="AG140" s="468"/>
      <c r="AH140" s="468"/>
      <c r="AI140" s="468"/>
      <c r="AJ140" s="469"/>
      <c r="AK140" s="467"/>
      <c r="AL140" s="468"/>
      <c r="AM140" s="468"/>
      <c r="AN140" s="468"/>
      <c r="AO140" s="469"/>
      <c r="AP140" s="467"/>
      <c r="AQ140" s="468"/>
      <c r="AR140" s="468"/>
      <c r="AS140" s="468"/>
      <c r="AT140" s="469"/>
    </row>
    <row r="141" spans="2:46" ht="12.75" customHeight="1">
      <c r="B141" s="478"/>
      <c r="C141" s="479"/>
      <c r="D141" s="479"/>
      <c r="E141" s="479"/>
      <c r="F141" s="480"/>
      <c r="G141" s="481"/>
      <c r="H141" s="479"/>
      <c r="I141" s="479"/>
      <c r="J141" s="479"/>
      <c r="K141" s="480"/>
      <c r="L141" s="508"/>
      <c r="M141" s="509"/>
      <c r="N141" s="509"/>
      <c r="O141" s="509"/>
      <c r="P141" s="510"/>
      <c r="Q141" s="508"/>
      <c r="R141" s="509"/>
      <c r="S141" s="509"/>
      <c r="T141" s="509"/>
      <c r="U141" s="510"/>
      <c r="V141" s="649"/>
      <c r="W141" s="650"/>
      <c r="X141" s="650"/>
      <c r="Y141" s="650"/>
      <c r="Z141" s="651"/>
      <c r="AA141" s="482"/>
      <c r="AB141" s="483"/>
      <c r="AC141" s="483"/>
      <c r="AD141" s="483"/>
      <c r="AE141" s="655"/>
      <c r="AF141" s="523"/>
      <c r="AG141" s="471"/>
      <c r="AH141" s="471"/>
      <c r="AI141" s="471"/>
      <c r="AJ141" s="472"/>
      <c r="AK141" s="470"/>
      <c r="AL141" s="471"/>
      <c r="AM141" s="471"/>
      <c r="AN141" s="471"/>
      <c r="AO141" s="472"/>
      <c r="AP141" s="470"/>
      <c r="AQ141" s="471"/>
      <c r="AR141" s="471"/>
      <c r="AS141" s="471"/>
      <c r="AT141" s="472"/>
    </row>
    <row r="142" spans="2:46" ht="12.75" customHeight="1">
      <c r="B142" s="478"/>
      <c r="C142" s="479"/>
      <c r="D142" s="479"/>
      <c r="E142" s="479"/>
      <c r="F142" s="480"/>
      <c r="G142" s="481"/>
      <c r="H142" s="479"/>
      <c r="I142" s="479"/>
      <c r="J142" s="479"/>
      <c r="K142" s="480"/>
      <c r="L142" s="508"/>
      <c r="M142" s="509"/>
      <c r="N142" s="509"/>
      <c r="O142" s="509"/>
      <c r="P142" s="510"/>
      <c r="Q142" s="508"/>
      <c r="R142" s="509"/>
      <c r="S142" s="509"/>
      <c r="T142" s="509"/>
      <c r="U142" s="510"/>
      <c r="V142" s="649"/>
      <c r="W142" s="650"/>
      <c r="X142" s="650"/>
      <c r="Y142" s="650"/>
      <c r="Z142" s="651"/>
      <c r="AA142" s="482"/>
      <c r="AB142" s="483"/>
      <c r="AC142" s="483"/>
      <c r="AD142" s="483"/>
      <c r="AE142" s="655"/>
      <c r="AF142" s="523"/>
      <c r="AG142" s="471"/>
      <c r="AH142" s="471"/>
      <c r="AI142" s="471"/>
      <c r="AJ142" s="472"/>
      <c r="AK142" s="470"/>
      <c r="AL142" s="471"/>
      <c r="AM142" s="471"/>
      <c r="AN142" s="471"/>
      <c r="AO142" s="472"/>
      <c r="AP142" s="470"/>
      <c r="AQ142" s="471"/>
      <c r="AR142" s="471"/>
      <c r="AS142" s="471"/>
      <c r="AT142" s="472"/>
    </row>
    <row r="143" spans="2:46" ht="12.75" customHeight="1">
      <c r="B143" s="478"/>
      <c r="C143" s="479"/>
      <c r="D143" s="479"/>
      <c r="E143" s="479"/>
      <c r="F143" s="480"/>
      <c r="G143" s="481"/>
      <c r="H143" s="479"/>
      <c r="I143" s="479"/>
      <c r="J143" s="479"/>
      <c r="K143" s="480"/>
      <c r="L143" s="508"/>
      <c r="M143" s="509"/>
      <c r="N143" s="509"/>
      <c r="O143" s="509"/>
      <c r="P143" s="510"/>
      <c r="Q143" s="508"/>
      <c r="R143" s="509"/>
      <c r="S143" s="509"/>
      <c r="T143" s="509"/>
      <c r="U143" s="510"/>
      <c r="V143" s="649"/>
      <c r="W143" s="650"/>
      <c r="X143" s="650"/>
      <c r="Y143" s="650"/>
      <c r="Z143" s="651"/>
      <c r="AA143" s="482"/>
      <c r="AB143" s="483"/>
      <c r="AC143" s="483"/>
      <c r="AD143" s="483"/>
      <c r="AE143" s="655"/>
      <c r="AF143" s="523"/>
      <c r="AG143" s="471"/>
      <c r="AH143" s="471"/>
      <c r="AI143" s="471"/>
      <c r="AJ143" s="472"/>
      <c r="AK143" s="470"/>
      <c r="AL143" s="471"/>
      <c r="AM143" s="471"/>
      <c r="AN143" s="471"/>
      <c r="AO143" s="472"/>
      <c r="AP143" s="470"/>
      <c r="AQ143" s="471"/>
      <c r="AR143" s="471"/>
      <c r="AS143" s="471"/>
      <c r="AT143" s="472"/>
    </row>
    <row r="144" spans="2:46" ht="12.75" customHeight="1" thickBot="1">
      <c r="B144" s="97"/>
      <c r="C144" s="98"/>
      <c r="D144" s="98"/>
      <c r="E144" s="513" t="s">
        <v>470</v>
      </c>
      <c r="F144" s="514"/>
      <c r="G144" s="109"/>
      <c r="H144" s="98"/>
      <c r="I144" s="98"/>
      <c r="J144" s="513" t="s">
        <v>46</v>
      </c>
      <c r="K144" s="514"/>
      <c r="L144" s="99"/>
      <c r="M144" s="100"/>
      <c r="N144" s="100"/>
      <c r="O144" s="515" t="s">
        <v>461</v>
      </c>
      <c r="P144" s="516"/>
      <c r="Q144" s="99"/>
      <c r="R144" s="100"/>
      <c r="S144" s="100"/>
      <c r="T144" s="515" t="s">
        <v>454</v>
      </c>
      <c r="U144" s="516"/>
      <c r="V144" s="388"/>
      <c r="W144" s="389"/>
      <c r="X144" s="389"/>
      <c r="Y144" s="656" t="s">
        <v>439</v>
      </c>
      <c r="Z144" s="657"/>
      <c r="AA144" s="320"/>
      <c r="AB144" s="321"/>
      <c r="AC144" s="321"/>
      <c r="AD144" s="567" t="s">
        <v>911</v>
      </c>
      <c r="AE144" s="658"/>
      <c r="AF144" s="70"/>
      <c r="AG144" s="70"/>
      <c r="AH144" s="70"/>
      <c r="AI144" s="489"/>
      <c r="AJ144" s="490"/>
      <c r="AK144" s="69"/>
      <c r="AL144" s="70"/>
      <c r="AM144" s="70"/>
      <c r="AN144" s="489"/>
      <c r="AO144" s="490"/>
      <c r="AP144" s="69"/>
      <c r="AQ144" s="70"/>
      <c r="AR144" s="70"/>
      <c r="AS144" s="489"/>
      <c r="AT144" s="490"/>
    </row>
    <row r="145" spans="2:46" ht="15" thickBot="1"/>
    <row r="146" spans="2:46" ht="12.75" customHeight="1">
      <c r="B146" s="524" t="s">
        <v>331</v>
      </c>
      <c r="C146" s="475"/>
      <c r="D146" s="475"/>
      <c r="E146" s="475"/>
      <c r="F146" s="504"/>
      <c r="G146" s="557" t="str">
        <f>CaisseBoutonGroupe2</f>
        <v>Viennoiserie</v>
      </c>
      <c r="H146" s="558"/>
      <c r="I146" s="558"/>
      <c r="J146" s="558"/>
      <c r="K146" s="559"/>
      <c r="L146" s="474" t="str">
        <f>CaisseBoutonGroupe3</f>
        <v>Patisserie</v>
      </c>
      <c r="M146" s="475"/>
      <c r="N146" s="475"/>
      <c r="O146" s="475"/>
      <c r="P146" s="504"/>
      <c r="Q146" s="474" t="str">
        <f>CaisseBoutonGroupe4</f>
        <v>Traiteur</v>
      </c>
      <c r="R146" s="475"/>
      <c r="S146" s="475"/>
      <c r="T146" s="475"/>
      <c r="U146" s="504"/>
      <c r="V146" s="520" t="str">
        <f>CaisseBoutonGroupe5</f>
        <v>Crêperie</v>
      </c>
      <c r="W146" s="499"/>
      <c r="X146" s="499"/>
      <c r="Y146" s="499"/>
      <c r="Z146" s="500"/>
      <c r="AA146" s="474" t="str">
        <f>CaisseBoutonGroupe6</f>
        <v>Boisson</v>
      </c>
      <c r="AB146" s="475"/>
      <c r="AC146" s="475"/>
      <c r="AD146" s="475"/>
      <c r="AE146" s="476"/>
      <c r="AF146" s="192"/>
      <c r="AG146" s="192"/>
      <c r="AH146" s="192"/>
      <c r="AI146" s="192"/>
      <c r="AJ146" s="192"/>
      <c r="AK146" s="192"/>
      <c r="AL146" s="192"/>
      <c r="AM146" s="192"/>
      <c r="AN146" s="192"/>
      <c r="AO146" s="193"/>
      <c r="AP146" s="192"/>
      <c r="AQ146" s="192"/>
      <c r="AR146" s="192"/>
      <c r="AS146" s="192"/>
      <c r="AT146" s="193"/>
    </row>
    <row r="147" spans="2:46" ht="12.75" customHeight="1">
      <c r="B147" s="525"/>
      <c r="C147" s="465"/>
      <c r="D147" s="465"/>
      <c r="E147" s="465"/>
      <c r="F147" s="466"/>
      <c r="G147" s="560"/>
      <c r="H147" s="561"/>
      <c r="I147" s="561"/>
      <c r="J147" s="561"/>
      <c r="K147" s="562"/>
      <c r="L147" s="464"/>
      <c r="M147" s="465"/>
      <c r="N147" s="465"/>
      <c r="O147" s="465"/>
      <c r="P147" s="466"/>
      <c r="Q147" s="464"/>
      <c r="R147" s="465"/>
      <c r="S147" s="465"/>
      <c r="T147" s="465"/>
      <c r="U147" s="466"/>
      <c r="V147" s="521"/>
      <c r="W147" s="502"/>
      <c r="X147" s="502"/>
      <c r="Y147" s="502"/>
      <c r="Z147" s="503"/>
      <c r="AA147" s="464"/>
      <c r="AB147" s="465"/>
      <c r="AC147" s="465"/>
      <c r="AD147" s="465"/>
      <c r="AE147" s="477"/>
      <c r="AF147" s="194"/>
      <c r="AG147" s="473" t="str">
        <f>V146</f>
        <v>Crêperie</v>
      </c>
      <c r="AH147" s="473"/>
      <c r="AI147" s="473"/>
      <c r="AJ147" s="473"/>
      <c r="AK147" s="473"/>
      <c r="AL147" s="473"/>
      <c r="AM147" s="473"/>
      <c r="AN147" s="473"/>
      <c r="AO147" s="195"/>
      <c r="AP147" s="194"/>
      <c r="AQ147" s="194"/>
      <c r="AR147" s="194"/>
      <c r="AS147" s="194"/>
      <c r="AT147" s="195"/>
    </row>
    <row r="148" spans="2:46" ht="12.75" customHeight="1">
      <c r="B148" s="525"/>
      <c r="C148" s="465"/>
      <c r="D148" s="465"/>
      <c r="E148" s="465"/>
      <c r="F148" s="466"/>
      <c r="G148" s="560"/>
      <c r="H148" s="561"/>
      <c r="I148" s="561"/>
      <c r="J148" s="561"/>
      <c r="K148" s="562"/>
      <c r="L148" s="464"/>
      <c r="M148" s="465"/>
      <c r="N148" s="465"/>
      <c r="O148" s="465"/>
      <c r="P148" s="466"/>
      <c r="Q148" s="464"/>
      <c r="R148" s="465"/>
      <c r="S148" s="465"/>
      <c r="T148" s="465"/>
      <c r="U148" s="466"/>
      <c r="V148" s="521"/>
      <c r="W148" s="502"/>
      <c r="X148" s="502"/>
      <c r="Y148" s="502"/>
      <c r="Z148" s="503"/>
      <c r="AA148" s="464"/>
      <c r="AB148" s="465"/>
      <c r="AC148" s="465"/>
      <c r="AD148" s="465"/>
      <c r="AE148" s="477"/>
      <c r="AF148" s="194"/>
      <c r="AG148" s="473"/>
      <c r="AH148" s="473"/>
      <c r="AI148" s="473"/>
      <c r="AJ148" s="473"/>
      <c r="AK148" s="473"/>
      <c r="AL148" s="473"/>
      <c r="AM148" s="473"/>
      <c r="AN148" s="473"/>
      <c r="AO148" s="195"/>
      <c r="AP148" s="194"/>
      <c r="AQ148" s="194"/>
      <c r="AR148" s="194"/>
      <c r="AS148" s="194"/>
      <c r="AT148" s="195"/>
    </row>
    <row r="149" spans="2:46" ht="12.75" customHeight="1">
      <c r="B149" s="525"/>
      <c r="C149" s="465"/>
      <c r="D149" s="465"/>
      <c r="E149" s="465"/>
      <c r="F149" s="466"/>
      <c r="G149" s="560"/>
      <c r="H149" s="561"/>
      <c r="I149" s="561"/>
      <c r="J149" s="561"/>
      <c r="K149" s="562"/>
      <c r="L149" s="464"/>
      <c r="M149" s="465"/>
      <c r="N149" s="465"/>
      <c r="O149" s="465"/>
      <c r="P149" s="466"/>
      <c r="Q149" s="464"/>
      <c r="R149" s="465"/>
      <c r="S149" s="465"/>
      <c r="T149" s="465"/>
      <c r="U149" s="466"/>
      <c r="V149" s="521"/>
      <c r="W149" s="502"/>
      <c r="X149" s="502"/>
      <c r="Y149" s="502"/>
      <c r="Z149" s="503"/>
      <c r="AA149" s="464"/>
      <c r="AB149" s="465"/>
      <c r="AC149" s="465"/>
      <c r="AD149" s="465"/>
      <c r="AE149" s="477"/>
      <c r="AF149" s="194"/>
      <c r="AG149" s="194"/>
      <c r="AH149" s="194"/>
      <c r="AI149" s="194"/>
      <c r="AJ149" s="194"/>
      <c r="AK149" s="194"/>
      <c r="AL149" s="194"/>
      <c r="AM149" s="194"/>
      <c r="AN149" s="194"/>
      <c r="AO149" s="195"/>
      <c r="AP149" s="194"/>
      <c r="AQ149" s="194"/>
      <c r="AR149" s="194"/>
      <c r="AS149" s="194"/>
      <c r="AT149" s="195"/>
    </row>
    <row r="150" spans="2:46" ht="12.75" customHeight="1" thickBot="1">
      <c r="B150" s="196"/>
      <c r="C150" s="197"/>
      <c r="D150" s="197"/>
      <c r="E150" s="197"/>
      <c r="F150" s="197"/>
      <c r="G150" s="198"/>
      <c r="H150" s="197"/>
      <c r="I150" s="197"/>
      <c r="J150" s="197"/>
      <c r="K150" s="197"/>
      <c r="L150" s="198"/>
      <c r="M150" s="197"/>
      <c r="N150" s="197"/>
      <c r="O150" s="197"/>
      <c r="P150" s="197"/>
      <c r="Q150" s="198"/>
      <c r="R150" s="197"/>
      <c r="S150" s="197"/>
      <c r="T150" s="197"/>
      <c r="U150" s="197"/>
      <c r="V150" s="198"/>
      <c r="W150" s="197"/>
      <c r="X150" s="197"/>
      <c r="Y150" s="197"/>
      <c r="Z150" s="197"/>
      <c r="AA150" s="198"/>
      <c r="AB150" s="197"/>
      <c r="AC150" s="197"/>
      <c r="AD150" s="197"/>
      <c r="AE150" s="199"/>
      <c r="AF150" s="200"/>
      <c r="AG150" s="200"/>
      <c r="AH150" s="200"/>
      <c r="AI150" s="200"/>
      <c r="AJ150" s="200"/>
      <c r="AK150" s="200"/>
      <c r="AL150" s="200"/>
      <c r="AM150" s="200"/>
      <c r="AN150" s="200"/>
      <c r="AO150" s="201"/>
      <c r="AP150" s="200"/>
      <c r="AQ150" s="200"/>
      <c r="AR150" s="200"/>
      <c r="AS150" s="200"/>
      <c r="AT150" s="201"/>
    </row>
    <row r="151" spans="2:46" ht="12.75" customHeight="1">
      <c r="B151" s="661" t="s">
        <v>112</v>
      </c>
      <c r="C151" s="662"/>
      <c r="D151" s="662"/>
      <c r="E151" s="662"/>
      <c r="F151" s="663"/>
      <c r="G151" s="667" t="s">
        <v>14</v>
      </c>
      <c r="H151" s="662"/>
      <c r="I151" s="662"/>
      <c r="J151" s="662"/>
      <c r="K151" s="663"/>
      <c r="L151" s="544"/>
      <c r="M151" s="545"/>
      <c r="N151" s="545"/>
      <c r="O151" s="545"/>
      <c r="P151" s="669"/>
      <c r="Q151" s="544"/>
      <c r="R151" s="545"/>
      <c r="S151" s="545"/>
      <c r="T151" s="545"/>
      <c r="U151" s="669"/>
      <c r="V151" s="544"/>
      <c r="W151" s="545"/>
      <c r="X151" s="545"/>
      <c r="Y151" s="545"/>
      <c r="Z151" s="669"/>
      <c r="AA151" s="544"/>
      <c r="AB151" s="545"/>
      <c r="AC151" s="545"/>
      <c r="AD151" s="545"/>
      <c r="AE151" s="546"/>
      <c r="AF151" s="522"/>
      <c r="AG151" s="468"/>
      <c r="AH151" s="468"/>
      <c r="AI151" s="468"/>
      <c r="AJ151" s="469"/>
      <c r="AK151" s="467"/>
      <c r="AL151" s="468"/>
      <c r="AM151" s="468"/>
      <c r="AN151" s="468"/>
      <c r="AO151" s="469"/>
      <c r="AP151" s="467"/>
      <c r="AQ151" s="468"/>
      <c r="AR151" s="468"/>
      <c r="AS151" s="468"/>
      <c r="AT151" s="469"/>
    </row>
    <row r="152" spans="2:46" ht="12.75" customHeight="1">
      <c r="B152" s="664"/>
      <c r="C152" s="665"/>
      <c r="D152" s="665"/>
      <c r="E152" s="665"/>
      <c r="F152" s="666"/>
      <c r="G152" s="668"/>
      <c r="H152" s="665"/>
      <c r="I152" s="665"/>
      <c r="J152" s="665"/>
      <c r="K152" s="666"/>
      <c r="L152" s="470"/>
      <c r="M152" s="471"/>
      <c r="N152" s="471"/>
      <c r="O152" s="471"/>
      <c r="P152" s="472"/>
      <c r="Q152" s="470"/>
      <c r="R152" s="471"/>
      <c r="S152" s="471"/>
      <c r="T152" s="471"/>
      <c r="U152" s="472"/>
      <c r="V152" s="470"/>
      <c r="W152" s="471"/>
      <c r="X152" s="471"/>
      <c r="Y152" s="471"/>
      <c r="Z152" s="472"/>
      <c r="AA152" s="470"/>
      <c r="AB152" s="471"/>
      <c r="AC152" s="471"/>
      <c r="AD152" s="471"/>
      <c r="AE152" s="485"/>
      <c r="AF152" s="523"/>
      <c r="AG152" s="471"/>
      <c r="AH152" s="471"/>
      <c r="AI152" s="471"/>
      <c r="AJ152" s="472"/>
      <c r="AK152" s="470"/>
      <c r="AL152" s="471"/>
      <c r="AM152" s="471"/>
      <c r="AN152" s="471"/>
      <c r="AO152" s="472"/>
      <c r="AP152" s="470"/>
      <c r="AQ152" s="471"/>
      <c r="AR152" s="471"/>
      <c r="AS152" s="471"/>
      <c r="AT152" s="472"/>
    </row>
    <row r="153" spans="2:46" ht="12.75" customHeight="1">
      <c r="B153" s="664"/>
      <c r="C153" s="665"/>
      <c r="D153" s="665"/>
      <c r="E153" s="665"/>
      <c r="F153" s="666"/>
      <c r="G153" s="668"/>
      <c r="H153" s="665"/>
      <c r="I153" s="665"/>
      <c r="J153" s="665"/>
      <c r="K153" s="666"/>
      <c r="L153" s="470"/>
      <c r="M153" s="471"/>
      <c r="N153" s="471"/>
      <c r="O153" s="471"/>
      <c r="P153" s="472"/>
      <c r="Q153" s="470"/>
      <c r="R153" s="471"/>
      <c r="S153" s="471"/>
      <c r="T153" s="471"/>
      <c r="U153" s="472"/>
      <c r="V153" s="470"/>
      <c r="W153" s="471"/>
      <c r="X153" s="471"/>
      <c r="Y153" s="471"/>
      <c r="Z153" s="472"/>
      <c r="AA153" s="470"/>
      <c r="AB153" s="471"/>
      <c r="AC153" s="471"/>
      <c r="AD153" s="471"/>
      <c r="AE153" s="485"/>
      <c r="AF153" s="523"/>
      <c r="AG153" s="471"/>
      <c r="AH153" s="471"/>
      <c r="AI153" s="471"/>
      <c r="AJ153" s="472"/>
      <c r="AK153" s="470"/>
      <c r="AL153" s="471"/>
      <c r="AM153" s="471"/>
      <c r="AN153" s="471"/>
      <c r="AO153" s="472"/>
      <c r="AP153" s="470"/>
      <c r="AQ153" s="471"/>
      <c r="AR153" s="471"/>
      <c r="AS153" s="471"/>
      <c r="AT153" s="472"/>
    </row>
    <row r="154" spans="2:46" ht="12.75" customHeight="1">
      <c r="B154" s="664"/>
      <c r="C154" s="665"/>
      <c r="D154" s="665"/>
      <c r="E154" s="665"/>
      <c r="F154" s="666"/>
      <c r="G154" s="668"/>
      <c r="H154" s="665"/>
      <c r="I154" s="665"/>
      <c r="J154" s="665"/>
      <c r="K154" s="666"/>
      <c r="L154" s="470"/>
      <c r="M154" s="471"/>
      <c r="N154" s="471"/>
      <c r="O154" s="471"/>
      <c r="P154" s="472"/>
      <c r="Q154" s="470"/>
      <c r="R154" s="471"/>
      <c r="S154" s="471"/>
      <c r="T154" s="471"/>
      <c r="U154" s="472"/>
      <c r="V154" s="470"/>
      <c r="W154" s="471"/>
      <c r="X154" s="471"/>
      <c r="Y154" s="471"/>
      <c r="Z154" s="472"/>
      <c r="AA154" s="470"/>
      <c r="AB154" s="471"/>
      <c r="AC154" s="471"/>
      <c r="AD154" s="471"/>
      <c r="AE154" s="485"/>
      <c r="AF154" s="523"/>
      <c r="AG154" s="471"/>
      <c r="AH154" s="471"/>
      <c r="AI154" s="471"/>
      <c r="AJ154" s="472"/>
      <c r="AK154" s="470"/>
      <c r="AL154" s="471"/>
      <c r="AM154" s="471"/>
      <c r="AN154" s="471"/>
      <c r="AO154" s="472"/>
      <c r="AP154" s="470"/>
      <c r="AQ154" s="471"/>
      <c r="AR154" s="471"/>
      <c r="AS154" s="471"/>
      <c r="AT154" s="472"/>
    </row>
    <row r="155" spans="2:46" ht="12.75" customHeight="1">
      <c r="B155" s="147"/>
      <c r="C155" s="76"/>
      <c r="D155" s="76"/>
      <c r="E155" s="659" t="s">
        <v>44</v>
      </c>
      <c r="F155" s="660"/>
      <c r="G155" s="75"/>
      <c r="H155" s="76"/>
      <c r="I155" s="76"/>
      <c r="J155" s="659" t="s">
        <v>46</v>
      </c>
      <c r="K155" s="660"/>
      <c r="L155" s="69"/>
      <c r="M155" s="70"/>
      <c r="N155" s="70"/>
      <c r="O155" s="489"/>
      <c r="P155" s="490"/>
      <c r="Q155" s="69"/>
      <c r="R155" s="70"/>
      <c r="S155" s="70"/>
      <c r="T155" s="489"/>
      <c r="U155" s="490"/>
      <c r="V155" s="69"/>
      <c r="W155" s="70"/>
      <c r="X155" s="70"/>
      <c r="Y155" s="489"/>
      <c r="Z155" s="490"/>
      <c r="AA155" s="69"/>
      <c r="AB155" s="70"/>
      <c r="AC155" s="70"/>
      <c r="AD155" s="489"/>
      <c r="AE155" s="495"/>
      <c r="AF155" s="70"/>
      <c r="AG155" s="70"/>
      <c r="AH155" s="70"/>
      <c r="AI155" s="489"/>
      <c r="AJ155" s="490"/>
      <c r="AK155" s="69"/>
      <c r="AL155" s="70"/>
      <c r="AM155" s="70"/>
      <c r="AN155" s="489"/>
      <c r="AO155" s="490"/>
      <c r="AP155" s="69"/>
      <c r="AQ155" s="70"/>
      <c r="AR155" s="70"/>
      <c r="AS155" s="489"/>
      <c r="AT155" s="490"/>
    </row>
    <row r="156" spans="2:46" ht="12.75" customHeight="1">
      <c r="B156" s="670" t="s">
        <v>113</v>
      </c>
      <c r="C156" s="671"/>
      <c r="D156" s="671"/>
      <c r="E156" s="671"/>
      <c r="F156" s="672"/>
      <c r="G156" s="673" t="s">
        <v>13</v>
      </c>
      <c r="H156" s="671"/>
      <c r="I156" s="671"/>
      <c r="J156" s="671"/>
      <c r="K156" s="672"/>
      <c r="L156" s="467"/>
      <c r="M156" s="468"/>
      <c r="N156" s="468"/>
      <c r="O156" s="468"/>
      <c r="P156" s="469"/>
      <c r="Q156" s="467"/>
      <c r="R156" s="468"/>
      <c r="S156" s="468"/>
      <c r="T156" s="468"/>
      <c r="U156" s="469"/>
      <c r="V156" s="467"/>
      <c r="W156" s="468"/>
      <c r="X156" s="468"/>
      <c r="Y156" s="468"/>
      <c r="Z156" s="469"/>
      <c r="AA156" s="467"/>
      <c r="AB156" s="468"/>
      <c r="AC156" s="468"/>
      <c r="AD156" s="468"/>
      <c r="AE156" s="491"/>
      <c r="AF156" s="522"/>
      <c r="AG156" s="468"/>
      <c r="AH156" s="468"/>
      <c r="AI156" s="468"/>
      <c r="AJ156" s="469"/>
      <c r="AK156" s="467"/>
      <c r="AL156" s="468"/>
      <c r="AM156" s="468"/>
      <c r="AN156" s="468"/>
      <c r="AO156" s="469"/>
      <c r="AP156" s="467"/>
      <c r="AQ156" s="468"/>
      <c r="AR156" s="468"/>
      <c r="AS156" s="468"/>
      <c r="AT156" s="469"/>
    </row>
    <row r="157" spans="2:46" ht="12.75" customHeight="1">
      <c r="B157" s="664"/>
      <c r="C157" s="665"/>
      <c r="D157" s="665"/>
      <c r="E157" s="665"/>
      <c r="F157" s="666"/>
      <c r="G157" s="668"/>
      <c r="H157" s="665"/>
      <c r="I157" s="665"/>
      <c r="J157" s="665"/>
      <c r="K157" s="666"/>
      <c r="L157" s="470"/>
      <c r="M157" s="471"/>
      <c r="N157" s="471"/>
      <c r="O157" s="471"/>
      <c r="P157" s="472"/>
      <c r="Q157" s="470"/>
      <c r="R157" s="471"/>
      <c r="S157" s="471"/>
      <c r="T157" s="471"/>
      <c r="U157" s="472"/>
      <c r="V157" s="470"/>
      <c r="W157" s="471"/>
      <c r="X157" s="471"/>
      <c r="Y157" s="471"/>
      <c r="Z157" s="472"/>
      <c r="AA157" s="470"/>
      <c r="AB157" s="471"/>
      <c r="AC157" s="471"/>
      <c r="AD157" s="471"/>
      <c r="AE157" s="485"/>
      <c r="AF157" s="523"/>
      <c r="AG157" s="471"/>
      <c r="AH157" s="471"/>
      <c r="AI157" s="471"/>
      <c r="AJ157" s="472"/>
      <c r="AK157" s="470"/>
      <c r="AL157" s="471"/>
      <c r="AM157" s="471"/>
      <c r="AN157" s="471"/>
      <c r="AO157" s="472"/>
      <c r="AP157" s="470"/>
      <c r="AQ157" s="471"/>
      <c r="AR157" s="471"/>
      <c r="AS157" s="471"/>
      <c r="AT157" s="472"/>
    </row>
    <row r="158" spans="2:46" ht="12.75" customHeight="1">
      <c r="B158" s="664"/>
      <c r="C158" s="665"/>
      <c r="D158" s="665"/>
      <c r="E158" s="665"/>
      <c r="F158" s="666"/>
      <c r="G158" s="668"/>
      <c r="H158" s="665"/>
      <c r="I158" s="665"/>
      <c r="J158" s="665"/>
      <c r="K158" s="666"/>
      <c r="L158" s="470"/>
      <c r="M158" s="471"/>
      <c r="N158" s="471"/>
      <c r="O158" s="471"/>
      <c r="P158" s="472"/>
      <c r="Q158" s="470"/>
      <c r="R158" s="471"/>
      <c r="S158" s="471"/>
      <c r="T158" s="471"/>
      <c r="U158" s="472"/>
      <c r="V158" s="470"/>
      <c r="W158" s="471"/>
      <c r="X158" s="471"/>
      <c r="Y158" s="471"/>
      <c r="Z158" s="472"/>
      <c r="AA158" s="470"/>
      <c r="AB158" s="471"/>
      <c r="AC158" s="471"/>
      <c r="AD158" s="471"/>
      <c r="AE158" s="485"/>
      <c r="AF158" s="523"/>
      <c r="AG158" s="471"/>
      <c r="AH158" s="471"/>
      <c r="AI158" s="471"/>
      <c r="AJ158" s="472"/>
      <c r="AK158" s="470"/>
      <c r="AL158" s="471"/>
      <c r="AM158" s="471"/>
      <c r="AN158" s="471"/>
      <c r="AO158" s="472"/>
      <c r="AP158" s="470"/>
      <c r="AQ158" s="471"/>
      <c r="AR158" s="471"/>
      <c r="AS158" s="471"/>
      <c r="AT158" s="472"/>
    </row>
    <row r="159" spans="2:46" ht="12.75" customHeight="1">
      <c r="B159" s="664"/>
      <c r="C159" s="665"/>
      <c r="D159" s="665"/>
      <c r="E159" s="665"/>
      <c r="F159" s="666"/>
      <c r="G159" s="668"/>
      <c r="H159" s="665"/>
      <c r="I159" s="665"/>
      <c r="J159" s="665"/>
      <c r="K159" s="666"/>
      <c r="L159" s="470"/>
      <c r="M159" s="471"/>
      <c r="N159" s="471"/>
      <c r="O159" s="471"/>
      <c r="P159" s="472"/>
      <c r="Q159" s="470"/>
      <c r="R159" s="471"/>
      <c r="S159" s="471"/>
      <c r="T159" s="471"/>
      <c r="U159" s="472"/>
      <c r="V159" s="470"/>
      <c r="W159" s="471"/>
      <c r="X159" s="471"/>
      <c r="Y159" s="471"/>
      <c r="Z159" s="472"/>
      <c r="AA159" s="470"/>
      <c r="AB159" s="471"/>
      <c r="AC159" s="471"/>
      <c r="AD159" s="471"/>
      <c r="AE159" s="485"/>
      <c r="AF159" s="523"/>
      <c r="AG159" s="471"/>
      <c r="AH159" s="471"/>
      <c r="AI159" s="471"/>
      <c r="AJ159" s="472"/>
      <c r="AK159" s="470"/>
      <c r="AL159" s="471"/>
      <c r="AM159" s="471"/>
      <c r="AN159" s="471"/>
      <c r="AO159" s="472"/>
      <c r="AP159" s="470"/>
      <c r="AQ159" s="471"/>
      <c r="AR159" s="471"/>
      <c r="AS159" s="471"/>
      <c r="AT159" s="472"/>
    </row>
    <row r="160" spans="2:46" ht="12.75" customHeight="1">
      <c r="B160" s="147"/>
      <c r="C160" s="76"/>
      <c r="D160" s="76"/>
      <c r="E160" s="659" t="s">
        <v>455</v>
      </c>
      <c r="F160" s="660"/>
      <c r="G160" s="75"/>
      <c r="H160" s="76"/>
      <c r="I160" s="76"/>
      <c r="J160" s="659" t="s">
        <v>47</v>
      </c>
      <c r="K160" s="660"/>
      <c r="L160" s="69"/>
      <c r="M160" s="70"/>
      <c r="N160" s="70"/>
      <c r="O160" s="489"/>
      <c r="P160" s="490"/>
      <c r="Q160" s="69"/>
      <c r="R160" s="70"/>
      <c r="S160" s="70"/>
      <c r="T160" s="489"/>
      <c r="U160" s="490"/>
      <c r="V160" s="69"/>
      <c r="W160" s="70"/>
      <c r="X160" s="70"/>
      <c r="Y160" s="489"/>
      <c r="Z160" s="490"/>
      <c r="AA160" s="69"/>
      <c r="AB160" s="70"/>
      <c r="AC160" s="70"/>
      <c r="AD160" s="489"/>
      <c r="AE160" s="495"/>
      <c r="AF160" s="70"/>
      <c r="AG160" s="70"/>
      <c r="AH160" s="70"/>
      <c r="AI160" s="489"/>
      <c r="AJ160" s="490"/>
      <c r="AK160" s="69"/>
      <c r="AL160" s="70"/>
      <c r="AM160" s="70"/>
      <c r="AN160" s="489"/>
      <c r="AO160" s="490"/>
      <c r="AP160" s="69"/>
      <c r="AQ160" s="70"/>
      <c r="AR160" s="70"/>
      <c r="AS160" s="489"/>
      <c r="AT160" s="490"/>
    </row>
    <row r="161" spans="2:46" ht="12.75" customHeight="1">
      <c r="B161" s="670" t="s">
        <v>115</v>
      </c>
      <c r="C161" s="671"/>
      <c r="D161" s="671"/>
      <c r="E161" s="671"/>
      <c r="F161" s="672"/>
      <c r="G161" s="673" t="s">
        <v>26</v>
      </c>
      <c r="H161" s="671"/>
      <c r="I161" s="671"/>
      <c r="J161" s="671"/>
      <c r="K161" s="672"/>
      <c r="L161" s="467"/>
      <c r="M161" s="468"/>
      <c r="N161" s="468"/>
      <c r="O161" s="468"/>
      <c r="P161" s="469"/>
      <c r="Q161" s="467"/>
      <c r="R161" s="468"/>
      <c r="S161" s="468"/>
      <c r="T161" s="468"/>
      <c r="U161" s="469"/>
      <c r="V161" s="467"/>
      <c r="W161" s="468"/>
      <c r="X161" s="468"/>
      <c r="Y161" s="468"/>
      <c r="Z161" s="469"/>
      <c r="AA161" s="467"/>
      <c r="AB161" s="468"/>
      <c r="AC161" s="468"/>
      <c r="AD161" s="468"/>
      <c r="AE161" s="491"/>
      <c r="AF161" s="522"/>
      <c r="AG161" s="468"/>
      <c r="AH161" s="468"/>
      <c r="AI161" s="468"/>
      <c r="AJ161" s="469"/>
      <c r="AK161" s="467"/>
      <c r="AL161" s="468"/>
      <c r="AM161" s="468"/>
      <c r="AN161" s="468"/>
      <c r="AO161" s="469"/>
      <c r="AP161" s="467"/>
      <c r="AQ161" s="468"/>
      <c r="AR161" s="468"/>
      <c r="AS161" s="468"/>
      <c r="AT161" s="469"/>
    </row>
    <row r="162" spans="2:46" ht="12.75" customHeight="1">
      <c r="B162" s="664"/>
      <c r="C162" s="665"/>
      <c r="D162" s="665"/>
      <c r="E162" s="665"/>
      <c r="F162" s="666"/>
      <c r="G162" s="668"/>
      <c r="H162" s="665"/>
      <c r="I162" s="665"/>
      <c r="J162" s="665"/>
      <c r="K162" s="666"/>
      <c r="L162" s="470"/>
      <c r="M162" s="471"/>
      <c r="N162" s="471"/>
      <c r="O162" s="471"/>
      <c r="P162" s="472"/>
      <c r="Q162" s="470"/>
      <c r="R162" s="471"/>
      <c r="S162" s="471"/>
      <c r="T162" s="471"/>
      <c r="U162" s="472"/>
      <c r="V162" s="470"/>
      <c r="W162" s="471"/>
      <c r="X162" s="471"/>
      <c r="Y162" s="471"/>
      <c r="Z162" s="472"/>
      <c r="AA162" s="470"/>
      <c r="AB162" s="471"/>
      <c r="AC162" s="471"/>
      <c r="AD162" s="471"/>
      <c r="AE162" s="485"/>
      <c r="AF162" s="523"/>
      <c r="AG162" s="471"/>
      <c r="AH162" s="471"/>
      <c r="AI162" s="471"/>
      <c r="AJ162" s="472"/>
      <c r="AK162" s="470"/>
      <c r="AL162" s="471"/>
      <c r="AM162" s="471"/>
      <c r="AN162" s="471"/>
      <c r="AO162" s="472"/>
      <c r="AP162" s="470"/>
      <c r="AQ162" s="471"/>
      <c r="AR162" s="471"/>
      <c r="AS162" s="471"/>
      <c r="AT162" s="472"/>
    </row>
    <row r="163" spans="2:46" ht="12.75" customHeight="1">
      <c r="B163" s="664"/>
      <c r="C163" s="665"/>
      <c r="D163" s="665"/>
      <c r="E163" s="665"/>
      <c r="F163" s="666"/>
      <c r="G163" s="668"/>
      <c r="H163" s="665"/>
      <c r="I163" s="665"/>
      <c r="J163" s="665"/>
      <c r="K163" s="666"/>
      <c r="L163" s="470"/>
      <c r="M163" s="471"/>
      <c r="N163" s="471"/>
      <c r="O163" s="471"/>
      <c r="P163" s="472"/>
      <c r="Q163" s="470"/>
      <c r="R163" s="471"/>
      <c r="S163" s="471"/>
      <c r="T163" s="471"/>
      <c r="U163" s="472"/>
      <c r="V163" s="470"/>
      <c r="W163" s="471"/>
      <c r="X163" s="471"/>
      <c r="Y163" s="471"/>
      <c r="Z163" s="472"/>
      <c r="AA163" s="470"/>
      <c r="AB163" s="471"/>
      <c r="AC163" s="471"/>
      <c r="AD163" s="471"/>
      <c r="AE163" s="485"/>
      <c r="AF163" s="523"/>
      <c r="AG163" s="471"/>
      <c r="AH163" s="471"/>
      <c r="AI163" s="471"/>
      <c r="AJ163" s="472"/>
      <c r="AK163" s="470"/>
      <c r="AL163" s="471"/>
      <c r="AM163" s="471"/>
      <c r="AN163" s="471"/>
      <c r="AO163" s="472"/>
      <c r="AP163" s="470"/>
      <c r="AQ163" s="471"/>
      <c r="AR163" s="471"/>
      <c r="AS163" s="471"/>
      <c r="AT163" s="472"/>
    </row>
    <row r="164" spans="2:46" ht="12.75" customHeight="1">
      <c r="B164" s="664"/>
      <c r="C164" s="665"/>
      <c r="D164" s="665"/>
      <c r="E164" s="665"/>
      <c r="F164" s="666"/>
      <c r="G164" s="668"/>
      <c r="H164" s="665"/>
      <c r="I164" s="665"/>
      <c r="J164" s="665"/>
      <c r="K164" s="666"/>
      <c r="L164" s="470"/>
      <c r="M164" s="471"/>
      <c r="N164" s="471"/>
      <c r="O164" s="471"/>
      <c r="P164" s="472"/>
      <c r="Q164" s="470"/>
      <c r="R164" s="471"/>
      <c r="S164" s="471"/>
      <c r="T164" s="471"/>
      <c r="U164" s="472"/>
      <c r="V164" s="470"/>
      <c r="W164" s="471"/>
      <c r="X164" s="471"/>
      <c r="Y164" s="471"/>
      <c r="Z164" s="472"/>
      <c r="AA164" s="470"/>
      <c r="AB164" s="471"/>
      <c r="AC164" s="471"/>
      <c r="AD164" s="471"/>
      <c r="AE164" s="485"/>
      <c r="AF164" s="523"/>
      <c r="AG164" s="471"/>
      <c r="AH164" s="471"/>
      <c r="AI164" s="471"/>
      <c r="AJ164" s="472"/>
      <c r="AK164" s="470"/>
      <c r="AL164" s="471"/>
      <c r="AM164" s="471"/>
      <c r="AN164" s="471"/>
      <c r="AO164" s="472"/>
      <c r="AP164" s="470"/>
      <c r="AQ164" s="471"/>
      <c r="AR164" s="471"/>
      <c r="AS164" s="471"/>
      <c r="AT164" s="472"/>
    </row>
    <row r="165" spans="2:46" ht="12.75" customHeight="1">
      <c r="B165" s="147"/>
      <c r="C165" s="76"/>
      <c r="D165" s="76"/>
      <c r="E165" s="659" t="s">
        <v>43</v>
      </c>
      <c r="F165" s="660"/>
      <c r="G165" s="75"/>
      <c r="H165" s="76"/>
      <c r="I165" s="76"/>
      <c r="J165" s="659" t="s">
        <v>48</v>
      </c>
      <c r="K165" s="660"/>
      <c r="L165" s="69"/>
      <c r="M165" s="70"/>
      <c r="N165" s="70"/>
      <c r="O165" s="489"/>
      <c r="P165" s="490"/>
      <c r="Q165" s="69"/>
      <c r="R165" s="70"/>
      <c r="S165" s="70"/>
      <c r="T165" s="489"/>
      <c r="U165" s="490"/>
      <c r="V165" s="69"/>
      <c r="W165" s="70"/>
      <c r="X165" s="70"/>
      <c r="Y165" s="489"/>
      <c r="Z165" s="490"/>
      <c r="AA165" s="69"/>
      <c r="AB165" s="70"/>
      <c r="AC165" s="70"/>
      <c r="AD165" s="489"/>
      <c r="AE165" s="495"/>
      <c r="AF165" s="70"/>
      <c r="AG165" s="70"/>
      <c r="AH165" s="70"/>
      <c r="AI165" s="489"/>
      <c r="AJ165" s="490"/>
      <c r="AK165" s="69"/>
      <c r="AL165" s="70"/>
      <c r="AM165" s="70"/>
      <c r="AN165" s="489"/>
      <c r="AO165" s="490"/>
      <c r="AP165" s="69"/>
      <c r="AQ165" s="70"/>
      <c r="AR165" s="70"/>
      <c r="AS165" s="489"/>
      <c r="AT165" s="490"/>
    </row>
    <row r="166" spans="2:46" ht="12.75" customHeight="1">
      <c r="B166" s="670" t="s">
        <v>116</v>
      </c>
      <c r="C166" s="671"/>
      <c r="D166" s="671"/>
      <c r="E166" s="671"/>
      <c r="F166" s="672"/>
      <c r="G166" s="554" t="s">
        <v>845</v>
      </c>
      <c r="H166" s="555"/>
      <c r="I166" s="555"/>
      <c r="J166" s="555"/>
      <c r="K166" s="556"/>
      <c r="L166" s="467"/>
      <c r="M166" s="468"/>
      <c r="N166" s="468"/>
      <c r="O166" s="468"/>
      <c r="P166" s="469"/>
      <c r="Q166" s="467"/>
      <c r="R166" s="468"/>
      <c r="S166" s="468"/>
      <c r="T166" s="468"/>
      <c r="U166" s="469"/>
      <c r="V166" s="467"/>
      <c r="W166" s="468"/>
      <c r="X166" s="468"/>
      <c r="Y166" s="468"/>
      <c r="Z166" s="469"/>
      <c r="AA166" s="467"/>
      <c r="AB166" s="468"/>
      <c r="AC166" s="468"/>
      <c r="AD166" s="468"/>
      <c r="AE166" s="491"/>
      <c r="AF166" s="522"/>
      <c r="AG166" s="468"/>
      <c r="AH166" s="468"/>
      <c r="AI166" s="468"/>
      <c r="AJ166" s="469"/>
      <c r="AK166" s="467"/>
      <c r="AL166" s="468"/>
      <c r="AM166" s="468"/>
      <c r="AN166" s="468"/>
      <c r="AO166" s="469"/>
      <c r="AP166" s="467"/>
      <c r="AQ166" s="468"/>
      <c r="AR166" s="468"/>
      <c r="AS166" s="468"/>
      <c r="AT166" s="469"/>
    </row>
    <row r="167" spans="2:46" ht="12.75" customHeight="1">
      <c r="B167" s="664"/>
      <c r="C167" s="665"/>
      <c r="D167" s="665"/>
      <c r="E167" s="665"/>
      <c r="F167" s="666"/>
      <c r="G167" s="482"/>
      <c r="H167" s="483"/>
      <c r="I167" s="483"/>
      <c r="J167" s="483"/>
      <c r="K167" s="484"/>
      <c r="L167" s="470"/>
      <c r="M167" s="471"/>
      <c r="N167" s="471"/>
      <c r="O167" s="471"/>
      <c r="P167" s="472"/>
      <c r="Q167" s="470"/>
      <c r="R167" s="471"/>
      <c r="S167" s="471"/>
      <c r="T167" s="471"/>
      <c r="U167" s="472"/>
      <c r="V167" s="470"/>
      <c r="W167" s="471"/>
      <c r="X167" s="471"/>
      <c r="Y167" s="471"/>
      <c r="Z167" s="472"/>
      <c r="AA167" s="470"/>
      <c r="AB167" s="471"/>
      <c r="AC167" s="471"/>
      <c r="AD167" s="471"/>
      <c r="AE167" s="485"/>
      <c r="AF167" s="523"/>
      <c r="AG167" s="471"/>
      <c r="AH167" s="471"/>
      <c r="AI167" s="471"/>
      <c r="AJ167" s="472"/>
      <c r="AK167" s="470"/>
      <c r="AL167" s="471"/>
      <c r="AM167" s="471"/>
      <c r="AN167" s="471"/>
      <c r="AO167" s="472"/>
      <c r="AP167" s="470"/>
      <c r="AQ167" s="471"/>
      <c r="AR167" s="471"/>
      <c r="AS167" s="471"/>
      <c r="AT167" s="472"/>
    </row>
    <row r="168" spans="2:46" ht="12.75" customHeight="1">
      <c r="B168" s="664"/>
      <c r="C168" s="665"/>
      <c r="D168" s="665"/>
      <c r="E168" s="665"/>
      <c r="F168" s="666"/>
      <c r="G168" s="482"/>
      <c r="H168" s="483"/>
      <c r="I168" s="483"/>
      <c r="J168" s="483"/>
      <c r="K168" s="484"/>
      <c r="L168" s="470"/>
      <c r="M168" s="471"/>
      <c r="N168" s="471"/>
      <c r="O168" s="471"/>
      <c r="P168" s="472"/>
      <c r="Q168" s="470"/>
      <c r="R168" s="471"/>
      <c r="S168" s="471"/>
      <c r="T168" s="471"/>
      <c r="U168" s="472"/>
      <c r="V168" s="470"/>
      <c r="W168" s="471"/>
      <c r="X168" s="471"/>
      <c r="Y168" s="471"/>
      <c r="Z168" s="472"/>
      <c r="AA168" s="470"/>
      <c r="AB168" s="471"/>
      <c r="AC168" s="471"/>
      <c r="AD168" s="471"/>
      <c r="AE168" s="485"/>
      <c r="AF168" s="523"/>
      <c r="AG168" s="471"/>
      <c r="AH168" s="471"/>
      <c r="AI168" s="471"/>
      <c r="AJ168" s="472"/>
      <c r="AK168" s="470"/>
      <c r="AL168" s="471"/>
      <c r="AM168" s="471"/>
      <c r="AN168" s="471"/>
      <c r="AO168" s="472"/>
      <c r="AP168" s="470"/>
      <c r="AQ168" s="471"/>
      <c r="AR168" s="471"/>
      <c r="AS168" s="471"/>
      <c r="AT168" s="472"/>
    </row>
    <row r="169" spans="2:46" ht="12.75" customHeight="1">
      <c r="B169" s="664"/>
      <c r="C169" s="665"/>
      <c r="D169" s="665"/>
      <c r="E169" s="665"/>
      <c r="F169" s="666"/>
      <c r="G169" s="482"/>
      <c r="H169" s="483"/>
      <c r="I169" s="483"/>
      <c r="J169" s="483"/>
      <c r="K169" s="484"/>
      <c r="L169" s="470"/>
      <c r="M169" s="471"/>
      <c r="N169" s="471"/>
      <c r="O169" s="471"/>
      <c r="P169" s="472"/>
      <c r="Q169" s="470"/>
      <c r="R169" s="471"/>
      <c r="S169" s="471"/>
      <c r="T169" s="471"/>
      <c r="U169" s="472"/>
      <c r="V169" s="470"/>
      <c r="W169" s="471"/>
      <c r="X169" s="471"/>
      <c r="Y169" s="471"/>
      <c r="Z169" s="472"/>
      <c r="AA169" s="470"/>
      <c r="AB169" s="471"/>
      <c r="AC169" s="471"/>
      <c r="AD169" s="471"/>
      <c r="AE169" s="485"/>
      <c r="AF169" s="523"/>
      <c r="AG169" s="471"/>
      <c r="AH169" s="471"/>
      <c r="AI169" s="471"/>
      <c r="AJ169" s="472"/>
      <c r="AK169" s="470"/>
      <c r="AL169" s="471"/>
      <c r="AM169" s="471"/>
      <c r="AN169" s="471"/>
      <c r="AO169" s="472"/>
      <c r="AP169" s="470"/>
      <c r="AQ169" s="471"/>
      <c r="AR169" s="471"/>
      <c r="AS169" s="471"/>
      <c r="AT169" s="472"/>
    </row>
    <row r="170" spans="2:46" ht="12.75" customHeight="1">
      <c r="B170" s="147"/>
      <c r="C170" s="76"/>
      <c r="D170" s="76"/>
      <c r="E170" s="659" t="s">
        <v>43</v>
      </c>
      <c r="F170" s="660"/>
      <c r="G170" s="318"/>
      <c r="H170" s="319"/>
      <c r="I170" s="319"/>
      <c r="J170" s="511" t="s">
        <v>911</v>
      </c>
      <c r="K170" s="512"/>
      <c r="L170" s="69"/>
      <c r="M170" s="70"/>
      <c r="N170" s="70"/>
      <c r="O170" s="489"/>
      <c r="P170" s="490"/>
      <c r="Q170" s="69"/>
      <c r="R170" s="70"/>
      <c r="S170" s="70"/>
      <c r="T170" s="489"/>
      <c r="U170" s="490"/>
      <c r="V170" s="69"/>
      <c r="W170" s="70"/>
      <c r="X170" s="70"/>
      <c r="Y170" s="489"/>
      <c r="Z170" s="490"/>
      <c r="AA170" s="69"/>
      <c r="AB170" s="70"/>
      <c r="AC170" s="70"/>
      <c r="AD170" s="489"/>
      <c r="AE170" s="495"/>
      <c r="AF170" s="70"/>
      <c r="AG170" s="70"/>
      <c r="AH170" s="70"/>
      <c r="AI170" s="489"/>
      <c r="AJ170" s="490"/>
      <c r="AK170" s="69"/>
      <c r="AL170" s="70"/>
      <c r="AM170" s="70"/>
      <c r="AN170" s="489"/>
      <c r="AO170" s="490"/>
      <c r="AP170" s="69"/>
      <c r="AQ170" s="70"/>
      <c r="AR170" s="70"/>
      <c r="AS170" s="489"/>
      <c r="AT170" s="490"/>
    </row>
    <row r="171" spans="2:46" ht="12.75" customHeight="1">
      <c r="B171" s="670" t="s">
        <v>114</v>
      </c>
      <c r="C171" s="671"/>
      <c r="D171" s="671"/>
      <c r="E171" s="671"/>
      <c r="F171" s="672"/>
      <c r="G171" s="467"/>
      <c r="H171" s="468"/>
      <c r="I171" s="468"/>
      <c r="J171" s="468"/>
      <c r="K171" s="469"/>
      <c r="L171" s="467"/>
      <c r="M171" s="468"/>
      <c r="N171" s="468"/>
      <c r="O171" s="468"/>
      <c r="P171" s="469"/>
      <c r="Q171" s="467"/>
      <c r="R171" s="468"/>
      <c r="S171" s="468"/>
      <c r="T171" s="468"/>
      <c r="U171" s="469"/>
      <c r="V171" s="467"/>
      <c r="W171" s="468"/>
      <c r="X171" s="468"/>
      <c r="Y171" s="468"/>
      <c r="Z171" s="469"/>
      <c r="AA171" s="467"/>
      <c r="AB171" s="468"/>
      <c r="AC171" s="468"/>
      <c r="AD171" s="468"/>
      <c r="AE171" s="491"/>
      <c r="AF171" s="522"/>
      <c r="AG171" s="468"/>
      <c r="AH171" s="468"/>
      <c r="AI171" s="468"/>
      <c r="AJ171" s="469"/>
      <c r="AK171" s="467"/>
      <c r="AL171" s="468"/>
      <c r="AM171" s="468"/>
      <c r="AN171" s="468"/>
      <c r="AO171" s="469"/>
      <c r="AP171" s="467"/>
      <c r="AQ171" s="468"/>
      <c r="AR171" s="468"/>
      <c r="AS171" s="468"/>
      <c r="AT171" s="469"/>
    </row>
    <row r="172" spans="2:46" ht="12.75" customHeight="1">
      <c r="B172" s="664"/>
      <c r="C172" s="665"/>
      <c r="D172" s="665"/>
      <c r="E172" s="665"/>
      <c r="F172" s="666"/>
      <c r="G172" s="470"/>
      <c r="H172" s="471"/>
      <c r="I172" s="471"/>
      <c r="J172" s="471"/>
      <c r="K172" s="472"/>
      <c r="L172" s="470"/>
      <c r="M172" s="471"/>
      <c r="N172" s="471"/>
      <c r="O172" s="471"/>
      <c r="P172" s="472"/>
      <c r="Q172" s="470"/>
      <c r="R172" s="471"/>
      <c r="S172" s="471"/>
      <c r="T172" s="471"/>
      <c r="U172" s="472"/>
      <c r="V172" s="470"/>
      <c r="W172" s="471"/>
      <c r="X172" s="471"/>
      <c r="Y172" s="471"/>
      <c r="Z172" s="472"/>
      <c r="AA172" s="470"/>
      <c r="AB172" s="471"/>
      <c r="AC172" s="471"/>
      <c r="AD172" s="471"/>
      <c r="AE172" s="485"/>
      <c r="AF172" s="523"/>
      <c r="AG172" s="471"/>
      <c r="AH172" s="471"/>
      <c r="AI172" s="471"/>
      <c r="AJ172" s="472"/>
      <c r="AK172" s="470"/>
      <c r="AL172" s="471"/>
      <c r="AM172" s="471"/>
      <c r="AN172" s="471"/>
      <c r="AO172" s="472"/>
      <c r="AP172" s="470"/>
      <c r="AQ172" s="471"/>
      <c r="AR172" s="471"/>
      <c r="AS172" s="471"/>
      <c r="AT172" s="472"/>
    </row>
    <row r="173" spans="2:46" ht="12.75" customHeight="1">
      <c r="B173" s="664"/>
      <c r="C173" s="665"/>
      <c r="D173" s="665"/>
      <c r="E173" s="665"/>
      <c r="F173" s="666"/>
      <c r="G173" s="470"/>
      <c r="H173" s="471"/>
      <c r="I173" s="471"/>
      <c r="J173" s="471"/>
      <c r="K173" s="472"/>
      <c r="L173" s="470"/>
      <c r="M173" s="471"/>
      <c r="N173" s="471"/>
      <c r="O173" s="471"/>
      <c r="P173" s="472"/>
      <c r="Q173" s="470"/>
      <c r="R173" s="471"/>
      <c r="S173" s="471"/>
      <c r="T173" s="471"/>
      <c r="U173" s="472"/>
      <c r="V173" s="470"/>
      <c r="W173" s="471"/>
      <c r="X173" s="471"/>
      <c r="Y173" s="471"/>
      <c r="Z173" s="472"/>
      <c r="AA173" s="470"/>
      <c r="AB173" s="471"/>
      <c r="AC173" s="471"/>
      <c r="AD173" s="471"/>
      <c r="AE173" s="485"/>
      <c r="AF173" s="523"/>
      <c r="AG173" s="471"/>
      <c r="AH173" s="471"/>
      <c r="AI173" s="471"/>
      <c r="AJ173" s="472"/>
      <c r="AK173" s="470"/>
      <c r="AL173" s="471"/>
      <c r="AM173" s="471"/>
      <c r="AN173" s="471"/>
      <c r="AO173" s="472"/>
      <c r="AP173" s="470"/>
      <c r="AQ173" s="471"/>
      <c r="AR173" s="471"/>
      <c r="AS173" s="471"/>
      <c r="AT173" s="472"/>
    </row>
    <row r="174" spans="2:46" ht="12.75" customHeight="1">
      <c r="B174" s="664"/>
      <c r="C174" s="665"/>
      <c r="D174" s="665"/>
      <c r="E174" s="665"/>
      <c r="F174" s="666"/>
      <c r="G174" s="470"/>
      <c r="H174" s="471"/>
      <c r="I174" s="471"/>
      <c r="J174" s="471"/>
      <c r="K174" s="472"/>
      <c r="L174" s="470"/>
      <c r="M174" s="471"/>
      <c r="N174" s="471"/>
      <c r="O174" s="471"/>
      <c r="P174" s="472"/>
      <c r="Q174" s="470"/>
      <c r="R174" s="471"/>
      <c r="S174" s="471"/>
      <c r="T174" s="471"/>
      <c r="U174" s="472"/>
      <c r="V174" s="470"/>
      <c r="W174" s="471"/>
      <c r="X174" s="471"/>
      <c r="Y174" s="471"/>
      <c r="Z174" s="472"/>
      <c r="AA174" s="470"/>
      <c r="AB174" s="471"/>
      <c r="AC174" s="471"/>
      <c r="AD174" s="471"/>
      <c r="AE174" s="485"/>
      <c r="AF174" s="523"/>
      <c r="AG174" s="471"/>
      <c r="AH174" s="471"/>
      <c r="AI174" s="471"/>
      <c r="AJ174" s="472"/>
      <c r="AK174" s="470"/>
      <c r="AL174" s="471"/>
      <c r="AM174" s="471"/>
      <c r="AN174" s="471"/>
      <c r="AO174" s="472"/>
      <c r="AP174" s="470"/>
      <c r="AQ174" s="471"/>
      <c r="AR174" s="471"/>
      <c r="AS174" s="471"/>
      <c r="AT174" s="472"/>
    </row>
    <row r="175" spans="2:46" ht="12.75" customHeight="1">
      <c r="B175" s="147"/>
      <c r="C175" s="76"/>
      <c r="D175" s="76"/>
      <c r="E175" s="659" t="s">
        <v>452</v>
      </c>
      <c r="F175" s="660"/>
      <c r="G175" s="69"/>
      <c r="H175" s="70"/>
      <c r="I175" s="70"/>
      <c r="J175" s="489"/>
      <c r="K175" s="490"/>
      <c r="L175" s="69"/>
      <c r="M175" s="70"/>
      <c r="N175" s="70"/>
      <c r="O175" s="489"/>
      <c r="P175" s="490"/>
      <c r="Q175" s="69"/>
      <c r="R175" s="70"/>
      <c r="S175" s="70"/>
      <c r="T175" s="489"/>
      <c r="U175" s="490"/>
      <c r="V175" s="69"/>
      <c r="W175" s="70"/>
      <c r="X175" s="70"/>
      <c r="Y175" s="489"/>
      <c r="Z175" s="490"/>
      <c r="AA175" s="69"/>
      <c r="AB175" s="70"/>
      <c r="AC175" s="70"/>
      <c r="AD175" s="489"/>
      <c r="AE175" s="495"/>
      <c r="AF175" s="70"/>
      <c r="AG175" s="70"/>
      <c r="AH175" s="70"/>
      <c r="AI175" s="489"/>
      <c r="AJ175" s="490"/>
      <c r="AK175" s="69"/>
      <c r="AL175" s="70"/>
      <c r="AM175" s="70"/>
      <c r="AN175" s="489"/>
      <c r="AO175" s="490"/>
      <c r="AP175" s="69"/>
      <c r="AQ175" s="70"/>
      <c r="AR175" s="70"/>
      <c r="AS175" s="489"/>
      <c r="AT175" s="490"/>
    </row>
    <row r="176" spans="2:46" ht="12.75" customHeight="1">
      <c r="B176" s="670" t="s">
        <v>15</v>
      </c>
      <c r="C176" s="671"/>
      <c r="D176" s="671"/>
      <c r="E176" s="671"/>
      <c r="F176" s="672"/>
      <c r="G176" s="467"/>
      <c r="H176" s="468"/>
      <c r="I176" s="468"/>
      <c r="J176" s="468"/>
      <c r="K176" s="469"/>
      <c r="L176" s="467"/>
      <c r="M176" s="468"/>
      <c r="N176" s="468"/>
      <c r="O176" s="468"/>
      <c r="P176" s="469"/>
      <c r="Q176" s="467"/>
      <c r="R176" s="468"/>
      <c r="S176" s="468"/>
      <c r="T176" s="468"/>
      <c r="U176" s="469"/>
      <c r="V176" s="467"/>
      <c r="W176" s="468"/>
      <c r="X176" s="468"/>
      <c r="Y176" s="468"/>
      <c r="Z176" s="469"/>
      <c r="AA176" s="467"/>
      <c r="AB176" s="468"/>
      <c r="AC176" s="468"/>
      <c r="AD176" s="468"/>
      <c r="AE176" s="491"/>
      <c r="AF176" s="522"/>
      <c r="AG176" s="468"/>
      <c r="AH176" s="468"/>
      <c r="AI176" s="468"/>
      <c r="AJ176" s="469"/>
      <c r="AK176" s="467"/>
      <c r="AL176" s="468"/>
      <c r="AM176" s="468"/>
      <c r="AN176" s="468"/>
      <c r="AO176" s="469"/>
      <c r="AP176" s="467"/>
      <c r="AQ176" s="468"/>
      <c r="AR176" s="468"/>
      <c r="AS176" s="468"/>
      <c r="AT176" s="469"/>
    </row>
    <row r="177" spans="2:46" ht="12.75" customHeight="1">
      <c r="B177" s="664"/>
      <c r="C177" s="665"/>
      <c r="D177" s="665"/>
      <c r="E177" s="665"/>
      <c r="F177" s="666"/>
      <c r="G177" s="470"/>
      <c r="H177" s="471"/>
      <c r="I177" s="471"/>
      <c r="J177" s="471"/>
      <c r="K177" s="472"/>
      <c r="L177" s="470"/>
      <c r="M177" s="471"/>
      <c r="N177" s="471"/>
      <c r="O177" s="471"/>
      <c r="P177" s="472"/>
      <c r="Q177" s="470"/>
      <c r="R177" s="471"/>
      <c r="S177" s="471"/>
      <c r="T177" s="471"/>
      <c r="U177" s="472"/>
      <c r="V177" s="470"/>
      <c r="W177" s="471"/>
      <c r="X177" s="471"/>
      <c r="Y177" s="471"/>
      <c r="Z177" s="472"/>
      <c r="AA177" s="470"/>
      <c r="AB177" s="471"/>
      <c r="AC177" s="471"/>
      <c r="AD177" s="471"/>
      <c r="AE177" s="485"/>
      <c r="AF177" s="523"/>
      <c r="AG177" s="471"/>
      <c r="AH177" s="471"/>
      <c r="AI177" s="471"/>
      <c r="AJ177" s="472"/>
      <c r="AK177" s="470"/>
      <c r="AL177" s="471"/>
      <c r="AM177" s="471"/>
      <c r="AN177" s="471"/>
      <c r="AO177" s="472"/>
      <c r="AP177" s="470"/>
      <c r="AQ177" s="471"/>
      <c r="AR177" s="471"/>
      <c r="AS177" s="471"/>
      <c r="AT177" s="472"/>
    </row>
    <row r="178" spans="2:46" ht="12.75" customHeight="1">
      <c r="B178" s="664"/>
      <c r="C178" s="665"/>
      <c r="D178" s="665"/>
      <c r="E178" s="665"/>
      <c r="F178" s="666"/>
      <c r="G178" s="470"/>
      <c r="H178" s="471"/>
      <c r="I178" s="471"/>
      <c r="J178" s="471"/>
      <c r="K178" s="472"/>
      <c r="L178" s="470"/>
      <c r="M178" s="471"/>
      <c r="N178" s="471"/>
      <c r="O178" s="471"/>
      <c r="P178" s="472"/>
      <c r="Q178" s="470"/>
      <c r="R178" s="471"/>
      <c r="S178" s="471"/>
      <c r="T178" s="471"/>
      <c r="U178" s="472"/>
      <c r="V178" s="470"/>
      <c r="W178" s="471"/>
      <c r="X178" s="471"/>
      <c r="Y178" s="471"/>
      <c r="Z178" s="472"/>
      <c r="AA178" s="470"/>
      <c r="AB178" s="471"/>
      <c r="AC178" s="471"/>
      <c r="AD178" s="471"/>
      <c r="AE178" s="485"/>
      <c r="AF178" s="523"/>
      <c r="AG178" s="471"/>
      <c r="AH178" s="471"/>
      <c r="AI178" s="471"/>
      <c r="AJ178" s="472"/>
      <c r="AK178" s="470"/>
      <c r="AL178" s="471"/>
      <c r="AM178" s="471"/>
      <c r="AN178" s="471"/>
      <c r="AO178" s="472"/>
      <c r="AP178" s="470"/>
      <c r="AQ178" s="471"/>
      <c r="AR178" s="471"/>
      <c r="AS178" s="471"/>
      <c r="AT178" s="472"/>
    </row>
    <row r="179" spans="2:46" ht="12.75" customHeight="1">
      <c r="B179" s="664"/>
      <c r="C179" s="665"/>
      <c r="D179" s="665"/>
      <c r="E179" s="665"/>
      <c r="F179" s="666"/>
      <c r="G179" s="470"/>
      <c r="H179" s="471"/>
      <c r="I179" s="471"/>
      <c r="J179" s="471"/>
      <c r="K179" s="472"/>
      <c r="L179" s="470"/>
      <c r="M179" s="471"/>
      <c r="N179" s="471"/>
      <c r="O179" s="471"/>
      <c r="P179" s="472"/>
      <c r="Q179" s="470"/>
      <c r="R179" s="471"/>
      <c r="S179" s="471"/>
      <c r="T179" s="471"/>
      <c r="U179" s="472"/>
      <c r="V179" s="470"/>
      <c r="W179" s="471"/>
      <c r="X179" s="471"/>
      <c r="Y179" s="471"/>
      <c r="Z179" s="472"/>
      <c r="AA179" s="470"/>
      <c r="AB179" s="471"/>
      <c r="AC179" s="471"/>
      <c r="AD179" s="471"/>
      <c r="AE179" s="485"/>
      <c r="AF179" s="523"/>
      <c r="AG179" s="471"/>
      <c r="AH179" s="471"/>
      <c r="AI179" s="471"/>
      <c r="AJ179" s="472"/>
      <c r="AK179" s="470"/>
      <c r="AL179" s="471"/>
      <c r="AM179" s="471"/>
      <c r="AN179" s="471"/>
      <c r="AO179" s="472"/>
      <c r="AP179" s="470"/>
      <c r="AQ179" s="471"/>
      <c r="AR179" s="471"/>
      <c r="AS179" s="471"/>
      <c r="AT179" s="472"/>
    </row>
    <row r="180" spans="2:46" ht="12.75" customHeight="1" thickBot="1">
      <c r="B180" s="148"/>
      <c r="C180" s="149"/>
      <c r="D180" s="149"/>
      <c r="E180" s="674" t="s">
        <v>455</v>
      </c>
      <c r="F180" s="675"/>
      <c r="G180" s="104"/>
      <c r="H180" s="103"/>
      <c r="I180" s="103"/>
      <c r="J180" s="496"/>
      <c r="K180" s="517"/>
      <c r="L180" s="104"/>
      <c r="M180" s="103"/>
      <c r="N180" s="103"/>
      <c r="O180" s="496"/>
      <c r="P180" s="517"/>
      <c r="Q180" s="104"/>
      <c r="R180" s="103"/>
      <c r="S180" s="103"/>
      <c r="T180" s="496"/>
      <c r="U180" s="517"/>
      <c r="V180" s="104"/>
      <c r="W180" s="103"/>
      <c r="X180" s="103"/>
      <c r="Y180" s="496"/>
      <c r="Z180" s="517"/>
      <c r="AA180" s="104"/>
      <c r="AB180" s="103"/>
      <c r="AC180" s="103"/>
      <c r="AD180" s="496"/>
      <c r="AE180" s="497"/>
      <c r="AF180" s="70"/>
      <c r="AG180" s="70"/>
      <c r="AH180" s="70"/>
      <c r="AI180" s="489"/>
      <c r="AJ180" s="490"/>
      <c r="AK180" s="69"/>
      <c r="AL180" s="70"/>
      <c r="AM180" s="70"/>
      <c r="AN180" s="489"/>
      <c r="AO180" s="490"/>
      <c r="AP180" s="69"/>
      <c r="AQ180" s="70"/>
      <c r="AR180" s="70"/>
      <c r="AS180" s="489"/>
      <c r="AT180" s="490"/>
    </row>
    <row r="181" spans="2:46" ht="15" thickBot="1"/>
    <row r="182" spans="2:46" ht="12.75" customHeight="1">
      <c r="B182" s="524" t="s">
        <v>331</v>
      </c>
      <c r="C182" s="475"/>
      <c r="D182" s="475"/>
      <c r="E182" s="475"/>
      <c r="F182" s="504"/>
      <c r="G182" s="557" t="str">
        <f>CaisseBoutonGroupe2</f>
        <v>Viennoiserie</v>
      </c>
      <c r="H182" s="558"/>
      <c r="I182" s="558"/>
      <c r="J182" s="558"/>
      <c r="K182" s="559"/>
      <c r="L182" s="474" t="str">
        <f>CaisseBoutonGroupe3</f>
        <v>Patisserie</v>
      </c>
      <c r="M182" s="475"/>
      <c r="N182" s="475"/>
      <c r="O182" s="475"/>
      <c r="P182" s="504"/>
      <c r="Q182" s="474" t="str">
        <f>CaisseBoutonGroupe4</f>
        <v>Traiteur</v>
      </c>
      <c r="R182" s="475"/>
      <c r="S182" s="475"/>
      <c r="T182" s="475"/>
      <c r="U182" s="504"/>
      <c r="V182" s="557" t="str">
        <f>CaisseBoutonGroupe5</f>
        <v>Crêperie</v>
      </c>
      <c r="W182" s="558"/>
      <c r="X182" s="558"/>
      <c r="Y182" s="558"/>
      <c r="Z182" s="559"/>
      <c r="AA182" s="520" t="str">
        <f>CaisseBoutonGroupe6</f>
        <v>Boisson</v>
      </c>
      <c r="AB182" s="499"/>
      <c r="AC182" s="499"/>
      <c r="AD182" s="499"/>
      <c r="AE182" s="676"/>
      <c r="AF182" s="192"/>
      <c r="AG182" s="192"/>
      <c r="AH182" s="192"/>
      <c r="AI182" s="192"/>
      <c r="AJ182" s="192"/>
      <c r="AK182" s="192"/>
      <c r="AL182" s="192"/>
      <c r="AM182" s="192"/>
      <c r="AN182" s="192"/>
      <c r="AO182" s="193"/>
      <c r="AP182" s="192"/>
      <c r="AQ182" s="192"/>
      <c r="AR182" s="192"/>
      <c r="AS182" s="192"/>
      <c r="AT182" s="193"/>
    </row>
    <row r="183" spans="2:46" ht="12.75" customHeight="1">
      <c r="B183" s="525"/>
      <c r="C183" s="465"/>
      <c r="D183" s="465"/>
      <c r="E183" s="465"/>
      <c r="F183" s="466"/>
      <c r="G183" s="560"/>
      <c r="H183" s="561"/>
      <c r="I183" s="561"/>
      <c r="J183" s="561"/>
      <c r="K183" s="562"/>
      <c r="L183" s="464"/>
      <c r="M183" s="465"/>
      <c r="N183" s="465"/>
      <c r="O183" s="465"/>
      <c r="P183" s="466"/>
      <c r="Q183" s="464"/>
      <c r="R183" s="465"/>
      <c r="S183" s="465"/>
      <c r="T183" s="465"/>
      <c r="U183" s="466"/>
      <c r="V183" s="560"/>
      <c r="W183" s="561"/>
      <c r="X183" s="561"/>
      <c r="Y183" s="561"/>
      <c r="Z183" s="562"/>
      <c r="AA183" s="521"/>
      <c r="AB183" s="502"/>
      <c r="AC183" s="502"/>
      <c r="AD183" s="502"/>
      <c r="AE183" s="677"/>
      <c r="AF183" s="194"/>
      <c r="AG183" s="473" t="str">
        <f>IF(AA182&lt;&gt;"",AA182,"")</f>
        <v>Boisson</v>
      </c>
      <c r="AH183" s="473"/>
      <c r="AI183" s="473"/>
      <c r="AJ183" s="473"/>
      <c r="AK183" s="473"/>
      <c r="AL183" s="473"/>
      <c r="AM183" s="473"/>
      <c r="AN183" s="473"/>
      <c r="AO183" s="195"/>
      <c r="AP183" s="194"/>
      <c r="AQ183" s="194"/>
      <c r="AR183" s="194"/>
      <c r="AS183" s="194"/>
      <c r="AT183" s="195"/>
    </row>
    <row r="184" spans="2:46" ht="12.75" customHeight="1">
      <c r="B184" s="525"/>
      <c r="C184" s="465"/>
      <c r="D184" s="465"/>
      <c r="E184" s="465"/>
      <c r="F184" s="466"/>
      <c r="G184" s="560"/>
      <c r="H184" s="561"/>
      <c r="I184" s="561"/>
      <c r="J184" s="561"/>
      <c r="K184" s="562"/>
      <c r="L184" s="464"/>
      <c r="M184" s="465"/>
      <c r="N184" s="465"/>
      <c r="O184" s="465"/>
      <c r="P184" s="466"/>
      <c r="Q184" s="464"/>
      <c r="R184" s="465"/>
      <c r="S184" s="465"/>
      <c r="T184" s="465"/>
      <c r="U184" s="466"/>
      <c r="V184" s="560"/>
      <c r="W184" s="561"/>
      <c r="X184" s="561"/>
      <c r="Y184" s="561"/>
      <c r="Z184" s="562"/>
      <c r="AA184" s="521"/>
      <c r="AB184" s="502"/>
      <c r="AC184" s="502"/>
      <c r="AD184" s="502"/>
      <c r="AE184" s="677"/>
      <c r="AF184" s="194"/>
      <c r="AG184" s="473"/>
      <c r="AH184" s="473"/>
      <c r="AI184" s="473"/>
      <c r="AJ184" s="473"/>
      <c r="AK184" s="473"/>
      <c r="AL184" s="473"/>
      <c r="AM184" s="473"/>
      <c r="AN184" s="473"/>
      <c r="AO184" s="195"/>
      <c r="AP184" s="194"/>
      <c r="AQ184" s="194"/>
      <c r="AR184" s="194"/>
      <c r="AS184" s="194"/>
      <c r="AT184" s="195"/>
    </row>
    <row r="185" spans="2:46" ht="12.75" customHeight="1">
      <c r="B185" s="525"/>
      <c r="C185" s="465"/>
      <c r="D185" s="465"/>
      <c r="E185" s="465"/>
      <c r="F185" s="466"/>
      <c r="G185" s="560"/>
      <c r="H185" s="561"/>
      <c r="I185" s="561"/>
      <c r="J185" s="561"/>
      <c r="K185" s="562"/>
      <c r="L185" s="464"/>
      <c r="M185" s="465"/>
      <c r="N185" s="465"/>
      <c r="O185" s="465"/>
      <c r="P185" s="466"/>
      <c r="Q185" s="464"/>
      <c r="R185" s="465"/>
      <c r="S185" s="465"/>
      <c r="T185" s="465"/>
      <c r="U185" s="466"/>
      <c r="V185" s="560"/>
      <c r="W185" s="561"/>
      <c r="X185" s="561"/>
      <c r="Y185" s="561"/>
      <c r="Z185" s="562"/>
      <c r="AA185" s="521"/>
      <c r="AB185" s="502"/>
      <c r="AC185" s="502"/>
      <c r="AD185" s="502"/>
      <c r="AE185" s="677"/>
      <c r="AF185" s="194"/>
      <c r="AG185" s="194"/>
      <c r="AH185" s="194"/>
      <c r="AI185" s="194"/>
      <c r="AJ185" s="194"/>
      <c r="AK185" s="194"/>
      <c r="AL185" s="194"/>
      <c r="AM185" s="194"/>
      <c r="AN185" s="194"/>
      <c r="AO185" s="195"/>
      <c r="AP185" s="194"/>
      <c r="AQ185" s="194"/>
      <c r="AR185" s="194"/>
      <c r="AS185" s="194"/>
      <c r="AT185" s="195"/>
    </row>
    <row r="186" spans="2:46" ht="12.75" customHeight="1" thickBot="1">
      <c r="B186" s="196"/>
      <c r="C186" s="197"/>
      <c r="D186" s="197"/>
      <c r="E186" s="197"/>
      <c r="F186" s="197"/>
      <c r="G186" s="198"/>
      <c r="H186" s="197"/>
      <c r="I186" s="197"/>
      <c r="J186" s="197"/>
      <c r="K186" s="197"/>
      <c r="L186" s="198"/>
      <c r="M186" s="197"/>
      <c r="N186" s="197"/>
      <c r="O186" s="197"/>
      <c r="P186" s="197"/>
      <c r="Q186" s="198"/>
      <c r="R186" s="197"/>
      <c r="S186" s="197"/>
      <c r="T186" s="197"/>
      <c r="U186" s="197"/>
      <c r="V186" s="198"/>
      <c r="W186" s="197"/>
      <c r="X186" s="197"/>
      <c r="Y186" s="197"/>
      <c r="Z186" s="197"/>
      <c r="AA186" s="198"/>
      <c r="AB186" s="197"/>
      <c r="AC186" s="197"/>
      <c r="AD186" s="197"/>
      <c r="AE186" s="199"/>
      <c r="AF186" s="200"/>
      <c r="AG186" s="200"/>
      <c r="AH186" s="200"/>
      <c r="AI186" s="200"/>
      <c r="AJ186" s="200"/>
      <c r="AK186" s="200"/>
      <c r="AL186" s="200"/>
      <c r="AM186" s="200"/>
      <c r="AN186" s="200"/>
      <c r="AO186" s="201"/>
      <c r="AP186" s="200"/>
      <c r="AQ186" s="200"/>
      <c r="AR186" s="200"/>
      <c r="AS186" s="200"/>
      <c r="AT186" s="201"/>
    </row>
    <row r="187" spans="2:46" ht="12.75" customHeight="1">
      <c r="B187" s="584" t="s">
        <v>262</v>
      </c>
      <c r="C187" s="585"/>
      <c r="D187" s="585"/>
      <c r="E187" s="585"/>
      <c r="F187" s="586"/>
      <c r="G187" s="590" t="s">
        <v>256</v>
      </c>
      <c r="H187" s="585"/>
      <c r="I187" s="585"/>
      <c r="J187" s="585"/>
      <c r="K187" s="586"/>
      <c r="L187" s="590" t="s">
        <v>1490</v>
      </c>
      <c r="M187" s="585"/>
      <c r="N187" s="585"/>
      <c r="O187" s="585"/>
      <c r="P187" s="586"/>
      <c r="Q187" s="544"/>
      <c r="R187" s="545"/>
      <c r="S187" s="545"/>
      <c r="T187" s="545"/>
      <c r="U187" s="669"/>
      <c r="V187" s="544"/>
      <c r="W187" s="545"/>
      <c r="X187" s="545"/>
      <c r="Y187" s="545"/>
      <c r="Z187" s="669"/>
      <c r="AA187" s="544"/>
      <c r="AB187" s="545"/>
      <c r="AC187" s="545"/>
      <c r="AD187" s="545"/>
      <c r="AE187" s="546"/>
      <c r="AF187" s="522"/>
      <c r="AG187" s="468"/>
      <c r="AH187" s="468"/>
      <c r="AI187" s="468"/>
      <c r="AJ187" s="469"/>
      <c r="AK187" s="467"/>
      <c r="AL187" s="468"/>
      <c r="AM187" s="468"/>
      <c r="AN187" s="468"/>
      <c r="AO187" s="469"/>
      <c r="AP187" s="467"/>
      <c r="AQ187" s="468"/>
      <c r="AR187" s="468"/>
      <c r="AS187" s="468"/>
      <c r="AT187" s="469"/>
    </row>
    <row r="188" spans="2:46" ht="12.75" customHeight="1">
      <c r="B188" s="587"/>
      <c r="C188" s="588"/>
      <c r="D188" s="588"/>
      <c r="E188" s="588"/>
      <c r="F188" s="589"/>
      <c r="G188" s="591"/>
      <c r="H188" s="588"/>
      <c r="I188" s="588"/>
      <c r="J188" s="588"/>
      <c r="K188" s="589"/>
      <c r="L188" s="591"/>
      <c r="M188" s="588"/>
      <c r="N188" s="588"/>
      <c r="O188" s="588"/>
      <c r="P188" s="589"/>
      <c r="Q188" s="470"/>
      <c r="R188" s="471"/>
      <c r="S188" s="471"/>
      <c r="T188" s="471"/>
      <c r="U188" s="472"/>
      <c r="V188" s="470"/>
      <c r="W188" s="471"/>
      <c r="X188" s="471"/>
      <c r="Y188" s="471"/>
      <c r="Z188" s="472"/>
      <c r="AA188" s="470"/>
      <c r="AB188" s="471"/>
      <c r="AC188" s="471"/>
      <c r="AD188" s="471"/>
      <c r="AE188" s="485"/>
      <c r="AF188" s="523"/>
      <c r="AG188" s="471"/>
      <c r="AH188" s="471"/>
      <c r="AI188" s="471"/>
      <c r="AJ188" s="472"/>
      <c r="AK188" s="470"/>
      <c r="AL188" s="471"/>
      <c r="AM188" s="471"/>
      <c r="AN188" s="471"/>
      <c r="AO188" s="472"/>
      <c r="AP188" s="470"/>
      <c r="AQ188" s="471"/>
      <c r="AR188" s="471"/>
      <c r="AS188" s="471"/>
      <c r="AT188" s="472"/>
    </row>
    <row r="189" spans="2:46" ht="12.75" customHeight="1">
      <c r="B189" s="587"/>
      <c r="C189" s="588"/>
      <c r="D189" s="588"/>
      <c r="E189" s="588"/>
      <c r="F189" s="589"/>
      <c r="G189" s="591"/>
      <c r="H189" s="588"/>
      <c r="I189" s="588"/>
      <c r="J189" s="588"/>
      <c r="K189" s="589"/>
      <c r="L189" s="591"/>
      <c r="M189" s="588"/>
      <c r="N189" s="588"/>
      <c r="O189" s="588"/>
      <c r="P189" s="589"/>
      <c r="Q189" s="470"/>
      <c r="R189" s="471"/>
      <c r="S189" s="471"/>
      <c r="T189" s="471"/>
      <c r="U189" s="472"/>
      <c r="V189" s="470"/>
      <c r="W189" s="471"/>
      <c r="X189" s="471"/>
      <c r="Y189" s="471"/>
      <c r="Z189" s="472"/>
      <c r="AA189" s="470"/>
      <c r="AB189" s="471"/>
      <c r="AC189" s="471"/>
      <c r="AD189" s="471"/>
      <c r="AE189" s="485"/>
      <c r="AF189" s="523"/>
      <c r="AG189" s="471"/>
      <c r="AH189" s="471"/>
      <c r="AI189" s="471"/>
      <c r="AJ189" s="472"/>
      <c r="AK189" s="470"/>
      <c r="AL189" s="471"/>
      <c r="AM189" s="471"/>
      <c r="AN189" s="471"/>
      <c r="AO189" s="472"/>
      <c r="AP189" s="470"/>
      <c r="AQ189" s="471"/>
      <c r="AR189" s="471"/>
      <c r="AS189" s="471"/>
      <c r="AT189" s="472"/>
    </row>
    <row r="190" spans="2:46" ht="12.75" customHeight="1">
      <c r="B190" s="587"/>
      <c r="C190" s="588"/>
      <c r="D190" s="588"/>
      <c r="E190" s="588"/>
      <c r="F190" s="589"/>
      <c r="G190" s="591"/>
      <c r="H190" s="588"/>
      <c r="I190" s="588"/>
      <c r="J190" s="588"/>
      <c r="K190" s="589"/>
      <c r="L190" s="591"/>
      <c r="M190" s="588"/>
      <c r="N190" s="588"/>
      <c r="O190" s="588"/>
      <c r="P190" s="589"/>
      <c r="Q190" s="470"/>
      <c r="R190" s="471"/>
      <c r="S190" s="471"/>
      <c r="T190" s="471"/>
      <c r="U190" s="472"/>
      <c r="V190" s="470"/>
      <c r="W190" s="471"/>
      <c r="X190" s="471"/>
      <c r="Y190" s="471"/>
      <c r="Z190" s="472"/>
      <c r="AA190" s="470"/>
      <c r="AB190" s="471"/>
      <c r="AC190" s="471"/>
      <c r="AD190" s="471"/>
      <c r="AE190" s="485"/>
      <c r="AF190" s="523"/>
      <c r="AG190" s="471"/>
      <c r="AH190" s="471"/>
      <c r="AI190" s="471"/>
      <c r="AJ190" s="472"/>
      <c r="AK190" s="470"/>
      <c r="AL190" s="471"/>
      <c r="AM190" s="471"/>
      <c r="AN190" s="471"/>
      <c r="AO190" s="472"/>
      <c r="AP190" s="470"/>
      <c r="AQ190" s="471"/>
      <c r="AR190" s="471"/>
      <c r="AS190" s="471"/>
      <c r="AT190" s="472"/>
    </row>
    <row r="191" spans="2:46" ht="12.75" customHeight="1">
      <c r="B191" s="112"/>
      <c r="C191" s="86"/>
      <c r="D191" s="86"/>
      <c r="E191" s="577" t="s">
        <v>446</v>
      </c>
      <c r="F191" s="578"/>
      <c r="G191" s="85"/>
      <c r="H191" s="86"/>
      <c r="I191" s="86"/>
      <c r="J191" s="577" t="s">
        <v>44</v>
      </c>
      <c r="K191" s="578"/>
      <c r="L191" s="85"/>
      <c r="M191" s="86"/>
      <c r="N191" s="86"/>
      <c r="O191" s="577" t="s">
        <v>1895</v>
      </c>
      <c r="P191" s="578"/>
      <c r="Q191" s="69"/>
      <c r="R191" s="70"/>
      <c r="S191" s="70"/>
      <c r="T191" s="489"/>
      <c r="U191" s="490"/>
      <c r="V191" s="69"/>
      <c r="W191" s="70"/>
      <c r="X191" s="70"/>
      <c r="Y191" s="489"/>
      <c r="Z191" s="490"/>
      <c r="AA191" s="69"/>
      <c r="AB191" s="70"/>
      <c r="AC191" s="70"/>
      <c r="AD191" s="489"/>
      <c r="AE191" s="495"/>
      <c r="AF191" s="70"/>
      <c r="AG191" s="70"/>
      <c r="AH191" s="70"/>
      <c r="AI191" s="489"/>
      <c r="AJ191" s="490"/>
      <c r="AK191" s="69"/>
      <c r="AL191" s="70"/>
      <c r="AM191" s="70"/>
      <c r="AN191" s="489"/>
      <c r="AO191" s="490"/>
      <c r="AP191" s="69"/>
      <c r="AQ191" s="70"/>
      <c r="AR191" s="70"/>
      <c r="AS191" s="489"/>
      <c r="AT191" s="490"/>
    </row>
    <row r="192" spans="2:46" ht="12.75" customHeight="1">
      <c r="B192" s="602" t="s">
        <v>261</v>
      </c>
      <c r="C192" s="603"/>
      <c r="D192" s="603"/>
      <c r="E192" s="603"/>
      <c r="F192" s="604"/>
      <c r="G192" s="605" t="s">
        <v>257</v>
      </c>
      <c r="H192" s="603"/>
      <c r="I192" s="603"/>
      <c r="J192" s="603"/>
      <c r="K192" s="604"/>
      <c r="L192" s="605" t="s">
        <v>401</v>
      </c>
      <c r="M192" s="603"/>
      <c r="N192" s="603"/>
      <c r="O192" s="603"/>
      <c r="P192" s="604"/>
      <c r="Q192" s="467"/>
      <c r="R192" s="468"/>
      <c r="S192" s="468"/>
      <c r="T192" s="468"/>
      <c r="U192" s="469"/>
      <c r="V192" s="467"/>
      <c r="W192" s="468"/>
      <c r="X192" s="468"/>
      <c r="Y192" s="468"/>
      <c r="Z192" s="469"/>
      <c r="AA192" s="467"/>
      <c r="AB192" s="468"/>
      <c r="AC192" s="468"/>
      <c r="AD192" s="468"/>
      <c r="AE192" s="491"/>
      <c r="AF192" s="522"/>
      <c r="AG192" s="468"/>
      <c r="AH192" s="468"/>
      <c r="AI192" s="468"/>
      <c r="AJ192" s="469"/>
      <c r="AK192" s="467"/>
      <c r="AL192" s="468"/>
      <c r="AM192" s="468"/>
      <c r="AN192" s="468"/>
      <c r="AO192" s="469"/>
      <c r="AP192" s="467"/>
      <c r="AQ192" s="468"/>
      <c r="AR192" s="468"/>
      <c r="AS192" s="468"/>
      <c r="AT192" s="469"/>
    </row>
    <row r="193" spans="2:46" ht="12.75" customHeight="1">
      <c r="B193" s="587"/>
      <c r="C193" s="588"/>
      <c r="D193" s="588"/>
      <c r="E193" s="588"/>
      <c r="F193" s="589"/>
      <c r="G193" s="591"/>
      <c r="H193" s="588"/>
      <c r="I193" s="588"/>
      <c r="J193" s="588"/>
      <c r="K193" s="589"/>
      <c r="L193" s="591"/>
      <c r="M193" s="588"/>
      <c r="N193" s="588"/>
      <c r="O193" s="588"/>
      <c r="P193" s="589"/>
      <c r="Q193" s="470"/>
      <c r="R193" s="471"/>
      <c r="S193" s="471"/>
      <c r="T193" s="471"/>
      <c r="U193" s="472"/>
      <c r="V193" s="470"/>
      <c r="W193" s="471"/>
      <c r="X193" s="471"/>
      <c r="Y193" s="471"/>
      <c r="Z193" s="472"/>
      <c r="AA193" s="470"/>
      <c r="AB193" s="471"/>
      <c r="AC193" s="471"/>
      <c r="AD193" s="471"/>
      <c r="AE193" s="485"/>
      <c r="AF193" s="523"/>
      <c r="AG193" s="471"/>
      <c r="AH193" s="471"/>
      <c r="AI193" s="471"/>
      <c r="AJ193" s="472"/>
      <c r="AK193" s="470"/>
      <c r="AL193" s="471"/>
      <c r="AM193" s="471"/>
      <c r="AN193" s="471"/>
      <c r="AO193" s="472"/>
      <c r="AP193" s="470"/>
      <c r="AQ193" s="471"/>
      <c r="AR193" s="471"/>
      <c r="AS193" s="471"/>
      <c r="AT193" s="472"/>
    </row>
    <row r="194" spans="2:46" ht="12.75" customHeight="1">
      <c r="B194" s="587"/>
      <c r="C194" s="588"/>
      <c r="D194" s="588"/>
      <c r="E194" s="588"/>
      <c r="F194" s="589"/>
      <c r="G194" s="591"/>
      <c r="H194" s="588"/>
      <c r="I194" s="588"/>
      <c r="J194" s="588"/>
      <c r="K194" s="589"/>
      <c r="L194" s="591"/>
      <c r="M194" s="588"/>
      <c r="N194" s="588"/>
      <c r="O194" s="588"/>
      <c r="P194" s="589"/>
      <c r="Q194" s="470"/>
      <c r="R194" s="471"/>
      <c r="S194" s="471"/>
      <c r="T194" s="471"/>
      <c r="U194" s="472"/>
      <c r="V194" s="470"/>
      <c r="W194" s="471"/>
      <c r="X194" s="471"/>
      <c r="Y194" s="471"/>
      <c r="Z194" s="472"/>
      <c r="AA194" s="470"/>
      <c r="AB194" s="471"/>
      <c r="AC194" s="471"/>
      <c r="AD194" s="471"/>
      <c r="AE194" s="485"/>
      <c r="AF194" s="523"/>
      <c r="AG194" s="471"/>
      <c r="AH194" s="471"/>
      <c r="AI194" s="471"/>
      <c r="AJ194" s="472"/>
      <c r="AK194" s="470"/>
      <c r="AL194" s="471"/>
      <c r="AM194" s="471"/>
      <c r="AN194" s="471"/>
      <c r="AO194" s="472"/>
      <c r="AP194" s="470"/>
      <c r="AQ194" s="471"/>
      <c r="AR194" s="471"/>
      <c r="AS194" s="471"/>
      <c r="AT194" s="472"/>
    </row>
    <row r="195" spans="2:46" ht="12.75" customHeight="1">
      <c r="B195" s="587"/>
      <c r="C195" s="588"/>
      <c r="D195" s="588"/>
      <c r="E195" s="588"/>
      <c r="F195" s="589"/>
      <c r="G195" s="591"/>
      <c r="H195" s="588"/>
      <c r="I195" s="588"/>
      <c r="J195" s="588"/>
      <c r="K195" s="589"/>
      <c r="L195" s="591"/>
      <c r="M195" s="588"/>
      <c r="N195" s="588"/>
      <c r="O195" s="588"/>
      <c r="P195" s="589"/>
      <c r="Q195" s="470"/>
      <c r="R195" s="471"/>
      <c r="S195" s="471"/>
      <c r="T195" s="471"/>
      <c r="U195" s="472"/>
      <c r="V195" s="470"/>
      <c r="W195" s="471"/>
      <c r="X195" s="471"/>
      <c r="Y195" s="471"/>
      <c r="Z195" s="472"/>
      <c r="AA195" s="470"/>
      <c r="AB195" s="471"/>
      <c r="AC195" s="471"/>
      <c r="AD195" s="471"/>
      <c r="AE195" s="485"/>
      <c r="AF195" s="523"/>
      <c r="AG195" s="471"/>
      <c r="AH195" s="471"/>
      <c r="AI195" s="471"/>
      <c r="AJ195" s="472"/>
      <c r="AK195" s="470"/>
      <c r="AL195" s="471"/>
      <c r="AM195" s="471"/>
      <c r="AN195" s="471"/>
      <c r="AO195" s="472"/>
      <c r="AP195" s="470"/>
      <c r="AQ195" s="471"/>
      <c r="AR195" s="471"/>
      <c r="AS195" s="471"/>
      <c r="AT195" s="472"/>
    </row>
    <row r="196" spans="2:46" ht="12.75" customHeight="1">
      <c r="B196" s="112"/>
      <c r="C196" s="86"/>
      <c r="D196" s="86"/>
      <c r="E196" s="577" t="s">
        <v>44</v>
      </c>
      <c r="F196" s="578"/>
      <c r="G196" s="85"/>
      <c r="H196" s="86"/>
      <c r="I196" s="86"/>
      <c r="J196" s="577" t="s">
        <v>44</v>
      </c>
      <c r="K196" s="578"/>
      <c r="L196" s="85"/>
      <c r="M196" s="86"/>
      <c r="N196" s="86"/>
      <c r="O196" s="577" t="s">
        <v>1894</v>
      </c>
      <c r="P196" s="578"/>
      <c r="Q196" s="69"/>
      <c r="R196" s="70"/>
      <c r="S196" s="70"/>
      <c r="T196" s="489"/>
      <c r="U196" s="490"/>
      <c r="V196" s="69"/>
      <c r="W196" s="70"/>
      <c r="X196" s="70"/>
      <c r="Y196" s="489"/>
      <c r="Z196" s="490"/>
      <c r="AA196" s="69"/>
      <c r="AB196" s="70"/>
      <c r="AC196" s="70"/>
      <c r="AD196" s="489"/>
      <c r="AE196" s="495"/>
      <c r="AF196" s="70"/>
      <c r="AG196" s="70"/>
      <c r="AH196" s="70"/>
      <c r="AI196" s="489"/>
      <c r="AJ196" s="490"/>
      <c r="AK196" s="69"/>
      <c r="AL196" s="70"/>
      <c r="AM196" s="70"/>
      <c r="AN196" s="489"/>
      <c r="AO196" s="490"/>
      <c r="AP196" s="69"/>
      <c r="AQ196" s="70"/>
      <c r="AR196" s="70"/>
      <c r="AS196" s="489"/>
      <c r="AT196" s="490"/>
    </row>
    <row r="197" spans="2:46" ht="12.75" customHeight="1">
      <c r="B197" s="602" t="s">
        <v>1273</v>
      </c>
      <c r="C197" s="603"/>
      <c r="D197" s="603"/>
      <c r="E197" s="603"/>
      <c r="F197" s="604"/>
      <c r="G197" s="605" t="s">
        <v>259</v>
      </c>
      <c r="H197" s="603"/>
      <c r="I197" s="603"/>
      <c r="J197" s="603"/>
      <c r="K197" s="604"/>
      <c r="L197" s="554" t="s">
        <v>844</v>
      </c>
      <c r="M197" s="555"/>
      <c r="N197" s="555"/>
      <c r="O197" s="555"/>
      <c r="P197" s="556"/>
      <c r="Q197" s="467"/>
      <c r="R197" s="468"/>
      <c r="S197" s="468"/>
      <c r="T197" s="468"/>
      <c r="U197" s="469"/>
      <c r="V197" s="467"/>
      <c r="W197" s="468"/>
      <c r="X197" s="468"/>
      <c r="Y197" s="468"/>
      <c r="Z197" s="469"/>
      <c r="AA197" s="467"/>
      <c r="AB197" s="468"/>
      <c r="AC197" s="468"/>
      <c r="AD197" s="468"/>
      <c r="AE197" s="491"/>
      <c r="AF197" s="522"/>
      <c r="AG197" s="468"/>
      <c r="AH197" s="468"/>
      <c r="AI197" s="468"/>
      <c r="AJ197" s="469"/>
      <c r="AK197" s="467"/>
      <c r="AL197" s="468"/>
      <c r="AM197" s="468"/>
      <c r="AN197" s="468"/>
      <c r="AO197" s="469"/>
      <c r="AP197" s="467"/>
      <c r="AQ197" s="468"/>
      <c r="AR197" s="468"/>
      <c r="AS197" s="468"/>
      <c r="AT197" s="469"/>
    </row>
    <row r="198" spans="2:46" ht="12.75" customHeight="1">
      <c r="B198" s="587"/>
      <c r="C198" s="588"/>
      <c r="D198" s="588"/>
      <c r="E198" s="588"/>
      <c r="F198" s="589"/>
      <c r="G198" s="591"/>
      <c r="H198" s="588"/>
      <c r="I198" s="588"/>
      <c r="J198" s="588"/>
      <c r="K198" s="589"/>
      <c r="L198" s="482"/>
      <c r="M198" s="483"/>
      <c r="N198" s="483"/>
      <c r="O198" s="483"/>
      <c r="P198" s="484"/>
      <c r="Q198" s="470"/>
      <c r="R198" s="471"/>
      <c r="S198" s="471"/>
      <c r="T198" s="471"/>
      <c r="U198" s="472"/>
      <c r="V198" s="470"/>
      <c r="W198" s="471"/>
      <c r="X198" s="471"/>
      <c r="Y198" s="471"/>
      <c r="Z198" s="472"/>
      <c r="AA198" s="470"/>
      <c r="AB198" s="471"/>
      <c r="AC198" s="471"/>
      <c r="AD198" s="471"/>
      <c r="AE198" s="485"/>
      <c r="AF198" s="523"/>
      <c r="AG198" s="471"/>
      <c r="AH198" s="471"/>
      <c r="AI198" s="471"/>
      <c r="AJ198" s="472"/>
      <c r="AK198" s="470"/>
      <c r="AL198" s="471"/>
      <c r="AM198" s="471"/>
      <c r="AN198" s="471"/>
      <c r="AO198" s="472"/>
      <c r="AP198" s="470"/>
      <c r="AQ198" s="471"/>
      <c r="AR198" s="471"/>
      <c r="AS198" s="471"/>
      <c r="AT198" s="472"/>
    </row>
    <row r="199" spans="2:46" ht="12.75" customHeight="1">
      <c r="B199" s="587"/>
      <c r="C199" s="588"/>
      <c r="D199" s="588"/>
      <c r="E199" s="588"/>
      <c r="F199" s="589"/>
      <c r="G199" s="591"/>
      <c r="H199" s="588"/>
      <c r="I199" s="588"/>
      <c r="J199" s="588"/>
      <c r="K199" s="589"/>
      <c r="L199" s="482"/>
      <c r="M199" s="483"/>
      <c r="N199" s="483"/>
      <c r="O199" s="483"/>
      <c r="P199" s="484"/>
      <c r="Q199" s="470"/>
      <c r="R199" s="471"/>
      <c r="S199" s="471"/>
      <c r="T199" s="471"/>
      <c r="U199" s="472"/>
      <c r="V199" s="470"/>
      <c r="W199" s="471"/>
      <c r="X199" s="471"/>
      <c r="Y199" s="471"/>
      <c r="Z199" s="472"/>
      <c r="AA199" s="470"/>
      <c r="AB199" s="471"/>
      <c r="AC199" s="471"/>
      <c r="AD199" s="471"/>
      <c r="AE199" s="485"/>
      <c r="AF199" s="523"/>
      <c r="AG199" s="471"/>
      <c r="AH199" s="471"/>
      <c r="AI199" s="471"/>
      <c r="AJ199" s="472"/>
      <c r="AK199" s="470"/>
      <c r="AL199" s="471"/>
      <c r="AM199" s="471"/>
      <c r="AN199" s="471"/>
      <c r="AO199" s="472"/>
      <c r="AP199" s="470"/>
      <c r="AQ199" s="471"/>
      <c r="AR199" s="471"/>
      <c r="AS199" s="471"/>
      <c r="AT199" s="472"/>
    </row>
    <row r="200" spans="2:46" ht="12.75" customHeight="1">
      <c r="B200" s="587"/>
      <c r="C200" s="588"/>
      <c r="D200" s="588"/>
      <c r="E200" s="588"/>
      <c r="F200" s="589"/>
      <c r="G200" s="591"/>
      <c r="H200" s="588"/>
      <c r="I200" s="588"/>
      <c r="J200" s="588"/>
      <c r="K200" s="589"/>
      <c r="L200" s="482"/>
      <c r="M200" s="483"/>
      <c r="N200" s="483"/>
      <c r="O200" s="483"/>
      <c r="P200" s="484"/>
      <c r="Q200" s="470"/>
      <c r="R200" s="471"/>
      <c r="S200" s="471"/>
      <c r="T200" s="471"/>
      <c r="U200" s="472"/>
      <c r="V200" s="470"/>
      <c r="W200" s="471"/>
      <c r="X200" s="471"/>
      <c r="Y200" s="471"/>
      <c r="Z200" s="472"/>
      <c r="AA200" s="470"/>
      <c r="AB200" s="471"/>
      <c r="AC200" s="471"/>
      <c r="AD200" s="471"/>
      <c r="AE200" s="485"/>
      <c r="AF200" s="523"/>
      <c r="AG200" s="471"/>
      <c r="AH200" s="471"/>
      <c r="AI200" s="471"/>
      <c r="AJ200" s="472"/>
      <c r="AK200" s="470"/>
      <c r="AL200" s="471"/>
      <c r="AM200" s="471"/>
      <c r="AN200" s="471"/>
      <c r="AO200" s="472"/>
      <c r="AP200" s="470"/>
      <c r="AQ200" s="471"/>
      <c r="AR200" s="471"/>
      <c r="AS200" s="471"/>
      <c r="AT200" s="472"/>
    </row>
    <row r="201" spans="2:46" ht="12.75" customHeight="1">
      <c r="B201" s="112"/>
      <c r="C201" s="86"/>
      <c r="D201" s="86"/>
      <c r="E201" s="577" t="s">
        <v>44</v>
      </c>
      <c r="F201" s="578"/>
      <c r="G201" s="85"/>
      <c r="H201" s="86"/>
      <c r="I201" s="86"/>
      <c r="J201" s="577" t="s">
        <v>45</v>
      </c>
      <c r="K201" s="578"/>
      <c r="L201" s="318"/>
      <c r="M201" s="319"/>
      <c r="N201" s="319"/>
      <c r="O201" s="511" t="s">
        <v>911</v>
      </c>
      <c r="P201" s="512"/>
      <c r="Q201" s="69"/>
      <c r="R201" s="70"/>
      <c r="S201" s="70"/>
      <c r="T201" s="489"/>
      <c r="U201" s="490"/>
      <c r="V201" s="69"/>
      <c r="W201" s="70"/>
      <c r="X201" s="70"/>
      <c r="Y201" s="489"/>
      <c r="Z201" s="490"/>
      <c r="AA201" s="69"/>
      <c r="AB201" s="70"/>
      <c r="AC201" s="70"/>
      <c r="AD201" s="489"/>
      <c r="AE201" s="495"/>
      <c r="AF201" s="70"/>
      <c r="AG201" s="70"/>
      <c r="AH201" s="70"/>
      <c r="AI201" s="489"/>
      <c r="AJ201" s="490"/>
      <c r="AK201" s="69"/>
      <c r="AL201" s="70"/>
      <c r="AM201" s="70"/>
      <c r="AN201" s="489"/>
      <c r="AO201" s="490"/>
      <c r="AP201" s="69"/>
      <c r="AQ201" s="70"/>
      <c r="AR201" s="70"/>
      <c r="AS201" s="489"/>
      <c r="AT201" s="490"/>
    </row>
    <row r="202" spans="2:46" ht="12.75" customHeight="1">
      <c r="B202" s="602" t="s">
        <v>258</v>
      </c>
      <c r="C202" s="603"/>
      <c r="D202" s="603"/>
      <c r="E202" s="603"/>
      <c r="F202" s="604"/>
      <c r="G202" s="605" t="s">
        <v>263</v>
      </c>
      <c r="H202" s="603"/>
      <c r="I202" s="603"/>
      <c r="J202" s="603"/>
      <c r="K202" s="604"/>
      <c r="L202" s="467"/>
      <c r="M202" s="468"/>
      <c r="N202" s="468"/>
      <c r="O202" s="468"/>
      <c r="P202" s="469"/>
      <c r="Q202" s="467"/>
      <c r="R202" s="468"/>
      <c r="S202" s="468"/>
      <c r="T202" s="468"/>
      <c r="U202" s="469"/>
      <c r="V202" s="467"/>
      <c r="W202" s="468"/>
      <c r="X202" s="468"/>
      <c r="Y202" s="468"/>
      <c r="Z202" s="469"/>
      <c r="AA202" s="467"/>
      <c r="AB202" s="468"/>
      <c r="AC202" s="468"/>
      <c r="AD202" s="468"/>
      <c r="AE202" s="491"/>
      <c r="AF202" s="522"/>
      <c r="AG202" s="468"/>
      <c r="AH202" s="468"/>
      <c r="AI202" s="468"/>
      <c r="AJ202" s="469"/>
      <c r="AK202" s="467"/>
      <c r="AL202" s="468"/>
      <c r="AM202" s="468"/>
      <c r="AN202" s="468"/>
      <c r="AO202" s="469"/>
      <c r="AP202" s="467"/>
      <c r="AQ202" s="468"/>
      <c r="AR202" s="468"/>
      <c r="AS202" s="468"/>
      <c r="AT202" s="469"/>
    </row>
    <row r="203" spans="2:46" ht="12.75" customHeight="1">
      <c r="B203" s="587"/>
      <c r="C203" s="588"/>
      <c r="D203" s="588"/>
      <c r="E203" s="588"/>
      <c r="F203" s="589"/>
      <c r="G203" s="591"/>
      <c r="H203" s="588"/>
      <c r="I203" s="588"/>
      <c r="J203" s="588"/>
      <c r="K203" s="589"/>
      <c r="L203" s="470"/>
      <c r="M203" s="471"/>
      <c r="N203" s="471"/>
      <c r="O203" s="471"/>
      <c r="P203" s="472"/>
      <c r="Q203" s="470"/>
      <c r="R203" s="471"/>
      <c r="S203" s="471"/>
      <c r="T203" s="471"/>
      <c r="U203" s="472"/>
      <c r="V203" s="470"/>
      <c r="W203" s="471"/>
      <c r="X203" s="471"/>
      <c r="Y203" s="471"/>
      <c r="Z203" s="472"/>
      <c r="AA203" s="470"/>
      <c r="AB203" s="471"/>
      <c r="AC203" s="471"/>
      <c r="AD203" s="471"/>
      <c r="AE203" s="485"/>
      <c r="AF203" s="523"/>
      <c r="AG203" s="471"/>
      <c r="AH203" s="471"/>
      <c r="AI203" s="471"/>
      <c r="AJ203" s="472"/>
      <c r="AK203" s="470"/>
      <c r="AL203" s="471"/>
      <c r="AM203" s="471"/>
      <c r="AN203" s="471"/>
      <c r="AO203" s="472"/>
      <c r="AP203" s="470"/>
      <c r="AQ203" s="471"/>
      <c r="AR203" s="471"/>
      <c r="AS203" s="471"/>
      <c r="AT203" s="472"/>
    </row>
    <row r="204" spans="2:46" ht="12.75" customHeight="1">
      <c r="B204" s="587"/>
      <c r="C204" s="588"/>
      <c r="D204" s="588"/>
      <c r="E204" s="588"/>
      <c r="F204" s="589"/>
      <c r="G204" s="591"/>
      <c r="H204" s="588"/>
      <c r="I204" s="588"/>
      <c r="J204" s="588"/>
      <c r="K204" s="589"/>
      <c r="L204" s="470"/>
      <c r="M204" s="471"/>
      <c r="N204" s="471"/>
      <c r="O204" s="471"/>
      <c r="P204" s="472"/>
      <c r="Q204" s="470"/>
      <c r="R204" s="471"/>
      <c r="S204" s="471"/>
      <c r="T204" s="471"/>
      <c r="U204" s="472"/>
      <c r="V204" s="470"/>
      <c r="W204" s="471"/>
      <c r="X204" s="471"/>
      <c r="Y204" s="471"/>
      <c r="Z204" s="472"/>
      <c r="AA204" s="470"/>
      <c r="AB204" s="471"/>
      <c r="AC204" s="471"/>
      <c r="AD204" s="471"/>
      <c r="AE204" s="485"/>
      <c r="AF204" s="523"/>
      <c r="AG204" s="471"/>
      <c r="AH204" s="471"/>
      <c r="AI204" s="471"/>
      <c r="AJ204" s="472"/>
      <c r="AK204" s="470"/>
      <c r="AL204" s="471"/>
      <c r="AM204" s="471"/>
      <c r="AN204" s="471"/>
      <c r="AO204" s="472"/>
      <c r="AP204" s="470"/>
      <c r="AQ204" s="471"/>
      <c r="AR204" s="471"/>
      <c r="AS204" s="471"/>
      <c r="AT204" s="472"/>
    </row>
    <row r="205" spans="2:46" ht="12.75" customHeight="1">
      <c r="B205" s="587"/>
      <c r="C205" s="588"/>
      <c r="D205" s="588"/>
      <c r="E205" s="588"/>
      <c r="F205" s="589"/>
      <c r="G205" s="591"/>
      <c r="H205" s="588"/>
      <c r="I205" s="588"/>
      <c r="J205" s="588"/>
      <c r="K205" s="589"/>
      <c r="L205" s="470"/>
      <c r="M205" s="471"/>
      <c r="N205" s="471"/>
      <c r="O205" s="471"/>
      <c r="P205" s="472"/>
      <c r="Q205" s="470"/>
      <c r="R205" s="471"/>
      <c r="S205" s="471"/>
      <c r="T205" s="471"/>
      <c r="U205" s="472"/>
      <c r="V205" s="470"/>
      <c r="W205" s="471"/>
      <c r="X205" s="471"/>
      <c r="Y205" s="471"/>
      <c r="Z205" s="472"/>
      <c r="AA205" s="470"/>
      <c r="AB205" s="471"/>
      <c r="AC205" s="471"/>
      <c r="AD205" s="471"/>
      <c r="AE205" s="485"/>
      <c r="AF205" s="523"/>
      <c r="AG205" s="471"/>
      <c r="AH205" s="471"/>
      <c r="AI205" s="471"/>
      <c r="AJ205" s="472"/>
      <c r="AK205" s="470"/>
      <c r="AL205" s="471"/>
      <c r="AM205" s="471"/>
      <c r="AN205" s="471"/>
      <c r="AO205" s="472"/>
      <c r="AP205" s="470"/>
      <c r="AQ205" s="471"/>
      <c r="AR205" s="471"/>
      <c r="AS205" s="471"/>
      <c r="AT205" s="472"/>
    </row>
    <row r="206" spans="2:46" ht="12.75" customHeight="1">
      <c r="B206" s="112"/>
      <c r="C206" s="86"/>
      <c r="D206" s="86"/>
      <c r="E206" s="577" t="s">
        <v>473</v>
      </c>
      <c r="F206" s="578"/>
      <c r="G206" s="85"/>
      <c r="H206" s="86"/>
      <c r="I206" s="86"/>
      <c r="J206" s="577" t="s">
        <v>453</v>
      </c>
      <c r="K206" s="578"/>
      <c r="L206" s="69"/>
      <c r="M206" s="70"/>
      <c r="N206" s="70"/>
      <c r="O206" s="489"/>
      <c r="P206" s="490"/>
      <c r="Q206" s="69"/>
      <c r="R206" s="70"/>
      <c r="S206" s="70"/>
      <c r="T206" s="489"/>
      <c r="U206" s="490"/>
      <c r="V206" s="69"/>
      <c r="W206" s="70"/>
      <c r="X206" s="70"/>
      <c r="Y206" s="489"/>
      <c r="Z206" s="490"/>
      <c r="AA206" s="69"/>
      <c r="AB206" s="70"/>
      <c r="AC206" s="70"/>
      <c r="AD206" s="489"/>
      <c r="AE206" s="495"/>
      <c r="AF206" s="70"/>
      <c r="AG206" s="70"/>
      <c r="AH206" s="70"/>
      <c r="AI206" s="489"/>
      <c r="AJ206" s="490"/>
      <c r="AK206" s="69"/>
      <c r="AL206" s="70"/>
      <c r="AM206" s="70"/>
      <c r="AN206" s="489"/>
      <c r="AO206" s="490"/>
      <c r="AP206" s="69"/>
      <c r="AQ206" s="70"/>
      <c r="AR206" s="70"/>
      <c r="AS206" s="489"/>
      <c r="AT206" s="490"/>
    </row>
    <row r="207" spans="2:46" ht="12.75" customHeight="1">
      <c r="B207" s="602" t="s">
        <v>254</v>
      </c>
      <c r="C207" s="603"/>
      <c r="D207" s="603"/>
      <c r="E207" s="603"/>
      <c r="F207" s="604"/>
      <c r="G207" s="605" t="s">
        <v>260</v>
      </c>
      <c r="H207" s="603"/>
      <c r="I207" s="603"/>
      <c r="J207" s="603"/>
      <c r="K207" s="604"/>
      <c r="L207" s="467"/>
      <c r="M207" s="468"/>
      <c r="N207" s="468"/>
      <c r="O207" s="468"/>
      <c r="P207" s="469"/>
      <c r="Q207" s="467"/>
      <c r="R207" s="468"/>
      <c r="S207" s="468"/>
      <c r="T207" s="468"/>
      <c r="U207" s="469"/>
      <c r="V207" s="467"/>
      <c r="W207" s="468"/>
      <c r="X207" s="468"/>
      <c r="Y207" s="468"/>
      <c r="Z207" s="469"/>
      <c r="AA207" s="467"/>
      <c r="AB207" s="468"/>
      <c r="AC207" s="468"/>
      <c r="AD207" s="468"/>
      <c r="AE207" s="491"/>
      <c r="AF207" s="522"/>
      <c r="AG207" s="468"/>
      <c r="AH207" s="468"/>
      <c r="AI207" s="468"/>
      <c r="AJ207" s="469"/>
      <c r="AK207" s="467"/>
      <c r="AL207" s="468"/>
      <c r="AM207" s="468"/>
      <c r="AN207" s="468"/>
      <c r="AO207" s="469"/>
      <c r="AP207" s="467"/>
      <c r="AQ207" s="468"/>
      <c r="AR207" s="468"/>
      <c r="AS207" s="468"/>
      <c r="AT207" s="469"/>
    </row>
    <row r="208" spans="2:46" ht="12.75" customHeight="1">
      <c r="B208" s="587"/>
      <c r="C208" s="588"/>
      <c r="D208" s="588"/>
      <c r="E208" s="588"/>
      <c r="F208" s="589"/>
      <c r="G208" s="591"/>
      <c r="H208" s="588"/>
      <c r="I208" s="588"/>
      <c r="J208" s="588"/>
      <c r="K208" s="589"/>
      <c r="L208" s="470"/>
      <c r="M208" s="471"/>
      <c r="N208" s="471"/>
      <c r="O208" s="471"/>
      <c r="P208" s="472"/>
      <c r="Q208" s="470"/>
      <c r="R208" s="471"/>
      <c r="S208" s="471"/>
      <c r="T208" s="471"/>
      <c r="U208" s="472"/>
      <c r="V208" s="470"/>
      <c r="W208" s="471"/>
      <c r="X208" s="471"/>
      <c r="Y208" s="471"/>
      <c r="Z208" s="472"/>
      <c r="AA208" s="470"/>
      <c r="AB208" s="471"/>
      <c r="AC208" s="471"/>
      <c r="AD208" s="471"/>
      <c r="AE208" s="485"/>
      <c r="AF208" s="523"/>
      <c r="AG208" s="471"/>
      <c r="AH208" s="471"/>
      <c r="AI208" s="471"/>
      <c r="AJ208" s="472"/>
      <c r="AK208" s="470"/>
      <c r="AL208" s="471"/>
      <c r="AM208" s="471"/>
      <c r="AN208" s="471"/>
      <c r="AO208" s="472"/>
      <c r="AP208" s="470"/>
      <c r="AQ208" s="471"/>
      <c r="AR208" s="471"/>
      <c r="AS208" s="471"/>
      <c r="AT208" s="472"/>
    </row>
    <row r="209" spans="2:46" ht="12.75" customHeight="1">
      <c r="B209" s="587"/>
      <c r="C209" s="588"/>
      <c r="D209" s="588"/>
      <c r="E209" s="588"/>
      <c r="F209" s="589"/>
      <c r="G209" s="591"/>
      <c r="H209" s="588"/>
      <c r="I209" s="588"/>
      <c r="J209" s="588"/>
      <c r="K209" s="589"/>
      <c r="L209" s="470"/>
      <c r="M209" s="471"/>
      <c r="N209" s="471"/>
      <c r="O209" s="471"/>
      <c r="P209" s="472"/>
      <c r="Q209" s="470"/>
      <c r="R209" s="471"/>
      <c r="S209" s="471"/>
      <c r="T209" s="471"/>
      <c r="U209" s="472"/>
      <c r="V209" s="470"/>
      <c r="W209" s="471"/>
      <c r="X209" s="471"/>
      <c r="Y209" s="471"/>
      <c r="Z209" s="472"/>
      <c r="AA209" s="470"/>
      <c r="AB209" s="471"/>
      <c r="AC209" s="471"/>
      <c r="AD209" s="471"/>
      <c r="AE209" s="485"/>
      <c r="AF209" s="523"/>
      <c r="AG209" s="471"/>
      <c r="AH209" s="471"/>
      <c r="AI209" s="471"/>
      <c r="AJ209" s="472"/>
      <c r="AK209" s="470"/>
      <c r="AL209" s="471"/>
      <c r="AM209" s="471"/>
      <c r="AN209" s="471"/>
      <c r="AO209" s="472"/>
      <c r="AP209" s="470"/>
      <c r="AQ209" s="471"/>
      <c r="AR209" s="471"/>
      <c r="AS209" s="471"/>
      <c r="AT209" s="472"/>
    </row>
    <row r="210" spans="2:46" ht="12.75" customHeight="1">
      <c r="B210" s="587"/>
      <c r="C210" s="588"/>
      <c r="D210" s="588"/>
      <c r="E210" s="588"/>
      <c r="F210" s="589"/>
      <c r="G210" s="591"/>
      <c r="H210" s="588"/>
      <c r="I210" s="588"/>
      <c r="J210" s="588"/>
      <c r="K210" s="589"/>
      <c r="L210" s="470"/>
      <c r="M210" s="471"/>
      <c r="N210" s="471"/>
      <c r="O210" s="471"/>
      <c r="P210" s="472"/>
      <c r="Q210" s="470"/>
      <c r="R210" s="471"/>
      <c r="S210" s="471"/>
      <c r="T210" s="471"/>
      <c r="U210" s="472"/>
      <c r="V210" s="470"/>
      <c r="W210" s="471"/>
      <c r="X210" s="471"/>
      <c r="Y210" s="471"/>
      <c r="Z210" s="472"/>
      <c r="AA210" s="470"/>
      <c r="AB210" s="471"/>
      <c r="AC210" s="471"/>
      <c r="AD210" s="471"/>
      <c r="AE210" s="485"/>
      <c r="AF210" s="523"/>
      <c r="AG210" s="471"/>
      <c r="AH210" s="471"/>
      <c r="AI210" s="471"/>
      <c r="AJ210" s="472"/>
      <c r="AK210" s="470"/>
      <c r="AL210" s="471"/>
      <c r="AM210" s="471"/>
      <c r="AN210" s="471"/>
      <c r="AO210" s="472"/>
      <c r="AP210" s="470"/>
      <c r="AQ210" s="471"/>
      <c r="AR210" s="471"/>
      <c r="AS210" s="471"/>
      <c r="AT210" s="472"/>
    </row>
    <row r="211" spans="2:46" ht="12.75" customHeight="1">
      <c r="B211" s="112"/>
      <c r="C211" s="86"/>
      <c r="D211" s="86"/>
      <c r="E211" s="577" t="s">
        <v>446</v>
      </c>
      <c r="F211" s="578"/>
      <c r="G211" s="85"/>
      <c r="H211" s="86"/>
      <c r="I211" s="86"/>
      <c r="J211" s="577" t="s">
        <v>452</v>
      </c>
      <c r="K211" s="578"/>
      <c r="L211" s="69"/>
      <c r="M211" s="70"/>
      <c r="N211" s="70"/>
      <c r="O211" s="489"/>
      <c r="P211" s="490"/>
      <c r="Q211" s="69"/>
      <c r="R211" s="70"/>
      <c r="S211" s="70"/>
      <c r="T211" s="489"/>
      <c r="U211" s="490"/>
      <c r="V211" s="69"/>
      <c r="W211" s="70"/>
      <c r="X211" s="70"/>
      <c r="Y211" s="489"/>
      <c r="Z211" s="490"/>
      <c r="AA211" s="69"/>
      <c r="AB211" s="70"/>
      <c r="AC211" s="70"/>
      <c r="AD211" s="489"/>
      <c r="AE211" s="495"/>
      <c r="AF211" s="70"/>
      <c r="AG211" s="70"/>
      <c r="AH211" s="70"/>
      <c r="AI211" s="489"/>
      <c r="AJ211" s="490"/>
      <c r="AK211" s="69"/>
      <c r="AL211" s="70"/>
      <c r="AM211" s="70"/>
      <c r="AN211" s="489"/>
      <c r="AO211" s="490"/>
      <c r="AP211" s="69"/>
      <c r="AQ211" s="70"/>
      <c r="AR211" s="70"/>
      <c r="AS211" s="489"/>
      <c r="AT211" s="490"/>
    </row>
    <row r="212" spans="2:46" ht="12.75" customHeight="1">
      <c r="B212" s="602" t="s">
        <v>255</v>
      </c>
      <c r="C212" s="603"/>
      <c r="D212" s="603"/>
      <c r="E212" s="603"/>
      <c r="F212" s="604"/>
      <c r="G212" s="605" t="s">
        <v>1489</v>
      </c>
      <c r="H212" s="603"/>
      <c r="I212" s="603"/>
      <c r="J212" s="603"/>
      <c r="K212" s="604"/>
      <c r="L212" s="467"/>
      <c r="M212" s="468"/>
      <c r="N212" s="468"/>
      <c r="O212" s="468"/>
      <c r="P212" s="469"/>
      <c r="Q212" s="467"/>
      <c r="R212" s="468"/>
      <c r="S212" s="468"/>
      <c r="T212" s="468"/>
      <c r="U212" s="469"/>
      <c r="V212" s="467"/>
      <c r="W212" s="468"/>
      <c r="X212" s="468"/>
      <c r="Y212" s="468"/>
      <c r="Z212" s="469"/>
      <c r="AA212" s="467"/>
      <c r="AB212" s="468"/>
      <c r="AC212" s="468"/>
      <c r="AD212" s="468"/>
      <c r="AE212" s="491"/>
      <c r="AF212" s="522"/>
      <c r="AG212" s="468"/>
      <c r="AH212" s="468"/>
      <c r="AI212" s="468"/>
      <c r="AJ212" s="469"/>
      <c r="AK212" s="467"/>
      <c r="AL212" s="468"/>
      <c r="AM212" s="468"/>
      <c r="AN212" s="468"/>
      <c r="AO212" s="469"/>
      <c r="AP212" s="467"/>
      <c r="AQ212" s="468"/>
      <c r="AR212" s="468"/>
      <c r="AS212" s="468"/>
      <c r="AT212" s="469"/>
    </row>
    <row r="213" spans="2:46" ht="12.75" customHeight="1">
      <c r="B213" s="587"/>
      <c r="C213" s="588"/>
      <c r="D213" s="588"/>
      <c r="E213" s="588"/>
      <c r="F213" s="589"/>
      <c r="G213" s="591"/>
      <c r="H213" s="588"/>
      <c r="I213" s="588"/>
      <c r="J213" s="588"/>
      <c r="K213" s="589"/>
      <c r="L213" s="470"/>
      <c r="M213" s="471"/>
      <c r="N213" s="471"/>
      <c r="O213" s="471"/>
      <c r="P213" s="472"/>
      <c r="Q213" s="470"/>
      <c r="R213" s="471"/>
      <c r="S213" s="471"/>
      <c r="T213" s="471"/>
      <c r="U213" s="472"/>
      <c r="V213" s="470"/>
      <c r="W213" s="471"/>
      <c r="X213" s="471"/>
      <c r="Y213" s="471"/>
      <c r="Z213" s="472"/>
      <c r="AA213" s="470"/>
      <c r="AB213" s="471"/>
      <c r="AC213" s="471"/>
      <c r="AD213" s="471"/>
      <c r="AE213" s="485"/>
      <c r="AF213" s="523"/>
      <c r="AG213" s="471"/>
      <c r="AH213" s="471"/>
      <c r="AI213" s="471"/>
      <c r="AJ213" s="472"/>
      <c r="AK213" s="470"/>
      <c r="AL213" s="471"/>
      <c r="AM213" s="471"/>
      <c r="AN213" s="471"/>
      <c r="AO213" s="472"/>
      <c r="AP213" s="470"/>
      <c r="AQ213" s="471"/>
      <c r="AR213" s="471"/>
      <c r="AS213" s="471"/>
      <c r="AT213" s="472"/>
    </row>
    <row r="214" spans="2:46" ht="12.75" customHeight="1">
      <c r="B214" s="587"/>
      <c r="C214" s="588"/>
      <c r="D214" s="588"/>
      <c r="E214" s="588"/>
      <c r="F214" s="589"/>
      <c r="G214" s="591"/>
      <c r="H214" s="588"/>
      <c r="I214" s="588"/>
      <c r="J214" s="588"/>
      <c r="K214" s="589"/>
      <c r="L214" s="470"/>
      <c r="M214" s="471"/>
      <c r="N214" s="471"/>
      <c r="O214" s="471"/>
      <c r="P214" s="472"/>
      <c r="Q214" s="470"/>
      <c r="R214" s="471"/>
      <c r="S214" s="471"/>
      <c r="T214" s="471"/>
      <c r="U214" s="472"/>
      <c r="V214" s="470"/>
      <c r="W214" s="471"/>
      <c r="X214" s="471"/>
      <c r="Y214" s="471"/>
      <c r="Z214" s="472"/>
      <c r="AA214" s="470"/>
      <c r="AB214" s="471"/>
      <c r="AC214" s="471"/>
      <c r="AD214" s="471"/>
      <c r="AE214" s="485"/>
      <c r="AF214" s="523"/>
      <c r="AG214" s="471"/>
      <c r="AH214" s="471"/>
      <c r="AI214" s="471"/>
      <c r="AJ214" s="472"/>
      <c r="AK214" s="470"/>
      <c r="AL214" s="471"/>
      <c r="AM214" s="471"/>
      <c r="AN214" s="471"/>
      <c r="AO214" s="472"/>
      <c r="AP214" s="470"/>
      <c r="AQ214" s="471"/>
      <c r="AR214" s="471"/>
      <c r="AS214" s="471"/>
      <c r="AT214" s="472"/>
    </row>
    <row r="215" spans="2:46" ht="12.75" customHeight="1">
      <c r="B215" s="587"/>
      <c r="C215" s="588"/>
      <c r="D215" s="588"/>
      <c r="E215" s="588"/>
      <c r="F215" s="589"/>
      <c r="G215" s="591"/>
      <c r="H215" s="588"/>
      <c r="I215" s="588"/>
      <c r="J215" s="588"/>
      <c r="K215" s="589"/>
      <c r="L215" s="470"/>
      <c r="M215" s="471"/>
      <c r="N215" s="471"/>
      <c r="O215" s="471"/>
      <c r="P215" s="472"/>
      <c r="Q215" s="470"/>
      <c r="R215" s="471"/>
      <c r="S215" s="471"/>
      <c r="T215" s="471"/>
      <c r="U215" s="472"/>
      <c r="V215" s="470"/>
      <c r="W215" s="471"/>
      <c r="X215" s="471"/>
      <c r="Y215" s="471"/>
      <c r="Z215" s="472"/>
      <c r="AA215" s="470"/>
      <c r="AB215" s="471"/>
      <c r="AC215" s="471"/>
      <c r="AD215" s="471"/>
      <c r="AE215" s="485"/>
      <c r="AF215" s="523"/>
      <c r="AG215" s="471"/>
      <c r="AH215" s="471"/>
      <c r="AI215" s="471"/>
      <c r="AJ215" s="472"/>
      <c r="AK215" s="470"/>
      <c r="AL215" s="471"/>
      <c r="AM215" s="471"/>
      <c r="AN215" s="471"/>
      <c r="AO215" s="472"/>
      <c r="AP215" s="470"/>
      <c r="AQ215" s="471"/>
      <c r="AR215" s="471"/>
      <c r="AS215" s="471"/>
      <c r="AT215" s="472"/>
    </row>
    <row r="216" spans="2:46" ht="12.75" customHeight="1" thickBot="1">
      <c r="B216" s="113"/>
      <c r="C216" s="102"/>
      <c r="D216" s="102"/>
      <c r="E216" s="610" t="s">
        <v>448</v>
      </c>
      <c r="F216" s="611"/>
      <c r="G216" s="101"/>
      <c r="H216" s="102"/>
      <c r="I216" s="102"/>
      <c r="J216" s="610" t="s">
        <v>1895</v>
      </c>
      <c r="K216" s="611"/>
      <c r="L216" s="104"/>
      <c r="M216" s="103"/>
      <c r="N216" s="103"/>
      <c r="O216" s="496"/>
      <c r="P216" s="517"/>
      <c r="Q216" s="104"/>
      <c r="R216" s="103"/>
      <c r="S216" s="103"/>
      <c r="T216" s="496"/>
      <c r="U216" s="517"/>
      <c r="V216" s="104"/>
      <c r="W216" s="103"/>
      <c r="X216" s="103"/>
      <c r="Y216" s="496"/>
      <c r="Z216" s="517"/>
      <c r="AA216" s="104"/>
      <c r="AB216" s="103"/>
      <c r="AC216" s="103"/>
      <c r="AD216" s="496"/>
      <c r="AE216" s="497"/>
      <c r="AF216" s="70"/>
      <c r="AG216" s="70"/>
      <c r="AH216" s="70"/>
      <c r="AI216" s="489"/>
      <c r="AJ216" s="490"/>
      <c r="AK216" s="69"/>
      <c r="AL216" s="70"/>
      <c r="AM216" s="70"/>
      <c r="AN216" s="489"/>
      <c r="AO216" s="490"/>
      <c r="AP216" s="69"/>
      <c r="AQ216" s="70"/>
      <c r="AR216" s="70"/>
      <c r="AS216" s="489"/>
      <c r="AT216" s="490"/>
    </row>
  </sheetData>
  <dataConsolidate/>
  <mergeCells count="691">
    <mergeCell ref="E216:F216"/>
    <mergeCell ref="J216:K216"/>
    <mergeCell ref="O216:P216"/>
    <mergeCell ref="T216:U216"/>
    <mergeCell ref="Y216:Z216"/>
    <mergeCell ref="AA212:AE215"/>
    <mergeCell ref="AD216:AE216"/>
    <mergeCell ref="B212:F215"/>
    <mergeCell ref="G212:K215"/>
    <mergeCell ref="L212:P215"/>
    <mergeCell ref="Q212:U215"/>
    <mergeCell ref="V212:Z215"/>
    <mergeCell ref="AN216:AO216"/>
    <mergeCell ref="AS216:AT216"/>
    <mergeCell ref="AF212:AJ215"/>
    <mergeCell ref="AK212:AO215"/>
    <mergeCell ref="AP212:AT215"/>
    <mergeCell ref="AI211:AJ211"/>
    <mergeCell ref="AN211:AO211"/>
    <mergeCell ref="AS211:AT211"/>
    <mergeCell ref="AI216:AJ216"/>
    <mergeCell ref="AS206:AT206"/>
    <mergeCell ref="B207:F210"/>
    <mergeCell ref="G207:K210"/>
    <mergeCell ref="L207:P210"/>
    <mergeCell ref="Q207:U210"/>
    <mergeCell ref="V207:Z210"/>
    <mergeCell ref="AA207:AE210"/>
    <mergeCell ref="AF207:AJ210"/>
    <mergeCell ref="AK207:AO210"/>
    <mergeCell ref="AP207:AT210"/>
    <mergeCell ref="E206:F206"/>
    <mergeCell ref="J206:K206"/>
    <mergeCell ref="O206:P206"/>
    <mergeCell ref="T206:U206"/>
    <mergeCell ref="Y206:Z206"/>
    <mergeCell ref="AD206:AE206"/>
    <mergeCell ref="AI206:AJ206"/>
    <mergeCell ref="AN206:AO206"/>
    <mergeCell ref="E211:F211"/>
    <mergeCell ref="J211:K211"/>
    <mergeCell ref="O211:P211"/>
    <mergeCell ref="T211:U211"/>
    <mergeCell ref="Y211:Z211"/>
    <mergeCell ref="AD211:AE211"/>
    <mergeCell ref="AI201:AJ201"/>
    <mergeCell ref="AN201:AO201"/>
    <mergeCell ref="AS201:AT201"/>
    <mergeCell ref="B202:F205"/>
    <mergeCell ref="G202:K205"/>
    <mergeCell ref="L202:P205"/>
    <mergeCell ref="Q202:U205"/>
    <mergeCell ref="V202:Z205"/>
    <mergeCell ref="AA202:AE205"/>
    <mergeCell ref="AF202:AJ205"/>
    <mergeCell ref="E201:F201"/>
    <mergeCell ref="J201:K201"/>
    <mergeCell ref="O201:P201"/>
    <mergeCell ref="T201:U201"/>
    <mergeCell ref="Y201:Z201"/>
    <mergeCell ref="AD201:AE201"/>
    <mergeCell ref="AK202:AO205"/>
    <mergeCell ref="AP202:AT205"/>
    <mergeCell ref="B197:F200"/>
    <mergeCell ref="G197:K200"/>
    <mergeCell ref="L197:P200"/>
    <mergeCell ref="Q197:U200"/>
    <mergeCell ref="V197:Z200"/>
    <mergeCell ref="AA197:AE200"/>
    <mergeCell ref="AF197:AJ200"/>
    <mergeCell ref="AK197:AO200"/>
    <mergeCell ref="AP197:AT200"/>
    <mergeCell ref="E196:F196"/>
    <mergeCell ref="J196:K196"/>
    <mergeCell ref="O196:P196"/>
    <mergeCell ref="T196:U196"/>
    <mergeCell ref="Y196:Z196"/>
    <mergeCell ref="AD196:AE196"/>
    <mergeCell ref="AI196:AJ196"/>
    <mergeCell ref="AN196:AO196"/>
    <mergeCell ref="AS196:AT196"/>
    <mergeCell ref="B192:F195"/>
    <mergeCell ref="G192:K195"/>
    <mergeCell ref="L192:P195"/>
    <mergeCell ref="Q192:U195"/>
    <mergeCell ref="V192:Z195"/>
    <mergeCell ref="AA192:AE195"/>
    <mergeCell ref="AF192:AJ195"/>
    <mergeCell ref="AK192:AO195"/>
    <mergeCell ref="AP192:AT195"/>
    <mergeCell ref="AF187:AJ190"/>
    <mergeCell ref="AK187:AO190"/>
    <mergeCell ref="B182:F185"/>
    <mergeCell ref="AP187:AT190"/>
    <mergeCell ref="E191:F191"/>
    <mergeCell ref="J191:K191"/>
    <mergeCell ref="O191:P191"/>
    <mergeCell ref="T191:U191"/>
    <mergeCell ref="Y191:Z191"/>
    <mergeCell ref="AD191:AE191"/>
    <mergeCell ref="B187:F190"/>
    <mergeCell ref="G187:K190"/>
    <mergeCell ref="L187:P190"/>
    <mergeCell ref="Q187:U190"/>
    <mergeCell ref="V187:Z190"/>
    <mergeCell ref="AA187:AE190"/>
    <mergeCell ref="G182:K185"/>
    <mergeCell ref="L182:P185"/>
    <mergeCell ref="Q182:U185"/>
    <mergeCell ref="V182:Z185"/>
    <mergeCell ref="AA182:AE185"/>
    <mergeCell ref="AI191:AJ191"/>
    <mergeCell ref="AN191:AO191"/>
    <mergeCell ref="AS191:AT191"/>
    <mergeCell ref="AI180:AJ180"/>
    <mergeCell ref="AN180:AO180"/>
    <mergeCell ref="AS180:AT180"/>
    <mergeCell ref="AG183:AN184"/>
    <mergeCell ref="E180:F180"/>
    <mergeCell ref="J180:K180"/>
    <mergeCell ref="O180:P180"/>
    <mergeCell ref="T180:U180"/>
    <mergeCell ref="Y180:Z180"/>
    <mergeCell ref="AD180:AE180"/>
    <mergeCell ref="B176:F179"/>
    <mergeCell ref="G176:K179"/>
    <mergeCell ref="L176:P179"/>
    <mergeCell ref="Q176:U179"/>
    <mergeCell ref="V176:Z179"/>
    <mergeCell ref="AA176:AE179"/>
    <mergeCell ref="AF176:AJ179"/>
    <mergeCell ref="AK176:AO179"/>
    <mergeCell ref="AP176:AT179"/>
    <mergeCell ref="AF171:AJ174"/>
    <mergeCell ref="AK171:AO174"/>
    <mergeCell ref="AP171:AT174"/>
    <mergeCell ref="E175:F175"/>
    <mergeCell ref="J175:K175"/>
    <mergeCell ref="O175:P175"/>
    <mergeCell ref="T175:U175"/>
    <mergeCell ref="Y175:Z175"/>
    <mergeCell ref="AD175:AE175"/>
    <mergeCell ref="AI175:AJ175"/>
    <mergeCell ref="B171:F174"/>
    <mergeCell ref="G171:K174"/>
    <mergeCell ref="L171:P174"/>
    <mergeCell ref="Q171:U174"/>
    <mergeCell ref="V171:Z174"/>
    <mergeCell ref="AA171:AE174"/>
    <mergeCell ref="AN175:AO175"/>
    <mergeCell ref="AS175:AT175"/>
    <mergeCell ref="E170:F170"/>
    <mergeCell ref="J170:K170"/>
    <mergeCell ref="O170:P170"/>
    <mergeCell ref="T170:U170"/>
    <mergeCell ref="Y170:Z170"/>
    <mergeCell ref="AD170:AE170"/>
    <mergeCell ref="AI170:AJ170"/>
    <mergeCell ref="AN170:AO170"/>
    <mergeCell ref="AS170:AT170"/>
    <mergeCell ref="B166:F169"/>
    <mergeCell ref="G166:K169"/>
    <mergeCell ref="L166:P169"/>
    <mergeCell ref="Q166:U169"/>
    <mergeCell ref="V166:Z169"/>
    <mergeCell ref="AA166:AE169"/>
    <mergeCell ref="AF166:AJ169"/>
    <mergeCell ref="AK166:AO169"/>
    <mergeCell ref="AP166:AT169"/>
    <mergeCell ref="AF161:AJ164"/>
    <mergeCell ref="AK161:AO164"/>
    <mergeCell ref="AP161:AT164"/>
    <mergeCell ref="E165:F165"/>
    <mergeCell ref="J165:K165"/>
    <mergeCell ref="O165:P165"/>
    <mergeCell ref="T165:U165"/>
    <mergeCell ref="Y165:Z165"/>
    <mergeCell ref="AD165:AE165"/>
    <mergeCell ref="AI165:AJ165"/>
    <mergeCell ref="B161:F164"/>
    <mergeCell ref="G161:K164"/>
    <mergeCell ref="L161:P164"/>
    <mergeCell ref="Q161:U164"/>
    <mergeCell ref="V161:Z164"/>
    <mergeCell ref="AA161:AE164"/>
    <mergeCell ref="AN165:AO165"/>
    <mergeCell ref="AS165:AT165"/>
    <mergeCell ref="E160:F160"/>
    <mergeCell ref="J160:K160"/>
    <mergeCell ref="O160:P160"/>
    <mergeCell ref="T160:U160"/>
    <mergeCell ref="Y160:Z160"/>
    <mergeCell ref="AD160:AE160"/>
    <mergeCell ref="AI160:AJ160"/>
    <mergeCell ref="AN160:AO160"/>
    <mergeCell ref="AS160:AT160"/>
    <mergeCell ref="B156:F159"/>
    <mergeCell ref="G156:K159"/>
    <mergeCell ref="L156:P159"/>
    <mergeCell ref="Q156:U159"/>
    <mergeCell ref="V156:Z159"/>
    <mergeCell ref="AA156:AE159"/>
    <mergeCell ref="AF156:AJ159"/>
    <mergeCell ref="AK156:AO159"/>
    <mergeCell ref="AP156:AT159"/>
    <mergeCell ref="AF151:AJ154"/>
    <mergeCell ref="AK151:AO154"/>
    <mergeCell ref="AP151:AT154"/>
    <mergeCell ref="E155:F155"/>
    <mergeCell ref="J155:K155"/>
    <mergeCell ref="O155:P155"/>
    <mergeCell ref="T155:U155"/>
    <mergeCell ref="Y155:Z155"/>
    <mergeCell ref="AD155:AE155"/>
    <mergeCell ref="AI155:AJ155"/>
    <mergeCell ref="B151:F154"/>
    <mergeCell ref="G151:K154"/>
    <mergeCell ref="L151:P154"/>
    <mergeCell ref="Q151:U154"/>
    <mergeCell ref="V151:Z154"/>
    <mergeCell ref="AA151:AE154"/>
    <mergeCell ref="AN155:AO155"/>
    <mergeCell ref="AS155:AT155"/>
    <mergeCell ref="AS144:AT144"/>
    <mergeCell ref="B146:F149"/>
    <mergeCell ref="G146:K149"/>
    <mergeCell ref="L146:P149"/>
    <mergeCell ref="Q146:U149"/>
    <mergeCell ref="V146:Z149"/>
    <mergeCell ref="AA146:AE149"/>
    <mergeCell ref="AG147:AN148"/>
    <mergeCell ref="AK140:AO143"/>
    <mergeCell ref="AP140:AT143"/>
    <mergeCell ref="E144:F144"/>
    <mergeCell ref="J144:K144"/>
    <mergeCell ref="O144:P144"/>
    <mergeCell ref="T144:U144"/>
    <mergeCell ref="Y144:Z144"/>
    <mergeCell ref="AD144:AE144"/>
    <mergeCell ref="AI144:AJ144"/>
    <mergeCell ref="AN144:AO144"/>
    <mergeCell ref="AI139:AJ139"/>
    <mergeCell ref="AN139:AO139"/>
    <mergeCell ref="AS139:AT139"/>
    <mergeCell ref="B140:F143"/>
    <mergeCell ref="G140:K143"/>
    <mergeCell ref="L140:P143"/>
    <mergeCell ref="Q140:U143"/>
    <mergeCell ref="V140:Z143"/>
    <mergeCell ref="AA140:AE143"/>
    <mergeCell ref="AF140:AJ143"/>
    <mergeCell ref="E139:F139"/>
    <mergeCell ref="J139:K139"/>
    <mergeCell ref="O139:P139"/>
    <mergeCell ref="T139:U139"/>
    <mergeCell ref="Y139:Z139"/>
    <mergeCell ref="AD139:AE139"/>
    <mergeCell ref="B135:F138"/>
    <mergeCell ref="G135:K138"/>
    <mergeCell ref="L135:P138"/>
    <mergeCell ref="Q135:U138"/>
    <mergeCell ref="V135:Z138"/>
    <mergeCell ref="AA135:AE138"/>
    <mergeCell ref="AF135:AJ138"/>
    <mergeCell ref="AK135:AO138"/>
    <mergeCell ref="AP135:AT138"/>
    <mergeCell ref="E134:F134"/>
    <mergeCell ref="J134:K134"/>
    <mergeCell ref="O134:P134"/>
    <mergeCell ref="T134:U134"/>
    <mergeCell ref="Y134:Z134"/>
    <mergeCell ref="AD134:AE134"/>
    <mergeCell ref="AI134:AJ134"/>
    <mergeCell ref="AN134:AO134"/>
    <mergeCell ref="AS134:AT134"/>
    <mergeCell ref="AI129:AJ129"/>
    <mergeCell ref="AN129:AO129"/>
    <mergeCell ref="AS129:AT129"/>
    <mergeCell ref="B130:F133"/>
    <mergeCell ref="G130:K133"/>
    <mergeCell ref="L130:P133"/>
    <mergeCell ref="Q130:U133"/>
    <mergeCell ref="V130:Z133"/>
    <mergeCell ref="AA130:AE133"/>
    <mergeCell ref="AF130:AJ133"/>
    <mergeCell ref="E129:F129"/>
    <mergeCell ref="J129:K129"/>
    <mergeCell ref="O129:P129"/>
    <mergeCell ref="T129:U129"/>
    <mergeCell ref="Y129:Z129"/>
    <mergeCell ref="AD129:AE129"/>
    <mergeCell ref="AK130:AO133"/>
    <mergeCell ref="AP130:AT133"/>
    <mergeCell ref="B125:F128"/>
    <mergeCell ref="G125:K128"/>
    <mergeCell ref="L125:P128"/>
    <mergeCell ref="Q125:U128"/>
    <mergeCell ref="V125:Z128"/>
    <mergeCell ref="AA125:AE128"/>
    <mergeCell ref="AF125:AJ128"/>
    <mergeCell ref="AK125:AO128"/>
    <mergeCell ref="AP125:AT128"/>
    <mergeCell ref="E124:F124"/>
    <mergeCell ref="J124:K124"/>
    <mergeCell ref="O124:P124"/>
    <mergeCell ref="T124:U124"/>
    <mergeCell ref="Y124:Z124"/>
    <mergeCell ref="AD124:AE124"/>
    <mergeCell ref="AI124:AJ124"/>
    <mergeCell ref="AN124:AO124"/>
    <mergeCell ref="AS124:AT124"/>
    <mergeCell ref="B120:F123"/>
    <mergeCell ref="G120:K123"/>
    <mergeCell ref="L120:P123"/>
    <mergeCell ref="Q120:U123"/>
    <mergeCell ref="V120:Z123"/>
    <mergeCell ref="AA120:AE123"/>
    <mergeCell ref="AF120:AJ123"/>
    <mergeCell ref="AK120:AO123"/>
    <mergeCell ref="AP120:AT123"/>
    <mergeCell ref="AF115:AJ118"/>
    <mergeCell ref="AK115:AO118"/>
    <mergeCell ref="B110:F113"/>
    <mergeCell ref="AP115:AT118"/>
    <mergeCell ref="E119:F119"/>
    <mergeCell ref="J119:K119"/>
    <mergeCell ref="O119:P119"/>
    <mergeCell ref="T119:U119"/>
    <mergeCell ref="Y119:Z119"/>
    <mergeCell ref="AD119:AE119"/>
    <mergeCell ref="B115:F118"/>
    <mergeCell ref="G115:K118"/>
    <mergeCell ref="L115:P118"/>
    <mergeCell ref="Q115:U118"/>
    <mergeCell ref="V115:Z118"/>
    <mergeCell ref="AA115:AE118"/>
    <mergeCell ref="G110:K113"/>
    <mergeCell ref="L110:P113"/>
    <mergeCell ref="Q110:U113"/>
    <mergeCell ref="V110:Z113"/>
    <mergeCell ref="AA110:AE113"/>
    <mergeCell ref="AI119:AJ119"/>
    <mergeCell ref="AN119:AO119"/>
    <mergeCell ref="AS119:AT119"/>
    <mergeCell ref="AI108:AJ108"/>
    <mergeCell ref="AN108:AO108"/>
    <mergeCell ref="AS108:AT108"/>
    <mergeCell ref="AG111:AN112"/>
    <mergeCell ref="E108:F108"/>
    <mergeCell ref="J108:K108"/>
    <mergeCell ref="O108:P108"/>
    <mergeCell ref="T108:U108"/>
    <mergeCell ref="Y108:Z108"/>
    <mergeCell ref="AD108:AE108"/>
    <mergeCell ref="B104:F107"/>
    <mergeCell ref="G104:K107"/>
    <mergeCell ref="L104:P107"/>
    <mergeCell ref="Q104:U107"/>
    <mergeCell ref="V104:Z107"/>
    <mergeCell ref="AA104:AE107"/>
    <mergeCell ref="AF104:AJ107"/>
    <mergeCell ref="AK104:AO107"/>
    <mergeCell ref="AP104:AT107"/>
    <mergeCell ref="AF99:AJ102"/>
    <mergeCell ref="AK99:AO102"/>
    <mergeCell ref="AP99:AT102"/>
    <mergeCell ref="E103:F103"/>
    <mergeCell ref="J103:K103"/>
    <mergeCell ref="O103:P103"/>
    <mergeCell ref="T103:U103"/>
    <mergeCell ref="Y103:Z103"/>
    <mergeCell ref="AD103:AE103"/>
    <mergeCell ref="AI103:AJ103"/>
    <mergeCell ref="B99:F102"/>
    <mergeCell ref="G99:K102"/>
    <mergeCell ref="L99:P102"/>
    <mergeCell ref="Q99:U102"/>
    <mergeCell ref="V99:Z102"/>
    <mergeCell ref="AA99:AE102"/>
    <mergeCell ref="AN103:AO103"/>
    <mergeCell ref="AS103:AT103"/>
    <mergeCell ref="E98:F98"/>
    <mergeCell ref="J98:K98"/>
    <mergeCell ref="O98:P98"/>
    <mergeCell ref="T98:U98"/>
    <mergeCell ref="Y98:Z98"/>
    <mergeCell ref="AD98:AE98"/>
    <mergeCell ref="AI98:AJ98"/>
    <mergeCell ref="AN98:AO98"/>
    <mergeCell ref="AS98:AT98"/>
    <mergeCell ref="B94:F97"/>
    <mergeCell ref="G94:K97"/>
    <mergeCell ref="L94:P97"/>
    <mergeCell ref="Q94:U97"/>
    <mergeCell ref="V94:Z97"/>
    <mergeCell ref="AA94:AE97"/>
    <mergeCell ref="AF94:AJ97"/>
    <mergeCell ref="AK94:AO97"/>
    <mergeCell ref="AP94:AT97"/>
    <mergeCell ref="AF89:AJ92"/>
    <mergeCell ref="AK89:AO92"/>
    <mergeCell ref="AP89:AT92"/>
    <mergeCell ref="E93:F93"/>
    <mergeCell ref="J93:K93"/>
    <mergeCell ref="O93:P93"/>
    <mergeCell ref="T93:U93"/>
    <mergeCell ref="Y93:Z93"/>
    <mergeCell ref="AD93:AE93"/>
    <mergeCell ref="AI93:AJ93"/>
    <mergeCell ref="B89:F92"/>
    <mergeCell ref="G89:K92"/>
    <mergeCell ref="L89:P92"/>
    <mergeCell ref="Q89:U92"/>
    <mergeCell ref="V89:Z92"/>
    <mergeCell ref="AA89:AE92"/>
    <mergeCell ref="AN93:AO93"/>
    <mergeCell ref="AS93:AT93"/>
    <mergeCell ref="E88:F88"/>
    <mergeCell ref="J88:K88"/>
    <mergeCell ref="O88:P88"/>
    <mergeCell ref="T88:U88"/>
    <mergeCell ref="Y88:Z88"/>
    <mergeCell ref="AD88:AE88"/>
    <mergeCell ref="AI88:AJ88"/>
    <mergeCell ref="AN88:AO88"/>
    <mergeCell ref="AS88:AT88"/>
    <mergeCell ref="B84:F87"/>
    <mergeCell ref="G84:K87"/>
    <mergeCell ref="L84:P87"/>
    <mergeCell ref="Q84:U87"/>
    <mergeCell ref="V84:Z87"/>
    <mergeCell ref="AA84:AE87"/>
    <mergeCell ref="AF84:AJ87"/>
    <mergeCell ref="AK84:AO87"/>
    <mergeCell ref="AP84:AT87"/>
    <mergeCell ref="AF79:AJ82"/>
    <mergeCell ref="AK79:AO82"/>
    <mergeCell ref="AP79:AT82"/>
    <mergeCell ref="E83:F83"/>
    <mergeCell ref="J83:K83"/>
    <mergeCell ref="O83:P83"/>
    <mergeCell ref="T83:U83"/>
    <mergeCell ref="Y83:Z83"/>
    <mergeCell ref="AD83:AE83"/>
    <mergeCell ref="AI83:AJ83"/>
    <mergeCell ref="B79:F82"/>
    <mergeCell ref="G79:K82"/>
    <mergeCell ref="L79:P82"/>
    <mergeCell ref="Q79:U82"/>
    <mergeCell ref="V79:Z82"/>
    <mergeCell ref="AA79:AE82"/>
    <mergeCell ref="AN83:AO83"/>
    <mergeCell ref="AS83:AT83"/>
    <mergeCell ref="AS72:AT72"/>
    <mergeCell ref="B74:F77"/>
    <mergeCell ref="G74:K77"/>
    <mergeCell ref="L74:P77"/>
    <mergeCell ref="Q74:U77"/>
    <mergeCell ref="V74:Z77"/>
    <mergeCell ref="AA74:AE77"/>
    <mergeCell ref="AG75:AN76"/>
    <mergeCell ref="AK68:AO71"/>
    <mergeCell ref="AP68:AT71"/>
    <mergeCell ref="E72:F72"/>
    <mergeCell ref="J72:K72"/>
    <mergeCell ref="O72:P72"/>
    <mergeCell ref="T72:U72"/>
    <mergeCell ref="Y72:Z72"/>
    <mergeCell ref="AD72:AE72"/>
    <mergeCell ref="AI72:AJ72"/>
    <mergeCell ref="AN72:AO72"/>
    <mergeCell ref="AI67:AJ67"/>
    <mergeCell ref="AN67:AO67"/>
    <mergeCell ref="AS67:AT67"/>
    <mergeCell ref="B68:F71"/>
    <mergeCell ref="G68:K71"/>
    <mergeCell ref="L68:P71"/>
    <mergeCell ref="Q68:U71"/>
    <mergeCell ref="V68:Z71"/>
    <mergeCell ref="AA68:AE71"/>
    <mergeCell ref="AF68:AJ71"/>
    <mergeCell ref="E67:F67"/>
    <mergeCell ref="J67:K67"/>
    <mergeCell ref="O67:P67"/>
    <mergeCell ref="T67:U67"/>
    <mergeCell ref="Y67:Z67"/>
    <mergeCell ref="AD67:AE67"/>
    <mergeCell ref="B63:F66"/>
    <mergeCell ref="G63:K66"/>
    <mergeCell ref="L63:P66"/>
    <mergeCell ref="Q63:U66"/>
    <mergeCell ref="V63:Z66"/>
    <mergeCell ref="AA63:AE66"/>
    <mergeCell ref="AF63:AJ66"/>
    <mergeCell ref="AK63:AO66"/>
    <mergeCell ref="AP63:AT66"/>
    <mergeCell ref="E62:F62"/>
    <mergeCell ref="J62:K62"/>
    <mergeCell ref="O62:P62"/>
    <mergeCell ref="T62:U62"/>
    <mergeCell ref="Y62:Z62"/>
    <mergeCell ref="AD62:AE62"/>
    <mergeCell ref="AI62:AJ62"/>
    <mergeCell ref="AN62:AO62"/>
    <mergeCell ref="AS62:AT62"/>
    <mergeCell ref="AI57:AJ57"/>
    <mergeCell ref="AN57:AO57"/>
    <mergeCell ref="AS57:AT57"/>
    <mergeCell ref="B58:F61"/>
    <mergeCell ref="G58:K61"/>
    <mergeCell ref="L58:P61"/>
    <mergeCell ref="Q58:U61"/>
    <mergeCell ref="V58:Z61"/>
    <mergeCell ref="AA58:AE61"/>
    <mergeCell ref="AF58:AJ61"/>
    <mergeCell ref="E57:F57"/>
    <mergeCell ref="J57:K57"/>
    <mergeCell ref="O57:P57"/>
    <mergeCell ref="T57:U57"/>
    <mergeCell ref="Y57:Z57"/>
    <mergeCell ref="AD57:AE57"/>
    <mergeCell ref="AK58:AO61"/>
    <mergeCell ref="AP58:AT61"/>
    <mergeCell ref="B53:F56"/>
    <mergeCell ref="G53:K56"/>
    <mergeCell ref="L53:P56"/>
    <mergeCell ref="Q53:U56"/>
    <mergeCell ref="V53:Z56"/>
    <mergeCell ref="AA53:AE56"/>
    <mergeCell ref="AF53:AJ56"/>
    <mergeCell ref="AK53:AO56"/>
    <mergeCell ref="AP53:AT56"/>
    <mergeCell ref="E52:F52"/>
    <mergeCell ref="J52:K52"/>
    <mergeCell ref="O52:P52"/>
    <mergeCell ref="T52:U52"/>
    <mergeCell ref="Y52:Z52"/>
    <mergeCell ref="AD52:AE52"/>
    <mergeCell ref="AI52:AJ52"/>
    <mergeCell ref="AN52:AO52"/>
    <mergeCell ref="AS52:AT52"/>
    <mergeCell ref="B48:F51"/>
    <mergeCell ref="G48:K51"/>
    <mergeCell ref="L48:P51"/>
    <mergeCell ref="Q48:U51"/>
    <mergeCell ref="V48:Z51"/>
    <mergeCell ref="AA48:AE51"/>
    <mergeCell ref="AF48:AJ51"/>
    <mergeCell ref="AK48:AO51"/>
    <mergeCell ref="AP48:AT51"/>
    <mergeCell ref="AF43:AJ46"/>
    <mergeCell ref="AK43:AO46"/>
    <mergeCell ref="B38:F41"/>
    <mergeCell ref="AP43:AT46"/>
    <mergeCell ref="E47:F47"/>
    <mergeCell ref="J47:K47"/>
    <mergeCell ref="O47:P47"/>
    <mergeCell ref="T47:U47"/>
    <mergeCell ref="Y47:Z47"/>
    <mergeCell ref="AD47:AE47"/>
    <mergeCell ref="B43:F46"/>
    <mergeCell ref="G43:K46"/>
    <mergeCell ref="L43:P46"/>
    <mergeCell ref="Q43:U46"/>
    <mergeCell ref="V43:Z46"/>
    <mergeCell ref="AA43:AE46"/>
    <mergeCell ref="AI47:AJ47"/>
    <mergeCell ref="AN47:AO47"/>
    <mergeCell ref="AS47:AT47"/>
    <mergeCell ref="AS11:AT11"/>
    <mergeCell ref="AP12:AT15"/>
    <mergeCell ref="AS16:AT16"/>
    <mergeCell ref="AP17:AT20"/>
    <mergeCell ref="AS21:AT21"/>
    <mergeCell ref="G38:K41"/>
    <mergeCell ref="L38:P41"/>
    <mergeCell ref="Q38:U41"/>
    <mergeCell ref="V38:Z41"/>
    <mergeCell ref="AA38:AE41"/>
    <mergeCell ref="AP22:AT25"/>
    <mergeCell ref="AN26:AO26"/>
    <mergeCell ref="AN36:AO36"/>
    <mergeCell ref="AS26:AT26"/>
    <mergeCell ref="AP27:AT30"/>
    <mergeCell ref="AS31:AT31"/>
    <mergeCell ref="AP32:AT35"/>
    <mergeCell ref="AS36:AT36"/>
    <mergeCell ref="AG39:AN40"/>
    <mergeCell ref="AN31:AO31"/>
    <mergeCell ref="AF32:AJ35"/>
    <mergeCell ref="AK32:AO35"/>
    <mergeCell ref="L27:P30"/>
    <mergeCell ref="AI31:AJ31"/>
    <mergeCell ref="E36:F36"/>
    <mergeCell ref="J36:K36"/>
    <mergeCell ref="O36:P36"/>
    <mergeCell ref="T36:U36"/>
    <mergeCell ref="Y36:Z36"/>
    <mergeCell ref="Y26:Z26"/>
    <mergeCell ref="E26:F26"/>
    <mergeCell ref="Q27:U30"/>
    <mergeCell ref="V27:Z30"/>
    <mergeCell ref="B32:F35"/>
    <mergeCell ref="L32:P35"/>
    <mergeCell ref="Q32:U35"/>
    <mergeCell ref="V32:Z35"/>
    <mergeCell ref="J26:K26"/>
    <mergeCell ref="T26:U26"/>
    <mergeCell ref="E31:F31"/>
    <mergeCell ref="J31:K31"/>
    <mergeCell ref="O31:P31"/>
    <mergeCell ref="T31:U31"/>
    <mergeCell ref="Y31:Z31"/>
    <mergeCell ref="O26:P26"/>
    <mergeCell ref="AD36:AE36"/>
    <mergeCell ref="AI36:AJ36"/>
    <mergeCell ref="AA32:AE35"/>
    <mergeCell ref="AD31:AE31"/>
    <mergeCell ref="G32:K35"/>
    <mergeCell ref="B2:F5"/>
    <mergeCell ref="G2:K5"/>
    <mergeCell ref="L2:P5"/>
    <mergeCell ref="Q2:U5"/>
    <mergeCell ref="B27:F30"/>
    <mergeCell ref="G27:K30"/>
    <mergeCell ref="V2:Z5"/>
    <mergeCell ref="AI16:AJ16"/>
    <mergeCell ref="G22:K25"/>
    <mergeCell ref="L22:P25"/>
    <mergeCell ref="Q22:U25"/>
    <mergeCell ref="AF12:AJ15"/>
    <mergeCell ref="Y11:Z11"/>
    <mergeCell ref="AD11:AE11"/>
    <mergeCell ref="B12:F15"/>
    <mergeCell ref="E21:F21"/>
    <mergeCell ref="J21:K21"/>
    <mergeCell ref="O21:P21"/>
    <mergeCell ref="E16:F16"/>
    <mergeCell ref="AN16:AO16"/>
    <mergeCell ref="AF27:AJ30"/>
    <mergeCell ref="AK27:AO30"/>
    <mergeCell ref="AI26:AJ26"/>
    <mergeCell ref="AK17:AO20"/>
    <mergeCell ref="AI21:AJ21"/>
    <mergeCell ref="AN21:AO21"/>
    <mergeCell ref="AK22:AO25"/>
    <mergeCell ref="AD16:AE16"/>
    <mergeCell ref="AA22:AE25"/>
    <mergeCell ref="AA27:AE30"/>
    <mergeCell ref="AD26:AE26"/>
    <mergeCell ref="J16:K16"/>
    <mergeCell ref="O16:P16"/>
    <mergeCell ref="T16:U16"/>
    <mergeCell ref="Y16:Z16"/>
    <mergeCell ref="B22:F25"/>
    <mergeCell ref="AA17:AE20"/>
    <mergeCell ref="AF17:AJ20"/>
    <mergeCell ref="T21:U21"/>
    <mergeCell ref="Y21:Z21"/>
    <mergeCell ref="AD21:AE21"/>
    <mergeCell ref="AF22:AJ25"/>
    <mergeCell ref="V22:Z25"/>
    <mergeCell ref="B17:F20"/>
    <mergeCell ref="G17:K20"/>
    <mergeCell ref="L17:P20"/>
    <mergeCell ref="Q17:U20"/>
    <mergeCell ref="V17:Z20"/>
    <mergeCell ref="AP2:AT5"/>
    <mergeCell ref="AK12:AO15"/>
    <mergeCell ref="AG3:AN4"/>
    <mergeCell ref="AA2:AE5"/>
    <mergeCell ref="AP7:AT10"/>
    <mergeCell ref="B7:F10"/>
    <mergeCell ref="G7:K10"/>
    <mergeCell ref="L7:P10"/>
    <mergeCell ref="Q7:U10"/>
    <mergeCell ref="AK7:AO10"/>
    <mergeCell ref="V7:Z10"/>
    <mergeCell ref="AA7:AE10"/>
    <mergeCell ref="AF7:AJ10"/>
    <mergeCell ref="G12:K15"/>
    <mergeCell ref="AN11:AO11"/>
    <mergeCell ref="Q12:U15"/>
    <mergeCell ref="L12:P15"/>
    <mergeCell ref="V12:Z15"/>
    <mergeCell ref="AI11:AJ11"/>
    <mergeCell ref="AA12:AE15"/>
    <mergeCell ref="E11:F11"/>
    <mergeCell ref="J11:K11"/>
    <mergeCell ref="O11:P11"/>
    <mergeCell ref="T11:U11"/>
  </mergeCells>
  <pageMargins left="0.23622047244094491" right="0.23622047244094491" top="0.74803149606299213" bottom="0.74803149606299213" header="0.31496062992125984" footer="0.31496062992125984"/>
  <pageSetup paperSize="9" scale="80" fitToHeight="0" orientation="landscape" r:id="rId1"/>
  <headerFooter>
    <oddHeader>&amp;CCaisse - Configuration des boutons</oddHeader>
    <oddFooter>&amp;L&amp;D&amp;C&amp;F&amp;RPage &amp;P de &amp;N</oddFooter>
  </headerFooter>
  <rowBreaks count="6" manualBreakCount="6">
    <brk id="36" max="16383" man="1"/>
    <brk id="72" max="16383" man="1"/>
    <brk id="108" max="16383" man="1"/>
    <brk id="144" max="16383" man="1"/>
    <brk id="180" max="16383" man="1"/>
    <brk id="216" max="16383" man="1"/>
  </rowBreaks>
  <drawing r:id="rId2"/>
  <legacyDrawing r:id="rId3"/>
  <controls>
    <mc:AlternateContent xmlns:mc="http://schemas.openxmlformats.org/markup-compatibility/2006">
      <mc:Choice Requires="x14">
        <control shapeId="69642" r:id="rId4" name="cbCaisseSimulateur">
          <controlPr defaultSize="0" autoLine="0" r:id="rId5">
            <anchor moveWithCells="1">
              <from>
                <xdr:col>47</xdr:col>
                <xdr:colOff>50800</xdr:colOff>
                <xdr:row>8</xdr:row>
                <xdr:rowOff>95250</xdr:rowOff>
              </from>
              <to>
                <xdr:col>48</xdr:col>
                <xdr:colOff>622300</xdr:colOff>
                <xdr:row>11</xdr:row>
                <xdr:rowOff>31750</xdr:rowOff>
              </to>
            </anchor>
          </controlPr>
        </control>
      </mc:Choice>
      <mc:Fallback>
        <control shapeId="69642" r:id="rId4" name="cbCaisseSimulateur"/>
      </mc:Fallback>
    </mc:AlternateContent>
    <mc:AlternateContent xmlns:mc="http://schemas.openxmlformats.org/markup-compatibility/2006">
      <mc:Choice Requires="x14">
        <control shapeId="69636" r:id="rId6" name="Button 4">
          <controlPr defaultSize="0" print="0" autoFill="0" autoPict="0" macro="[0]!btnGenererBoutonsCaisse">
            <anchor moveWithCells="1">
              <from>
                <xdr:col>47</xdr:col>
                <xdr:colOff>31750</xdr:colOff>
                <xdr:row>1</xdr:row>
                <xdr:rowOff>152400</xdr:rowOff>
              </from>
              <to>
                <xdr:col>48</xdr:col>
                <xdr:colOff>698500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9640" r:id="rId7" name="Button 8">
          <controlPr defaultSize="0" print="0" autoFill="0" autoPict="0" macro="[0]!btnExporterPDFCaisse">
            <anchor moveWithCells="1">
              <from>
                <xdr:col>46</xdr:col>
                <xdr:colOff>146050</xdr:colOff>
                <xdr:row>5</xdr:row>
                <xdr:rowOff>38100</xdr:rowOff>
              </from>
              <to>
                <xdr:col>48</xdr:col>
                <xdr:colOff>666750</xdr:colOff>
                <xdr:row>7</xdr:row>
                <xdr:rowOff>50800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/>
  <dimension ref="B1:AY36"/>
  <sheetViews>
    <sheetView zoomScale="70" zoomScaleNormal="70" workbookViewId="0">
      <selection activeCell="B2" sqref="B2:F5"/>
    </sheetView>
  </sheetViews>
  <sheetFormatPr baseColWidth="10" defaultRowHeight="14.5"/>
  <cols>
    <col min="1" max="1" width="1.1796875" customWidth="1"/>
    <col min="2" max="6" width="3.81640625" customWidth="1"/>
    <col min="7" max="31" width="4" customWidth="1"/>
    <col min="32" max="46" width="3.81640625" customWidth="1"/>
    <col min="47" max="47" width="3.1796875" style="18" customWidth="1"/>
    <col min="48" max="51" width="11.453125" style="18" customWidth="1"/>
  </cols>
  <sheetData>
    <row r="1" spans="2:49" ht="4.5" customHeight="1" thickBot="1"/>
    <row r="2" spans="2:49" ht="12.75" customHeight="1">
      <c r="B2" s="498" t="s">
        <v>331</v>
      </c>
      <c r="C2" s="499"/>
      <c r="D2" s="499"/>
      <c r="E2" s="499"/>
      <c r="F2" s="500"/>
      <c r="G2" s="474" t="s">
        <v>275</v>
      </c>
      <c r="H2" s="475"/>
      <c r="I2" s="475"/>
      <c r="J2" s="475"/>
      <c r="K2" s="504"/>
      <c r="L2" s="474" t="s">
        <v>380</v>
      </c>
      <c r="M2" s="475"/>
      <c r="N2" s="475"/>
      <c r="O2" s="475"/>
      <c r="P2" s="504"/>
      <c r="Q2" s="474" t="s">
        <v>276</v>
      </c>
      <c r="R2" s="475"/>
      <c r="S2" s="475"/>
      <c r="T2" s="475"/>
      <c r="U2" s="504"/>
      <c r="V2" s="474" t="s">
        <v>118</v>
      </c>
      <c r="W2" s="475"/>
      <c r="X2" s="475"/>
      <c r="Y2" s="475"/>
      <c r="Z2" s="504"/>
      <c r="AA2" s="474" t="s">
        <v>307</v>
      </c>
      <c r="AB2" s="475"/>
      <c r="AC2" s="475"/>
      <c r="AD2" s="475"/>
      <c r="AE2" s="476"/>
      <c r="AF2" s="192"/>
      <c r="AG2" s="192"/>
      <c r="AH2" s="192"/>
      <c r="AI2" s="192"/>
      <c r="AJ2" s="192"/>
      <c r="AK2" s="192"/>
      <c r="AL2" s="192"/>
      <c r="AM2" s="192"/>
      <c r="AN2" s="192"/>
      <c r="AO2" s="193"/>
      <c r="AP2" s="461"/>
      <c r="AQ2" s="462"/>
      <c r="AR2" s="462"/>
      <c r="AS2" s="462"/>
      <c r="AT2" s="463"/>
    </row>
    <row r="3" spans="2:49" ht="12.75" customHeight="1">
      <c r="B3" s="501"/>
      <c r="C3" s="502"/>
      <c r="D3" s="502"/>
      <c r="E3" s="502"/>
      <c r="F3" s="503"/>
      <c r="G3" s="464"/>
      <c r="H3" s="465"/>
      <c r="I3" s="465"/>
      <c r="J3" s="465"/>
      <c r="K3" s="466"/>
      <c r="L3" s="464"/>
      <c r="M3" s="465"/>
      <c r="N3" s="465"/>
      <c r="O3" s="465"/>
      <c r="P3" s="466"/>
      <c r="Q3" s="464"/>
      <c r="R3" s="465"/>
      <c r="S3" s="465"/>
      <c r="T3" s="465"/>
      <c r="U3" s="466"/>
      <c r="V3" s="464"/>
      <c r="W3" s="465"/>
      <c r="X3" s="465"/>
      <c r="Y3" s="465"/>
      <c r="Z3" s="466"/>
      <c r="AA3" s="464"/>
      <c r="AB3" s="465"/>
      <c r="AC3" s="465"/>
      <c r="AD3" s="465"/>
      <c r="AE3" s="477"/>
      <c r="AF3" s="194"/>
      <c r="AG3" s="473"/>
      <c r="AH3" s="473"/>
      <c r="AI3" s="473"/>
      <c r="AJ3" s="473"/>
      <c r="AK3" s="473"/>
      <c r="AL3" s="473"/>
      <c r="AM3" s="473"/>
      <c r="AN3" s="473"/>
      <c r="AO3" s="195"/>
      <c r="AP3" s="464"/>
      <c r="AQ3" s="465"/>
      <c r="AR3" s="465"/>
      <c r="AS3" s="465"/>
      <c r="AT3" s="466"/>
    </row>
    <row r="4" spans="2:49" ht="12.75" customHeight="1">
      <c r="B4" s="501"/>
      <c r="C4" s="502"/>
      <c r="D4" s="502"/>
      <c r="E4" s="502"/>
      <c r="F4" s="503"/>
      <c r="G4" s="464"/>
      <c r="H4" s="465"/>
      <c r="I4" s="465"/>
      <c r="J4" s="465"/>
      <c r="K4" s="466"/>
      <c r="L4" s="464"/>
      <c r="M4" s="465"/>
      <c r="N4" s="465"/>
      <c r="O4" s="465"/>
      <c r="P4" s="466"/>
      <c r="Q4" s="464"/>
      <c r="R4" s="465"/>
      <c r="S4" s="465"/>
      <c r="T4" s="465"/>
      <c r="U4" s="466"/>
      <c r="V4" s="464"/>
      <c r="W4" s="465"/>
      <c r="X4" s="465"/>
      <c r="Y4" s="465"/>
      <c r="Z4" s="466"/>
      <c r="AA4" s="464"/>
      <c r="AB4" s="465"/>
      <c r="AC4" s="465"/>
      <c r="AD4" s="465"/>
      <c r="AE4" s="477"/>
      <c r="AF4" s="194"/>
      <c r="AG4" s="473"/>
      <c r="AH4" s="473"/>
      <c r="AI4" s="473"/>
      <c r="AJ4" s="473"/>
      <c r="AK4" s="473"/>
      <c r="AL4" s="473"/>
      <c r="AM4" s="473"/>
      <c r="AN4" s="473"/>
      <c r="AO4" s="195"/>
      <c r="AP4" s="464"/>
      <c r="AQ4" s="465"/>
      <c r="AR4" s="465"/>
      <c r="AS4" s="465"/>
      <c r="AT4" s="466"/>
    </row>
    <row r="5" spans="2:49" ht="12.75" customHeight="1">
      <c r="B5" s="501"/>
      <c r="C5" s="502"/>
      <c r="D5" s="502"/>
      <c r="E5" s="502"/>
      <c r="F5" s="503"/>
      <c r="G5" s="464"/>
      <c r="H5" s="465"/>
      <c r="I5" s="465"/>
      <c r="J5" s="465"/>
      <c r="K5" s="466"/>
      <c r="L5" s="464"/>
      <c r="M5" s="465"/>
      <c r="N5" s="465"/>
      <c r="O5" s="465"/>
      <c r="P5" s="466"/>
      <c r="Q5" s="464"/>
      <c r="R5" s="465"/>
      <c r="S5" s="465"/>
      <c r="T5" s="465"/>
      <c r="U5" s="466"/>
      <c r="V5" s="464"/>
      <c r="W5" s="465"/>
      <c r="X5" s="465"/>
      <c r="Y5" s="465"/>
      <c r="Z5" s="466"/>
      <c r="AA5" s="464"/>
      <c r="AB5" s="465"/>
      <c r="AC5" s="465"/>
      <c r="AD5" s="465"/>
      <c r="AE5" s="477"/>
      <c r="AF5" s="194"/>
      <c r="AG5" s="194"/>
      <c r="AH5" s="194"/>
      <c r="AI5" s="194"/>
      <c r="AJ5" s="194"/>
      <c r="AK5" s="194"/>
      <c r="AL5" s="194"/>
      <c r="AM5" s="194"/>
      <c r="AN5" s="194"/>
      <c r="AO5" s="195"/>
      <c r="AP5" s="464"/>
      <c r="AQ5" s="465"/>
      <c r="AR5" s="465"/>
      <c r="AS5" s="465"/>
      <c r="AT5" s="466"/>
    </row>
    <row r="6" spans="2:49" ht="12.75" customHeight="1" thickBot="1">
      <c r="B6" s="196"/>
      <c r="C6" s="197"/>
      <c r="D6" s="197"/>
      <c r="E6" s="197"/>
      <c r="F6" s="197"/>
      <c r="G6" s="198"/>
      <c r="H6" s="197"/>
      <c r="I6" s="197"/>
      <c r="J6" s="197"/>
      <c r="K6" s="197"/>
      <c r="L6" s="198"/>
      <c r="M6" s="197"/>
      <c r="N6" s="197"/>
      <c r="O6" s="197"/>
      <c r="P6" s="197"/>
      <c r="Q6" s="198"/>
      <c r="R6" s="197"/>
      <c r="S6" s="197"/>
      <c r="T6" s="197"/>
      <c r="U6" s="197"/>
      <c r="V6" s="198"/>
      <c r="W6" s="197"/>
      <c r="X6" s="197"/>
      <c r="Y6" s="197"/>
      <c r="Z6" s="197"/>
      <c r="AA6" s="198"/>
      <c r="AB6" s="197"/>
      <c r="AC6" s="197"/>
      <c r="AD6" s="197"/>
      <c r="AE6" s="199"/>
      <c r="AF6" s="200"/>
      <c r="AG6" s="200"/>
      <c r="AH6" s="200"/>
      <c r="AI6" s="200"/>
      <c r="AJ6" s="200"/>
      <c r="AK6" s="200"/>
      <c r="AL6" s="200"/>
      <c r="AM6" s="200"/>
      <c r="AN6" s="200"/>
      <c r="AO6" s="201"/>
      <c r="AP6" s="202"/>
      <c r="AQ6" s="200"/>
      <c r="AR6" s="200"/>
      <c r="AS6" s="200"/>
      <c r="AT6" s="201"/>
    </row>
    <row r="7" spans="2:49" ht="12.75" customHeight="1">
      <c r="B7" s="621" t="s">
        <v>25</v>
      </c>
      <c r="C7" s="622"/>
      <c r="D7" s="622"/>
      <c r="E7" s="622"/>
      <c r="F7" s="623"/>
      <c r="G7" s="624" t="s">
        <v>22</v>
      </c>
      <c r="H7" s="622"/>
      <c r="I7" s="622"/>
      <c r="J7" s="622"/>
      <c r="K7" s="623"/>
      <c r="L7" s="624" t="s">
        <v>314</v>
      </c>
      <c r="M7" s="622"/>
      <c r="N7" s="622"/>
      <c r="O7" s="622"/>
      <c r="P7" s="623"/>
      <c r="Q7" s="624" t="s">
        <v>901</v>
      </c>
      <c r="R7" s="622"/>
      <c r="S7" s="622"/>
      <c r="T7" s="622"/>
      <c r="U7" s="623"/>
      <c r="V7" s="678" t="s">
        <v>840</v>
      </c>
      <c r="W7" s="679"/>
      <c r="X7" s="679"/>
      <c r="Y7" s="679"/>
      <c r="Z7" s="680"/>
      <c r="AA7" s="544"/>
      <c r="AB7" s="545"/>
      <c r="AC7" s="545"/>
      <c r="AD7" s="545"/>
      <c r="AE7" s="546"/>
      <c r="AF7" s="522"/>
      <c r="AG7" s="468"/>
      <c r="AH7" s="468"/>
      <c r="AI7" s="468"/>
      <c r="AJ7" s="469"/>
      <c r="AK7" s="467"/>
      <c r="AL7" s="468"/>
      <c r="AM7" s="468"/>
      <c r="AN7" s="468"/>
      <c r="AO7" s="469"/>
      <c r="AP7" s="467"/>
      <c r="AQ7" s="468"/>
      <c r="AR7" s="468"/>
      <c r="AS7" s="468"/>
      <c r="AT7" s="469"/>
    </row>
    <row r="8" spans="2:49" ht="12.75" customHeight="1">
      <c r="B8" s="478"/>
      <c r="C8" s="479"/>
      <c r="D8" s="479"/>
      <c r="E8" s="479"/>
      <c r="F8" s="480"/>
      <c r="G8" s="481"/>
      <c r="H8" s="479"/>
      <c r="I8" s="479"/>
      <c r="J8" s="479"/>
      <c r="K8" s="480"/>
      <c r="L8" s="481"/>
      <c r="M8" s="479"/>
      <c r="N8" s="479"/>
      <c r="O8" s="479"/>
      <c r="P8" s="480"/>
      <c r="Q8" s="481"/>
      <c r="R8" s="479"/>
      <c r="S8" s="479"/>
      <c r="T8" s="479"/>
      <c r="U8" s="480"/>
      <c r="V8" s="482"/>
      <c r="W8" s="483"/>
      <c r="X8" s="483"/>
      <c r="Y8" s="483"/>
      <c r="Z8" s="484"/>
      <c r="AA8" s="470"/>
      <c r="AB8" s="471"/>
      <c r="AC8" s="471"/>
      <c r="AD8" s="471"/>
      <c r="AE8" s="485"/>
      <c r="AF8" s="523"/>
      <c r="AG8" s="471"/>
      <c r="AH8" s="471"/>
      <c r="AI8" s="471"/>
      <c r="AJ8" s="472"/>
      <c r="AK8" s="470"/>
      <c r="AL8" s="471"/>
      <c r="AM8" s="471"/>
      <c r="AN8" s="471"/>
      <c r="AO8" s="472"/>
      <c r="AP8" s="470"/>
      <c r="AQ8" s="471"/>
      <c r="AR8" s="471"/>
      <c r="AS8" s="471"/>
      <c r="AT8" s="472"/>
    </row>
    <row r="9" spans="2:49" ht="12.75" customHeight="1">
      <c r="B9" s="478"/>
      <c r="C9" s="479"/>
      <c r="D9" s="479"/>
      <c r="E9" s="479"/>
      <c r="F9" s="480"/>
      <c r="G9" s="481"/>
      <c r="H9" s="479"/>
      <c r="I9" s="479"/>
      <c r="J9" s="479"/>
      <c r="K9" s="480"/>
      <c r="L9" s="481"/>
      <c r="M9" s="479"/>
      <c r="N9" s="479"/>
      <c r="O9" s="479"/>
      <c r="P9" s="480"/>
      <c r="Q9" s="481"/>
      <c r="R9" s="479"/>
      <c r="S9" s="479"/>
      <c r="T9" s="479"/>
      <c r="U9" s="480"/>
      <c r="V9" s="482"/>
      <c r="W9" s="483"/>
      <c r="X9" s="483"/>
      <c r="Y9" s="483"/>
      <c r="Z9" s="484"/>
      <c r="AA9" s="470"/>
      <c r="AB9" s="471"/>
      <c r="AC9" s="471"/>
      <c r="AD9" s="471"/>
      <c r="AE9" s="485"/>
      <c r="AF9" s="523"/>
      <c r="AG9" s="471"/>
      <c r="AH9" s="471"/>
      <c r="AI9" s="471"/>
      <c r="AJ9" s="472"/>
      <c r="AK9" s="470"/>
      <c r="AL9" s="471"/>
      <c r="AM9" s="471"/>
      <c r="AN9" s="471"/>
      <c r="AO9" s="472"/>
      <c r="AP9" s="470"/>
      <c r="AQ9" s="471"/>
      <c r="AR9" s="471"/>
      <c r="AS9" s="471"/>
      <c r="AT9" s="472"/>
    </row>
    <row r="10" spans="2:49" ht="12.75" customHeight="1">
      <c r="B10" s="478"/>
      <c r="C10" s="479"/>
      <c r="D10" s="479"/>
      <c r="E10" s="479"/>
      <c r="F10" s="480"/>
      <c r="G10" s="481"/>
      <c r="H10" s="479"/>
      <c r="I10" s="479"/>
      <c r="J10" s="479"/>
      <c r="K10" s="480"/>
      <c r="L10" s="481"/>
      <c r="M10" s="479"/>
      <c r="N10" s="479"/>
      <c r="O10" s="479"/>
      <c r="P10" s="480"/>
      <c r="Q10" s="481"/>
      <c r="R10" s="479"/>
      <c r="S10" s="479"/>
      <c r="T10" s="479"/>
      <c r="U10" s="480"/>
      <c r="V10" s="482"/>
      <c r="W10" s="483"/>
      <c r="X10" s="483"/>
      <c r="Y10" s="483"/>
      <c r="Z10" s="484"/>
      <c r="AA10" s="470"/>
      <c r="AB10" s="471"/>
      <c r="AC10" s="471"/>
      <c r="AD10" s="471"/>
      <c r="AE10" s="485"/>
      <c r="AF10" s="523"/>
      <c r="AG10" s="471"/>
      <c r="AH10" s="471"/>
      <c r="AI10" s="471"/>
      <c r="AJ10" s="472"/>
      <c r="AK10" s="470"/>
      <c r="AL10" s="471"/>
      <c r="AM10" s="471"/>
      <c r="AN10" s="471"/>
      <c r="AO10" s="472"/>
      <c r="AP10" s="470"/>
      <c r="AQ10" s="471"/>
      <c r="AR10" s="471"/>
      <c r="AS10" s="471"/>
      <c r="AT10" s="472"/>
      <c r="AW10" s="118"/>
    </row>
    <row r="11" spans="2:49" ht="12.75" customHeight="1">
      <c r="B11" s="96"/>
      <c r="C11" s="72"/>
      <c r="D11" s="72"/>
      <c r="E11" s="492" t="s">
        <v>143</v>
      </c>
      <c r="F11" s="493"/>
      <c r="G11" s="71"/>
      <c r="H11" s="72"/>
      <c r="I11" s="72"/>
      <c r="J11" s="492" t="s">
        <v>434</v>
      </c>
      <c r="K11" s="493"/>
      <c r="L11" s="71"/>
      <c r="M11" s="72"/>
      <c r="N11" s="72"/>
      <c r="O11" s="492" t="s">
        <v>43</v>
      </c>
      <c r="P11" s="493"/>
      <c r="Q11" s="71"/>
      <c r="R11" s="72"/>
      <c r="S11" s="72"/>
      <c r="T11" s="492" t="s">
        <v>45</v>
      </c>
      <c r="U11" s="493"/>
      <c r="V11" s="318"/>
      <c r="W11" s="319"/>
      <c r="X11" s="319"/>
      <c r="Y11" s="511" t="s">
        <v>911</v>
      </c>
      <c r="Z11" s="512"/>
      <c r="AA11" s="69"/>
      <c r="AB11" s="70"/>
      <c r="AC11" s="70"/>
      <c r="AD11" s="489"/>
      <c r="AE11" s="495"/>
      <c r="AF11" s="70"/>
      <c r="AG11" s="70"/>
      <c r="AH11" s="70"/>
      <c r="AI11" s="489"/>
      <c r="AJ11" s="490"/>
      <c r="AK11" s="69"/>
      <c r="AL11" s="70"/>
      <c r="AM11" s="70"/>
      <c r="AN11" s="489"/>
      <c r="AO11" s="490"/>
      <c r="AP11" s="69"/>
      <c r="AQ11" s="70"/>
      <c r="AR11" s="70"/>
      <c r="AS11" s="489"/>
      <c r="AT11" s="490"/>
    </row>
    <row r="12" spans="2:49" ht="12.75" customHeight="1">
      <c r="B12" s="494" t="s">
        <v>17</v>
      </c>
      <c r="C12" s="487"/>
      <c r="D12" s="487"/>
      <c r="E12" s="487"/>
      <c r="F12" s="488"/>
      <c r="G12" s="486" t="s">
        <v>310</v>
      </c>
      <c r="H12" s="487"/>
      <c r="I12" s="487"/>
      <c r="J12" s="487"/>
      <c r="K12" s="488"/>
      <c r="L12" s="486" t="s">
        <v>315</v>
      </c>
      <c r="M12" s="487"/>
      <c r="N12" s="487"/>
      <c r="O12" s="487"/>
      <c r="P12" s="488"/>
      <c r="Q12" s="486" t="s">
        <v>320</v>
      </c>
      <c r="R12" s="487"/>
      <c r="S12" s="487"/>
      <c r="T12" s="487"/>
      <c r="U12" s="488"/>
      <c r="V12" s="467"/>
      <c r="W12" s="468"/>
      <c r="X12" s="468"/>
      <c r="Y12" s="468"/>
      <c r="Z12" s="469"/>
      <c r="AA12" s="467"/>
      <c r="AB12" s="468"/>
      <c r="AC12" s="468"/>
      <c r="AD12" s="468"/>
      <c r="AE12" s="491"/>
      <c r="AF12" s="522"/>
      <c r="AG12" s="468"/>
      <c r="AH12" s="468"/>
      <c r="AI12" s="468"/>
      <c r="AJ12" s="469"/>
      <c r="AK12" s="467"/>
      <c r="AL12" s="468"/>
      <c r="AM12" s="468"/>
      <c r="AN12" s="468"/>
      <c r="AO12" s="469"/>
      <c r="AP12" s="467"/>
      <c r="AQ12" s="468"/>
      <c r="AR12" s="468"/>
      <c r="AS12" s="468"/>
      <c r="AT12" s="469"/>
    </row>
    <row r="13" spans="2:49" ht="12.75" customHeight="1">
      <c r="B13" s="478"/>
      <c r="C13" s="479"/>
      <c r="D13" s="479"/>
      <c r="E13" s="479"/>
      <c r="F13" s="480"/>
      <c r="G13" s="481"/>
      <c r="H13" s="479"/>
      <c r="I13" s="479"/>
      <c r="J13" s="479"/>
      <c r="K13" s="480"/>
      <c r="L13" s="481"/>
      <c r="M13" s="479"/>
      <c r="N13" s="479"/>
      <c r="O13" s="479"/>
      <c r="P13" s="480"/>
      <c r="Q13" s="481"/>
      <c r="R13" s="479"/>
      <c r="S13" s="479"/>
      <c r="T13" s="479"/>
      <c r="U13" s="480"/>
      <c r="V13" s="470"/>
      <c r="W13" s="471"/>
      <c r="X13" s="471"/>
      <c r="Y13" s="471"/>
      <c r="Z13" s="472"/>
      <c r="AA13" s="470"/>
      <c r="AB13" s="471"/>
      <c r="AC13" s="471"/>
      <c r="AD13" s="471"/>
      <c r="AE13" s="485"/>
      <c r="AF13" s="523"/>
      <c r="AG13" s="471"/>
      <c r="AH13" s="471"/>
      <c r="AI13" s="471"/>
      <c r="AJ13" s="472"/>
      <c r="AK13" s="470"/>
      <c r="AL13" s="471"/>
      <c r="AM13" s="471"/>
      <c r="AN13" s="471"/>
      <c r="AO13" s="472"/>
      <c r="AP13" s="470"/>
      <c r="AQ13" s="471"/>
      <c r="AR13" s="471"/>
      <c r="AS13" s="471"/>
      <c r="AT13" s="472"/>
    </row>
    <row r="14" spans="2:49" ht="12.75" customHeight="1">
      <c r="B14" s="478"/>
      <c r="C14" s="479"/>
      <c r="D14" s="479"/>
      <c r="E14" s="479"/>
      <c r="F14" s="480"/>
      <c r="G14" s="481"/>
      <c r="H14" s="479"/>
      <c r="I14" s="479"/>
      <c r="J14" s="479"/>
      <c r="K14" s="480"/>
      <c r="L14" s="481"/>
      <c r="M14" s="479"/>
      <c r="N14" s="479"/>
      <c r="O14" s="479"/>
      <c r="P14" s="480"/>
      <c r="Q14" s="481"/>
      <c r="R14" s="479"/>
      <c r="S14" s="479"/>
      <c r="T14" s="479"/>
      <c r="U14" s="480"/>
      <c r="V14" s="470"/>
      <c r="W14" s="471"/>
      <c r="X14" s="471"/>
      <c r="Y14" s="471"/>
      <c r="Z14" s="472"/>
      <c r="AA14" s="470"/>
      <c r="AB14" s="471"/>
      <c r="AC14" s="471"/>
      <c r="AD14" s="471"/>
      <c r="AE14" s="485"/>
      <c r="AF14" s="523"/>
      <c r="AG14" s="471"/>
      <c r="AH14" s="471"/>
      <c r="AI14" s="471"/>
      <c r="AJ14" s="472"/>
      <c r="AK14" s="470"/>
      <c r="AL14" s="471"/>
      <c r="AM14" s="471"/>
      <c r="AN14" s="471"/>
      <c r="AO14" s="472"/>
      <c r="AP14" s="470"/>
      <c r="AQ14" s="471"/>
      <c r="AR14" s="471"/>
      <c r="AS14" s="471"/>
      <c r="AT14" s="472"/>
    </row>
    <row r="15" spans="2:49" ht="12.75" customHeight="1">
      <c r="B15" s="478"/>
      <c r="C15" s="479"/>
      <c r="D15" s="479"/>
      <c r="E15" s="479"/>
      <c r="F15" s="480"/>
      <c r="G15" s="481"/>
      <c r="H15" s="479"/>
      <c r="I15" s="479"/>
      <c r="J15" s="479"/>
      <c r="K15" s="480"/>
      <c r="L15" s="481"/>
      <c r="M15" s="479"/>
      <c r="N15" s="479"/>
      <c r="O15" s="479"/>
      <c r="P15" s="480"/>
      <c r="Q15" s="481"/>
      <c r="R15" s="479"/>
      <c r="S15" s="479"/>
      <c r="T15" s="479"/>
      <c r="U15" s="480"/>
      <c r="V15" s="470"/>
      <c r="W15" s="471"/>
      <c r="X15" s="471"/>
      <c r="Y15" s="471"/>
      <c r="Z15" s="472"/>
      <c r="AA15" s="470"/>
      <c r="AB15" s="471"/>
      <c r="AC15" s="471"/>
      <c r="AD15" s="471"/>
      <c r="AE15" s="485"/>
      <c r="AF15" s="523"/>
      <c r="AG15" s="471"/>
      <c r="AH15" s="471"/>
      <c r="AI15" s="471"/>
      <c r="AJ15" s="472"/>
      <c r="AK15" s="470"/>
      <c r="AL15" s="471"/>
      <c r="AM15" s="471"/>
      <c r="AN15" s="471"/>
      <c r="AO15" s="472"/>
      <c r="AP15" s="470"/>
      <c r="AQ15" s="471"/>
      <c r="AR15" s="471"/>
      <c r="AS15" s="471"/>
      <c r="AT15" s="472"/>
    </row>
    <row r="16" spans="2:49" ht="12.75" customHeight="1">
      <c r="B16" s="96"/>
      <c r="C16" s="72"/>
      <c r="D16" s="72"/>
      <c r="E16" s="492" t="s">
        <v>433</v>
      </c>
      <c r="F16" s="493"/>
      <c r="G16" s="71"/>
      <c r="H16" s="72"/>
      <c r="I16" s="72"/>
      <c r="J16" s="492" t="s">
        <v>436</v>
      </c>
      <c r="K16" s="493"/>
      <c r="L16" s="71"/>
      <c r="M16" s="72"/>
      <c r="N16" s="72"/>
      <c r="O16" s="492" t="s">
        <v>439</v>
      </c>
      <c r="P16" s="493"/>
      <c r="Q16" s="71"/>
      <c r="R16" s="72"/>
      <c r="S16" s="72"/>
      <c r="T16" s="492" t="s">
        <v>45</v>
      </c>
      <c r="U16" s="493"/>
      <c r="V16" s="69"/>
      <c r="W16" s="70"/>
      <c r="X16" s="70"/>
      <c r="Y16" s="489"/>
      <c r="Z16" s="490"/>
      <c r="AA16" s="69"/>
      <c r="AB16" s="70"/>
      <c r="AC16" s="70"/>
      <c r="AD16" s="489"/>
      <c r="AE16" s="495"/>
      <c r="AF16" s="70"/>
      <c r="AG16" s="70"/>
      <c r="AH16" s="70"/>
      <c r="AI16" s="489"/>
      <c r="AJ16" s="490"/>
      <c r="AK16" s="69"/>
      <c r="AL16" s="70"/>
      <c r="AM16" s="70"/>
      <c r="AN16" s="489"/>
      <c r="AO16" s="490"/>
      <c r="AP16" s="69"/>
      <c r="AQ16" s="70"/>
      <c r="AR16" s="70"/>
      <c r="AS16" s="489"/>
      <c r="AT16" s="490"/>
    </row>
    <row r="17" spans="2:46" ht="12.75" customHeight="1">
      <c r="B17" s="494" t="s">
        <v>23</v>
      </c>
      <c r="C17" s="487"/>
      <c r="D17" s="487"/>
      <c r="E17" s="487"/>
      <c r="F17" s="488"/>
      <c r="G17" s="486" t="s">
        <v>88</v>
      </c>
      <c r="H17" s="487"/>
      <c r="I17" s="487"/>
      <c r="J17" s="487"/>
      <c r="K17" s="488"/>
      <c r="L17" s="486" t="s">
        <v>316</v>
      </c>
      <c r="M17" s="487"/>
      <c r="N17" s="487"/>
      <c r="O17" s="487"/>
      <c r="P17" s="488"/>
      <c r="Q17" s="486" t="s">
        <v>902</v>
      </c>
      <c r="R17" s="487"/>
      <c r="S17" s="487"/>
      <c r="T17" s="487"/>
      <c r="U17" s="488"/>
      <c r="V17" s="467"/>
      <c r="W17" s="468"/>
      <c r="X17" s="468"/>
      <c r="Y17" s="468"/>
      <c r="Z17" s="469"/>
      <c r="AA17" s="467"/>
      <c r="AB17" s="468"/>
      <c r="AC17" s="468"/>
      <c r="AD17" s="468"/>
      <c r="AE17" s="491"/>
      <c r="AF17" s="522"/>
      <c r="AG17" s="468"/>
      <c r="AH17" s="468"/>
      <c r="AI17" s="468"/>
      <c r="AJ17" s="469"/>
      <c r="AK17" s="467"/>
      <c r="AL17" s="468"/>
      <c r="AM17" s="468"/>
      <c r="AN17" s="468"/>
      <c r="AO17" s="469"/>
      <c r="AP17" s="467"/>
      <c r="AQ17" s="468"/>
      <c r="AR17" s="468"/>
      <c r="AS17" s="468"/>
      <c r="AT17" s="469"/>
    </row>
    <row r="18" spans="2:46" ht="12.75" customHeight="1">
      <c r="B18" s="478"/>
      <c r="C18" s="479"/>
      <c r="D18" s="479"/>
      <c r="E18" s="479"/>
      <c r="F18" s="480"/>
      <c r="G18" s="481"/>
      <c r="H18" s="479"/>
      <c r="I18" s="479"/>
      <c r="J18" s="479"/>
      <c r="K18" s="480"/>
      <c r="L18" s="481"/>
      <c r="M18" s="479"/>
      <c r="N18" s="479"/>
      <c r="O18" s="479"/>
      <c r="P18" s="480"/>
      <c r="Q18" s="481"/>
      <c r="R18" s="479"/>
      <c r="S18" s="479"/>
      <c r="T18" s="479"/>
      <c r="U18" s="480"/>
      <c r="V18" s="470"/>
      <c r="W18" s="471"/>
      <c r="X18" s="471"/>
      <c r="Y18" s="471"/>
      <c r="Z18" s="472"/>
      <c r="AA18" s="470"/>
      <c r="AB18" s="471"/>
      <c r="AC18" s="471"/>
      <c r="AD18" s="471"/>
      <c r="AE18" s="485"/>
      <c r="AF18" s="523"/>
      <c r="AG18" s="471"/>
      <c r="AH18" s="471"/>
      <c r="AI18" s="471"/>
      <c r="AJ18" s="472"/>
      <c r="AK18" s="470"/>
      <c r="AL18" s="471"/>
      <c r="AM18" s="471"/>
      <c r="AN18" s="471"/>
      <c r="AO18" s="472"/>
      <c r="AP18" s="470"/>
      <c r="AQ18" s="471"/>
      <c r="AR18" s="471"/>
      <c r="AS18" s="471"/>
      <c r="AT18" s="472"/>
    </row>
    <row r="19" spans="2:46" ht="12.75" customHeight="1">
      <c r="B19" s="478"/>
      <c r="C19" s="479"/>
      <c r="D19" s="479"/>
      <c r="E19" s="479"/>
      <c r="F19" s="480"/>
      <c r="G19" s="481"/>
      <c r="H19" s="479"/>
      <c r="I19" s="479"/>
      <c r="J19" s="479"/>
      <c r="K19" s="480"/>
      <c r="L19" s="481"/>
      <c r="M19" s="479"/>
      <c r="N19" s="479"/>
      <c r="O19" s="479"/>
      <c r="P19" s="480"/>
      <c r="Q19" s="481"/>
      <c r="R19" s="479"/>
      <c r="S19" s="479"/>
      <c r="T19" s="479"/>
      <c r="U19" s="480"/>
      <c r="V19" s="470"/>
      <c r="W19" s="471"/>
      <c r="X19" s="471"/>
      <c r="Y19" s="471"/>
      <c r="Z19" s="472"/>
      <c r="AA19" s="470"/>
      <c r="AB19" s="471"/>
      <c r="AC19" s="471"/>
      <c r="AD19" s="471"/>
      <c r="AE19" s="485"/>
      <c r="AF19" s="523"/>
      <c r="AG19" s="471"/>
      <c r="AH19" s="471"/>
      <c r="AI19" s="471"/>
      <c r="AJ19" s="472"/>
      <c r="AK19" s="470"/>
      <c r="AL19" s="471"/>
      <c r="AM19" s="471"/>
      <c r="AN19" s="471"/>
      <c r="AO19" s="472"/>
      <c r="AP19" s="470"/>
      <c r="AQ19" s="471"/>
      <c r="AR19" s="471"/>
      <c r="AS19" s="471"/>
      <c r="AT19" s="472"/>
    </row>
    <row r="20" spans="2:46" ht="12.75" customHeight="1">
      <c r="B20" s="478"/>
      <c r="C20" s="479"/>
      <c r="D20" s="479"/>
      <c r="E20" s="479"/>
      <c r="F20" s="480"/>
      <c r="G20" s="481"/>
      <c r="H20" s="479"/>
      <c r="I20" s="479"/>
      <c r="J20" s="479"/>
      <c r="K20" s="480"/>
      <c r="L20" s="481"/>
      <c r="M20" s="479"/>
      <c r="N20" s="479"/>
      <c r="O20" s="479"/>
      <c r="P20" s="480"/>
      <c r="Q20" s="481"/>
      <c r="R20" s="479"/>
      <c r="S20" s="479"/>
      <c r="T20" s="479"/>
      <c r="U20" s="480"/>
      <c r="V20" s="470"/>
      <c r="W20" s="471"/>
      <c r="X20" s="471"/>
      <c r="Y20" s="471"/>
      <c r="Z20" s="472"/>
      <c r="AA20" s="470"/>
      <c r="AB20" s="471"/>
      <c r="AC20" s="471"/>
      <c r="AD20" s="471"/>
      <c r="AE20" s="485"/>
      <c r="AF20" s="523"/>
      <c r="AG20" s="471"/>
      <c r="AH20" s="471"/>
      <c r="AI20" s="471"/>
      <c r="AJ20" s="472"/>
      <c r="AK20" s="470"/>
      <c r="AL20" s="471"/>
      <c r="AM20" s="471"/>
      <c r="AN20" s="471"/>
      <c r="AO20" s="472"/>
      <c r="AP20" s="470"/>
      <c r="AQ20" s="471"/>
      <c r="AR20" s="471"/>
      <c r="AS20" s="471"/>
      <c r="AT20" s="472"/>
    </row>
    <row r="21" spans="2:46" ht="12.75" customHeight="1">
      <c r="B21" s="96"/>
      <c r="C21" s="72"/>
      <c r="D21" s="72"/>
      <c r="E21" s="492" t="s">
        <v>434</v>
      </c>
      <c r="F21" s="493"/>
      <c r="G21" s="71"/>
      <c r="H21" s="72"/>
      <c r="I21" s="72"/>
      <c r="J21" s="492" t="s">
        <v>44</v>
      </c>
      <c r="K21" s="493"/>
      <c r="L21" s="71"/>
      <c r="M21" s="72"/>
      <c r="N21" s="72"/>
      <c r="O21" s="492" t="s">
        <v>440</v>
      </c>
      <c r="P21" s="493"/>
      <c r="Q21" s="71"/>
      <c r="R21" s="72"/>
      <c r="S21" s="72"/>
      <c r="T21" s="492" t="s">
        <v>461</v>
      </c>
      <c r="U21" s="493"/>
      <c r="V21" s="69"/>
      <c r="W21" s="70"/>
      <c r="X21" s="70"/>
      <c r="Y21" s="489"/>
      <c r="Z21" s="490"/>
      <c r="AA21" s="69"/>
      <c r="AB21" s="70"/>
      <c r="AC21" s="70"/>
      <c r="AD21" s="489"/>
      <c r="AE21" s="495"/>
      <c r="AF21" s="70"/>
      <c r="AG21" s="70"/>
      <c r="AH21" s="70"/>
      <c r="AI21" s="489"/>
      <c r="AJ21" s="490"/>
      <c r="AK21" s="69"/>
      <c r="AL21" s="70"/>
      <c r="AM21" s="70"/>
      <c r="AN21" s="489"/>
      <c r="AO21" s="490"/>
      <c r="AP21" s="69"/>
      <c r="AQ21" s="70"/>
      <c r="AR21" s="70"/>
      <c r="AS21" s="489"/>
      <c r="AT21" s="490"/>
    </row>
    <row r="22" spans="2:46" ht="12.75" customHeight="1">
      <c r="B22" s="494" t="s">
        <v>90</v>
      </c>
      <c r="C22" s="487"/>
      <c r="D22" s="487"/>
      <c r="E22" s="487"/>
      <c r="F22" s="488"/>
      <c r="G22" s="486" t="s">
        <v>21</v>
      </c>
      <c r="H22" s="487"/>
      <c r="I22" s="487"/>
      <c r="J22" s="487"/>
      <c r="K22" s="488"/>
      <c r="L22" s="486" t="s">
        <v>317</v>
      </c>
      <c r="M22" s="487"/>
      <c r="N22" s="487"/>
      <c r="O22" s="487"/>
      <c r="P22" s="488"/>
      <c r="Q22" s="505" t="s">
        <v>910</v>
      </c>
      <c r="R22" s="506"/>
      <c r="S22" s="506"/>
      <c r="T22" s="506"/>
      <c r="U22" s="507"/>
      <c r="V22" s="467"/>
      <c r="W22" s="468"/>
      <c r="X22" s="468"/>
      <c r="Y22" s="468"/>
      <c r="Z22" s="469"/>
      <c r="AA22" s="467"/>
      <c r="AB22" s="468"/>
      <c r="AC22" s="468"/>
      <c r="AD22" s="468"/>
      <c r="AE22" s="491"/>
      <c r="AF22" s="522"/>
      <c r="AG22" s="468"/>
      <c r="AH22" s="468"/>
      <c r="AI22" s="468"/>
      <c r="AJ22" s="469"/>
      <c r="AK22" s="467"/>
      <c r="AL22" s="468"/>
      <c r="AM22" s="468"/>
      <c r="AN22" s="468"/>
      <c r="AO22" s="469"/>
      <c r="AP22" s="467"/>
      <c r="AQ22" s="468"/>
      <c r="AR22" s="468"/>
      <c r="AS22" s="468"/>
      <c r="AT22" s="469"/>
    </row>
    <row r="23" spans="2:46" ht="12.75" customHeight="1">
      <c r="B23" s="478"/>
      <c r="C23" s="479"/>
      <c r="D23" s="479"/>
      <c r="E23" s="479"/>
      <c r="F23" s="480"/>
      <c r="G23" s="481"/>
      <c r="H23" s="479"/>
      <c r="I23" s="479"/>
      <c r="J23" s="479"/>
      <c r="K23" s="480"/>
      <c r="L23" s="481"/>
      <c r="M23" s="479"/>
      <c r="N23" s="479"/>
      <c r="O23" s="479"/>
      <c r="P23" s="480"/>
      <c r="Q23" s="508"/>
      <c r="R23" s="509"/>
      <c r="S23" s="509"/>
      <c r="T23" s="509"/>
      <c r="U23" s="510"/>
      <c r="V23" s="470"/>
      <c r="W23" s="471"/>
      <c r="X23" s="471"/>
      <c r="Y23" s="471"/>
      <c r="Z23" s="472"/>
      <c r="AA23" s="470"/>
      <c r="AB23" s="471"/>
      <c r="AC23" s="471"/>
      <c r="AD23" s="471"/>
      <c r="AE23" s="485"/>
      <c r="AF23" s="523"/>
      <c r="AG23" s="471"/>
      <c r="AH23" s="471"/>
      <c r="AI23" s="471"/>
      <c r="AJ23" s="472"/>
      <c r="AK23" s="470"/>
      <c r="AL23" s="471"/>
      <c r="AM23" s="471"/>
      <c r="AN23" s="471"/>
      <c r="AO23" s="472"/>
      <c r="AP23" s="470"/>
      <c r="AQ23" s="471"/>
      <c r="AR23" s="471"/>
      <c r="AS23" s="471"/>
      <c r="AT23" s="472"/>
    </row>
    <row r="24" spans="2:46" ht="12.75" customHeight="1">
      <c r="B24" s="478"/>
      <c r="C24" s="479"/>
      <c r="D24" s="479"/>
      <c r="E24" s="479"/>
      <c r="F24" s="480"/>
      <c r="G24" s="481"/>
      <c r="H24" s="479"/>
      <c r="I24" s="479"/>
      <c r="J24" s="479"/>
      <c r="K24" s="480"/>
      <c r="L24" s="481"/>
      <c r="M24" s="479"/>
      <c r="N24" s="479"/>
      <c r="O24" s="479"/>
      <c r="P24" s="480"/>
      <c r="Q24" s="508"/>
      <c r="R24" s="509"/>
      <c r="S24" s="509"/>
      <c r="T24" s="509"/>
      <c r="U24" s="510"/>
      <c r="V24" s="470"/>
      <c r="W24" s="471"/>
      <c r="X24" s="471"/>
      <c r="Y24" s="471"/>
      <c r="Z24" s="472"/>
      <c r="AA24" s="470"/>
      <c r="AB24" s="471"/>
      <c r="AC24" s="471"/>
      <c r="AD24" s="471"/>
      <c r="AE24" s="485"/>
      <c r="AF24" s="523"/>
      <c r="AG24" s="471"/>
      <c r="AH24" s="471"/>
      <c r="AI24" s="471"/>
      <c r="AJ24" s="472"/>
      <c r="AK24" s="470"/>
      <c r="AL24" s="471"/>
      <c r="AM24" s="471"/>
      <c r="AN24" s="471"/>
      <c r="AO24" s="472"/>
      <c r="AP24" s="470"/>
      <c r="AQ24" s="471"/>
      <c r="AR24" s="471"/>
      <c r="AS24" s="471"/>
      <c r="AT24" s="472"/>
    </row>
    <row r="25" spans="2:46" ht="12.75" customHeight="1">
      <c r="B25" s="478"/>
      <c r="C25" s="479"/>
      <c r="D25" s="479"/>
      <c r="E25" s="479"/>
      <c r="F25" s="480"/>
      <c r="G25" s="481"/>
      <c r="H25" s="479"/>
      <c r="I25" s="479"/>
      <c r="J25" s="479"/>
      <c r="K25" s="480"/>
      <c r="L25" s="481"/>
      <c r="M25" s="479"/>
      <c r="N25" s="479"/>
      <c r="O25" s="479"/>
      <c r="P25" s="480"/>
      <c r="Q25" s="508"/>
      <c r="R25" s="509"/>
      <c r="S25" s="509"/>
      <c r="T25" s="509"/>
      <c r="U25" s="510"/>
      <c r="V25" s="470"/>
      <c r="W25" s="471"/>
      <c r="X25" s="471"/>
      <c r="Y25" s="471"/>
      <c r="Z25" s="472"/>
      <c r="AA25" s="470"/>
      <c r="AB25" s="471"/>
      <c r="AC25" s="471"/>
      <c r="AD25" s="471"/>
      <c r="AE25" s="485"/>
      <c r="AF25" s="523"/>
      <c r="AG25" s="471"/>
      <c r="AH25" s="471"/>
      <c r="AI25" s="471"/>
      <c r="AJ25" s="472"/>
      <c r="AK25" s="470"/>
      <c r="AL25" s="471"/>
      <c r="AM25" s="471"/>
      <c r="AN25" s="471"/>
      <c r="AO25" s="472"/>
      <c r="AP25" s="470"/>
      <c r="AQ25" s="471"/>
      <c r="AR25" s="471"/>
      <c r="AS25" s="471"/>
      <c r="AT25" s="472"/>
    </row>
    <row r="26" spans="2:46" ht="12.75" customHeight="1">
      <c r="B26" s="96"/>
      <c r="C26" s="72"/>
      <c r="D26" s="72"/>
      <c r="E26" s="492" t="s">
        <v>436</v>
      </c>
      <c r="F26" s="493"/>
      <c r="G26" s="71"/>
      <c r="H26" s="72"/>
      <c r="I26" s="72"/>
      <c r="J26" s="492" t="s">
        <v>437</v>
      </c>
      <c r="K26" s="493"/>
      <c r="L26" s="71"/>
      <c r="M26" s="72"/>
      <c r="N26" s="72"/>
      <c r="O26" s="492" t="s">
        <v>441</v>
      </c>
      <c r="P26" s="493"/>
      <c r="Q26" s="73"/>
      <c r="R26" s="74"/>
      <c r="S26" s="74"/>
      <c r="T26" s="518" t="s">
        <v>435</v>
      </c>
      <c r="U26" s="519"/>
      <c r="V26" s="69"/>
      <c r="W26" s="70"/>
      <c r="X26" s="70"/>
      <c r="Y26" s="489"/>
      <c r="Z26" s="490"/>
      <c r="AA26" s="69"/>
      <c r="AB26" s="70"/>
      <c r="AC26" s="70"/>
      <c r="AD26" s="489"/>
      <c r="AE26" s="495"/>
      <c r="AF26" s="70"/>
      <c r="AG26" s="70"/>
      <c r="AH26" s="70"/>
      <c r="AI26" s="489"/>
      <c r="AJ26" s="490"/>
      <c r="AK26" s="69"/>
      <c r="AL26" s="70"/>
      <c r="AM26" s="70"/>
      <c r="AN26" s="489"/>
      <c r="AO26" s="490"/>
      <c r="AP26" s="69"/>
      <c r="AQ26" s="70"/>
      <c r="AR26" s="70"/>
      <c r="AS26" s="489"/>
      <c r="AT26" s="490"/>
    </row>
    <row r="27" spans="2:46" ht="12.75" customHeight="1">
      <c r="B27" s="494" t="s">
        <v>24</v>
      </c>
      <c r="C27" s="487"/>
      <c r="D27" s="487"/>
      <c r="E27" s="487"/>
      <c r="F27" s="488"/>
      <c r="G27" s="486" t="s">
        <v>312</v>
      </c>
      <c r="H27" s="487"/>
      <c r="I27" s="487"/>
      <c r="J27" s="487"/>
      <c r="K27" s="488"/>
      <c r="L27" s="486" t="s">
        <v>318</v>
      </c>
      <c r="M27" s="487"/>
      <c r="N27" s="487"/>
      <c r="O27" s="487"/>
      <c r="P27" s="488"/>
      <c r="Q27" s="505" t="s">
        <v>300</v>
      </c>
      <c r="R27" s="506"/>
      <c r="S27" s="506"/>
      <c r="T27" s="506"/>
      <c r="U27" s="507"/>
      <c r="V27" s="467"/>
      <c r="W27" s="468"/>
      <c r="X27" s="468"/>
      <c r="Y27" s="468"/>
      <c r="Z27" s="469"/>
      <c r="AA27" s="467"/>
      <c r="AB27" s="468"/>
      <c r="AC27" s="468"/>
      <c r="AD27" s="468"/>
      <c r="AE27" s="491"/>
      <c r="AF27" s="522"/>
      <c r="AG27" s="468"/>
      <c r="AH27" s="468"/>
      <c r="AI27" s="468"/>
      <c r="AJ27" s="469"/>
      <c r="AK27" s="467"/>
      <c r="AL27" s="468"/>
      <c r="AM27" s="468"/>
      <c r="AN27" s="468"/>
      <c r="AO27" s="469"/>
      <c r="AP27" s="467"/>
      <c r="AQ27" s="468"/>
      <c r="AR27" s="468"/>
      <c r="AS27" s="468"/>
      <c r="AT27" s="469"/>
    </row>
    <row r="28" spans="2:46" ht="12.75" customHeight="1">
      <c r="B28" s="478"/>
      <c r="C28" s="479"/>
      <c r="D28" s="479"/>
      <c r="E28" s="479"/>
      <c r="F28" s="480"/>
      <c r="G28" s="481"/>
      <c r="H28" s="479"/>
      <c r="I28" s="479"/>
      <c r="J28" s="479"/>
      <c r="K28" s="480"/>
      <c r="L28" s="481"/>
      <c r="M28" s="479"/>
      <c r="N28" s="479"/>
      <c r="O28" s="479"/>
      <c r="P28" s="480"/>
      <c r="Q28" s="508"/>
      <c r="R28" s="509"/>
      <c r="S28" s="509"/>
      <c r="T28" s="509"/>
      <c r="U28" s="510"/>
      <c r="V28" s="470"/>
      <c r="W28" s="471"/>
      <c r="X28" s="471"/>
      <c r="Y28" s="471"/>
      <c r="Z28" s="472"/>
      <c r="AA28" s="470"/>
      <c r="AB28" s="471"/>
      <c r="AC28" s="471"/>
      <c r="AD28" s="471"/>
      <c r="AE28" s="485"/>
      <c r="AF28" s="523"/>
      <c r="AG28" s="471"/>
      <c r="AH28" s="471"/>
      <c r="AI28" s="471"/>
      <c r="AJ28" s="472"/>
      <c r="AK28" s="470"/>
      <c r="AL28" s="471"/>
      <c r="AM28" s="471"/>
      <c r="AN28" s="471"/>
      <c r="AO28" s="472"/>
      <c r="AP28" s="470"/>
      <c r="AQ28" s="471"/>
      <c r="AR28" s="471"/>
      <c r="AS28" s="471"/>
      <c r="AT28" s="472"/>
    </row>
    <row r="29" spans="2:46" ht="12.75" customHeight="1">
      <c r="B29" s="478"/>
      <c r="C29" s="479"/>
      <c r="D29" s="479"/>
      <c r="E29" s="479"/>
      <c r="F29" s="480"/>
      <c r="G29" s="481"/>
      <c r="H29" s="479"/>
      <c r="I29" s="479"/>
      <c r="J29" s="479"/>
      <c r="K29" s="480"/>
      <c r="L29" s="481"/>
      <c r="M29" s="479"/>
      <c r="N29" s="479"/>
      <c r="O29" s="479"/>
      <c r="P29" s="480"/>
      <c r="Q29" s="508"/>
      <c r="R29" s="509"/>
      <c r="S29" s="509"/>
      <c r="T29" s="509"/>
      <c r="U29" s="510"/>
      <c r="V29" s="470"/>
      <c r="W29" s="471"/>
      <c r="X29" s="471"/>
      <c r="Y29" s="471"/>
      <c r="Z29" s="472"/>
      <c r="AA29" s="470"/>
      <c r="AB29" s="471"/>
      <c r="AC29" s="471"/>
      <c r="AD29" s="471"/>
      <c r="AE29" s="485"/>
      <c r="AF29" s="523"/>
      <c r="AG29" s="471"/>
      <c r="AH29" s="471"/>
      <c r="AI29" s="471"/>
      <c r="AJ29" s="472"/>
      <c r="AK29" s="470"/>
      <c r="AL29" s="471"/>
      <c r="AM29" s="471"/>
      <c r="AN29" s="471"/>
      <c r="AO29" s="472"/>
      <c r="AP29" s="470"/>
      <c r="AQ29" s="471"/>
      <c r="AR29" s="471"/>
      <c r="AS29" s="471"/>
      <c r="AT29" s="472"/>
    </row>
    <row r="30" spans="2:46" ht="12.75" customHeight="1">
      <c r="B30" s="478"/>
      <c r="C30" s="479"/>
      <c r="D30" s="479"/>
      <c r="E30" s="479"/>
      <c r="F30" s="480"/>
      <c r="G30" s="481"/>
      <c r="H30" s="479"/>
      <c r="I30" s="479"/>
      <c r="J30" s="479"/>
      <c r="K30" s="480"/>
      <c r="L30" s="481"/>
      <c r="M30" s="479"/>
      <c r="N30" s="479"/>
      <c r="O30" s="479"/>
      <c r="P30" s="480"/>
      <c r="Q30" s="508"/>
      <c r="R30" s="509"/>
      <c r="S30" s="509"/>
      <c r="T30" s="509"/>
      <c r="U30" s="510"/>
      <c r="V30" s="470"/>
      <c r="W30" s="471"/>
      <c r="X30" s="471"/>
      <c r="Y30" s="471"/>
      <c r="Z30" s="472"/>
      <c r="AA30" s="470"/>
      <c r="AB30" s="471"/>
      <c r="AC30" s="471"/>
      <c r="AD30" s="471"/>
      <c r="AE30" s="485"/>
      <c r="AF30" s="523"/>
      <c r="AG30" s="471"/>
      <c r="AH30" s="471"/>
      <c r="AI30" s="471"/>
      <c r="AJ30" s="472"/>
      <c r="AK30" s="470"/>
      <c r="AL30" s="471"/>
      <c r="AM30" s="471"/>
      <c r="AN30" s="471"/>
      <c r="AO30" s="472"/>
      <c r="AP30" s="470"/>
      <c r="AQ30" s="471"/>
      <c r="AR30" s="471"/>
      <c r="AS30" s="471"/>
      <c r="AT30" s="472"/>
    </row>
    <row r="31" spans="2:46" ht="12.75" customHeight="1">
      <c r="B31" s="96"/>
      <c r="C31" s="72"/>
      <c r="D31" s="72"/>
      <c r="E31" s="492" t="s">
        <v>434</v>
      </c>
      <c r="F31" s="493"/>
      <c r="G31" s="71"/>
      <c r="H31" s="72"/>
      <c r="I31" s="72"/>
      <c r="J31" s="492" t="s">
        <v>438</v>
      </c>
      <c r="K31" s="493"/>
      <c r="L31" s="71"/>
      <c r="M31" s="72"/>
      <c r="N31" s="72"/>
      <c r="O31" s="492" t="s">
        <v>43</v>
      </c>
      <c r="P31" s="493"/>
      <c r="Q31" s="73"/>
      <c r="R31" s="74"/>
      <c r="S31" s="74"/>
      <c r="T31" s="518" t="s">
        <v>435</v>
      </c>
      <c r="U31" s="519"/>
      <c r="V31" s="69"/>
      <c r="W31" s="70"/>
      <c r="X31" s="70"/>
      <c r="Y31" s="489"/>
      <c r="Z31" s="490"/>
      <c r="AA31" s="69"/>
      <c r="AB31" s="70"/>
      <c r="AC31" s="70"/>
      <c r="AD31" s="489"/>
      <c r="AE31" s="495"/>
      <c r="AF31" s="70"/>
      <c r="AG31" s="70"/>
      <c r="AH31" s="70"/>
      <c r="AI31" s="489"/>
      <c r="AJ31" s="490"/>
      <c r="AK31" s="69"/>
      <c r="AL31" s="70"/>
      <c r="AM31" s="70"/>
      <c r="AN31" s="489"/>
      <c r="AO31" s="490"/>
      <c r="AP31" s="69"/>
      <c r="AQ31" s="70"/>
      <c r="AR31" s="70"/>
      <c r="AS31" s="489"/>
      <c r="AT31" s="490"/>
    </row>
    <row r="32" spans="2:46" ht="12.75" customHeight="1">
      <c r="B32" s="494" t="s">
        <v>311</v>
      </c>
      <c r="C32" s="487"/>
      <c r="D32" s="487"/>
      <c r="E32" s="487"/>
      <c r="F32" s="488"/>
      <c r="G32" s="486" t="s">
        <v>313</v>
      </c>
      <c r="H32" s="487"/>
      <c r="I32" s="487"/>
      <c r="J32" s="487"/>
      <c r="K32" s="488"/>
      <c r="L32" s="486" t="s">
        <v>319</v>
      </c>
      <c r="M32" s="487"/>
      <c r="N32" s="487"/>
      <c r="O32" s="487"/>
      <c r="P32" s="488"/>
      <c r="Q32" s="505" t="s">
        <v>89</v>
      </c>
      <c r="R32" s="506"/>
      <c r="S32" s="506"/>
      <c r="T32" s="506"/>
      <c r="U32" s="507"/>
      <c r="V32" s="467"/>
      <c r="W32" s="468"/>
      <c r="X32" s="468"/>
      <c r="Y32" s="468"/>
      <c r="Z32" s="469"/>
      <c r="AA32" s="467"/>
      <c r="AB32" s="468"/>
      <c r="AC32" s="468"/>
      <c r="AD32" s="468"/>
      <c r="AE32" s="491"/>
      <c r="AF32" s="522"/>
      <c r="AG32" s="468"/>
      <c r="AH32" s="468"/>
      <c r="AI32" s="468"/>
      <c r="AJ32" s="469"/>
      <c r="AK32" s="467"/>
      <c r="AL32" s="468"/>
      <c r="AM32" s="468"/>
      <c r="AN32" s="468"/>
      <c r="AO32" s="469"/>
      <c r="AP32" s="467"/>
      <c r="AQ32" s="468"/>
      <c r="AR32" s="468"/>
      <c r="AS32" s="468"/>
      <c r="AT32" s="469"/>
    </row>
    <row r="33" spans="2:46" ht="12.75" customHeight="1">
      <c r="B33" s="478"/>
      <c r="C33" s="479"/>
      <c r="D33" s="479"/>
      <c r="E33" s="479"/>
      <c r="F33" s="480"/>
      <c r="G33" s="481"/>
      <c r="H33" s="479"/>
      <c r="I33" s="479"/>
      <c r="J33" s="479"/>
      <c r="K33" s="480"/>
      <c r="L33" s="481"/>
      <c r="M33" s="479"/>
      <c r="N33" s="479"/>
      <c r="O33" s="479"/>
      <c r="P33" s="480"/>
      <c r="Q33" s="508"/>
      <c r="R33" s="509"/>
      <c r="S33" s="509"/>
      <c r="T33" s="509"/>
      <c r="U33" s="510"/>
      <c r="V33" s="470"/>
      <c r="W33" s="471"/>
      <c r="X33" s="471"/>
      <c r="Y33" s="471"/>
      <c r="Z33" s="472"/>
      <c r="AA33" s="470"/>
      <c r="AB33" s="471"/>
      <c r="AC33" s="471"/>
      <c r="AD33" s="471"/>
      <c r="AE33" s="485"/>
      <c r="AF33" s="523"/>
      <c r="AG33" s="471"/>
      <c r="AH33" s="471"/>
      <c r="AI33" s="471"/>
      <c r="AJ33" s="472"/>
      <c r="AK33" s="470"/>
      <c r="AL33" s="471"/>
      <c r="AM33" s="471"/>
      <c r="AN33" s="471"/>
      <c r="AO33" s="472"/>
      <c r="AP33" s="470"/>
      <c r="AQ33" s="471"/>
      <c r="AR33" s="471"/>
      <c r="AS33" s="471"/>
      <c r="AT33" s="472"/>
    </row>
    <row r="34" spans="2:46" ht="12.75" customHeight="1">
      <c r="B34" s="478"/>
      <c r="C34" s="479"/>
      <c r="D34" s="479"/>
      <c r="E34" s="479"/>
      <c r="F34" s="480"/>
      <c r="G34" s="481"/>
      <c r="H34" s="479"/>
      <c r="I34" s="479"/>
      <c r="J34" s="479"/>
      <c r="K34" s="480"/>
      <c r="L34" s="481"/>
      <c r="M34" s="479"/>
      <c r="N34" s="479"/>
      <c r="O34" s="479"/>
      <c r="P34" s="480"/>
      <c r="Q34" s="508"/>
      <c r="R34" s="509"/>
      <c r="S34" s="509"/>
      <c r="T34" s="509"/>
      <c r="U34" s="510"/>
      <c r="V34" s="470"/>
      <c r="W34" s="471"/>
      <c r="X34" s="471"/>
      <c r="Y34" s="471"/>
      <c r="Z34" s="472"/>
      <c r="AA34" s="470"/>
      <c r="AB34" s="471"/>
      <c r="AC34" s="471"/>
      <c r="AD34" s="471"/>
      <c r="AE34" s="485"/>
      <c r="AF34" s="523"/>
      <c r="AG34" s="471"/>
      <c r="AH34" s="471"/>
      <c r="AI34" s="471"/>
      <c r="AJ34" s="472"/>
      <c r="AK34" s="470"/>
      <c r="AL34" s="471"/>
      <c r="AM34" s="471"/>
      <c r="AN34" s="471"/>
      <c r="AO34" s="472"/>
      <c r="AP34" s="470"/>
      <c r="AQ34" s="471"/>
      <c r="AR34" s="471"/>
      <c r="AS34" s="471"/>
      <c r="AT34" s="472"/>
    </row>
    <row r="35" spans="2:46" ht="12.75" customHeight="1">
      <c r="B35" s="478"/>
      <c r="C35" s="479"/>
      <c r="D35" s="479"/>
      <c r="E35" s="479"/>
      <c r="F35" s="480"/>
      <c r="G35" s="481"/>
      <c r="H35" s="479"/>
      <c r="I35" s="479"/>
      <c r="J35" s="479"/>
      <c r="K35" s="480"/>
      <c r="L35" s="481"/>
      <c r="M35" s="479"/>
      <c r="N35" s="479"/>
      <c r="O35" s="479"/>
      <c r="P35" s="480"/>
      <c r="Q35" s="508"/>
      <c r="R35" s="509"/>
      <c r="S35" s="509"/>
      <c r="T35" s="509"/>
      <c r="U35" s="510"/>
      <c r="V35" s="470"/>
      <c r="W35" s="471"/>
      <c r="X35" s="471"/>
      <c r="Y35" s="471"/>
      <c r="Z35" s="472"/>
      <c r="AA35" s="470"/>
      <c r="AB35" s="471"/>
      <c r="AC35" s="471"/>
      <c r="AD35" s="471"/>
      <c r="AE35" s="485"/>
      <c r="AF35" s="523"/>
      <c r="AG35" s="471"/>
      <c r="AH35" s="471"/>
      <c r="AI35" s="471"/>
      <c r="AJ35" s="472"/>
      <c r="AK35" s="470"/>
      <c r="AL35" s="471"/>
      <c r="AM35" s="471"/>
      <c r="AN35" s="471"/>
      <c r="AO35" s="472"/>
      <c r="AP35" s="470"/>
      <c r="AQ35" s="471"/>
      <c r="AR35" s="471"/>
      <c r="AS35" s="471"/>
      <c r="AT35" s="472"/>
    </row>
    <row r="36" spans="2:46" ht="12.75" customHeight="1" thickBot="1">
      <c r="B36" s="97"/>
      <c r="C36" s="98"/>
      <c r="D36" s="98"/>
      <c r="E36" s="513" t="s">
        <v>43</v>
      </c>
      <c r="F36" s="514"/>
      <c r="G36" s="109"/>
      <c r="H36" s="98"/>
      <c r="I36" s="98"/>
      <c r="J36" s="513" t="s">
        <v>47</v>
      </c>
      <c r="K36" s="514"/>
      <c r="L36" s="109"/>
      <c r="M36" s="98"/>
      <c r="N36" s="98"/>
      <c r="O36" s="513" t="s">
        <v>439</v>
      </c>
      <c r="P36" s="514"/>
      <c r="Q36" s="99"/>
      <c r="R36" s="100"/>
      <c r="S36" s="100"/>
      <c r="T36" s="515" t="s">
        <v>44</v>
      </c>
      <c r="U36" s="516"/>
      <c r="V36" s="104"/>
      <c r="W36" s="103"/>
      <c r="X36" s="103"/>
      <c r="Y36" s="496"/>
      <c r="Z36" s="517"/>
      <c r="AA36" s="104"/>
      <c r="AB36" s="103"/>
      <c r="AC36" s="103"/>
      <c r="AD36" s="496"/>
      <c r="AE36" s="497"/>
      <c r="AF36" s="70"/>
      <c r="AG36" s="70"/>
      <c r="AH36" s="70"/>
      <c r="AI36" s="489"/>
      <c r="AJ36" s="490"/>
      <c r="AK36" s="69"/>
      <c r="AL36" s="70"/>
      <c r="AM36" s="70"/>
      <c r="AN36" s="489"/>
      <c r="AO36" s="490"/>
      <c r="AP36" s="69"/>
      <c r="AQ36" s="70"/>
      <c r="AR36" s="70"/>
      <c r="AS36" s="489"/>
      <c r="AT36" s="490"/>
    </row>
  </sheetData>
  <dataConsolidate/>
  <mergeCells count="116">
    <mergeCell ref="AP2:AT5"/>
    <mergeCell ref="E16:F16"/>
    <mergeCell ref="J16:K16"/>
    <mergeCell ref="O16:P16"/>
    <mergeCell ref="T16:U16"/>
    <mergeCell ref="B2:F5"/>
    <mergeCell ref="G2:K5"/>
    <mergeCell ref="L2:P5"/>
    <mergeCell ref="Q2:U5"/>
    <mergeCell ref="V2:Z5"/>
    <mergeCell ref="AA2:AE5"/>
    <mergeCell ref="AG3:AN4"/>
    <mergeCell ref="B7:F10"/>
    <mergeCell ref="G7:K10"/>
    <mergeCell ref="L7:P10"/>
    <mergeCell ref="Q7:U10"/>
    <mergeCell ref="V7:Z10"/>
    <mergeCell ref="AA7:AE10"/>
    <mergeCell ref="AF7:AJ10"/>
    <mergeCell ref="AK7:AO10"/>
    <mergeCell ref="AP7:AT10"/>
    <mergeCell ref="E11:F11"/>
    <mergeCell ref="J11:K11"/>
    <mergeCell ref="O11:P11"/>
    <mergeCell ref="T11:U11"/>
    <mergeCell ref="Y11:Z11"/>
    <mergeCell ref="AD11:AE11"/>
    <mergeCell ref="AI11:AJ11"/>
    <mergeCell ref="AN11:AO11"/>
    <mergeCell ref="AS11:AT11"/>
    <mergeCell ref="B12:F15"/>
    <mergeCell ref="G12:K15"/>
    <mergeCell ref="L12:P15"/>
    <mergeCell ref="Q12:U15"/>
    <mergeCell ref="V12:Z15"/>
    <mergeCell ref="AA12:AE15"/>
    <mergeCell ref="AF12:AJ15"/>
    <mergeCell ref="AK12:AO15"/>
    <mergeCell ref="AP12:AT15"/>
    <mergeCell ref="Y16:Z16"/>
    <mergeCell ref="AD16:AE16"/>
    <mergeCell ref="AI16:AJ16"/>
    <mergeCell ref="AN16:AO16"/>
    <mergeCell ref="AS16:AT16"/>
    <mergeCell ref="B17:F20"/>
    <mergeCell ref="G17:K20"/>
    <mergeCell ref="L17:P20"/>
    <mergeCell ref="Q17:U20"/>
    <mergeCell ref="V17:Z20"/>
    <mergeCell ref="AA17:AE20"/>
    <mergeCell ref="AF17:AJ20"/>
    <mergeCell ref="AK17:AO20"/>
    <mergeCell ref="AP17:AT20"/>
    <mergeCell ref="E21:F21"/>
    <mergeCell ref="J21:K21"/>
    <mergeCell ref="O21:P21"/>
    <mergeCell ref="T21:U21"/>
    <mergeCell ref="Y21:Z21"/>
    <mergeCell ref="AD21:AE21"/>
    <mergeCell ref="AI21:AJ21"/>
    <mergeCell ref="AN21:AO21"/>
    <mergeCell ref="AS21:AT21"/>
    <mergeCell ref="B22:F25"/>
    <mergeCell ref="G22:K25"/>
    <mergeCell ref="L22:P25"/>
    <mergeCell ref="Q22:U25"/>
    <mergeCell ref="V22:Z25"/>
    <mergeCell ref="AA22:AE25"/>
    <mergeCell ref="AF22:AJ25"/>
    <mergeCell ref="AK22:AO25"/>
    <mergeCell ref="AP22:AT25"/>
    <mergeCell ref="AP27:AT30"/>
    <mergeCell ref="E26:F26"/>
    <mergeCell ref="J26:K26"/>
    <mergeCell ref="O26:P26"/>
    <mergeCell ref="T26:U26"/>
    <mergeCell ref="Y26:Z26"/>
    <mergeCell ref="AD26:AE26"/>
    <mergeCell ref="AI26:AJ26"/>
    <mergeCell ref="AN26:AO26"/>
    <mergeCell ref="AS26:AT26"/>
    <mergeCell ref="AN36:AO36"/>
    <mergeCell ref="AI31:AJ31"/>
    <mergeCell ref="AN31:AO31"/>
    <mergeCell ref="B27:F30"/>
    <mergeCell ref="G27:K30"/>
    <mergeCell ref="L27:P30"/>
    <mergeCell ref="Q27:U30"/>
    <mergeCell ref="V27:Z30"/>
    <mergeCell ref="AA27:AE30"/>
    <mergeCell ref="AF27:AJ30"/>
    <mergeCell ref="AK27:AO30"/>
    <mergeCell ref="AS31:AT31"/>
    <mergeCell ref="B32:F35"/>
    <mergeCell ref="G32:K35"/>
    <mergeCell ref="L32:P35"/>
    <mergeCell ref="Q32:U35"/>
    <mergeCell ref="V32:Z35"/>
    <mergeCell ref="AA32:AE35"/>
    <mergeCell ref="AS36:AT36"/>
    <mergeCell ref="AK32:AO35"/>
    <mergeCell ref="AP32:AT35"/>
    <mergeCell ref="E36:F36"/>
    <mergeCell ref="J36:K36"/>
    <mergeCell ref="O36:P36"/>
    <mergeCell ref="T36:U36"/>
    <mergeCell ref="Y36:Z36"/>
    <mergeCell ref="AD36:AE36"/>
    <mergeCell ref="AI36:AJ36"/>
    <mergeCell ref="AF32:AJ35"/>
    <mergeCell ref="E31:F31"/>
    <mergeCell ref="J31:K31"/>
    <mergeCell ref="O31:P31"/>
    <mergeCell ref="T31:U31"/>
    <mergeCell ref="Y31:Z31"/>
    <mergeCell ref="AD31:AE31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5">
    <pageSetUpPr fitToPage="1"/>
  </sheetPr>
  <dimension ref="B1:CE225"/>
  <sheetViews>
    <sheetView zoomScale="70" zoomScaleNormal="70" workbookViewId="0">
      <selection activeCell="CF16" sqref="CF16"/>
    </sheetView>
  </sheetViews>
  <sheetFormatPr baseColWidth="10" defaultRowHeight="14.5"/>
  <cols>
    <col min="1" max="1" width="3.453125" customWidth="1"/>
    <col min="2" max="2" width="23" customWidth="1"/>
    <col min="3" max="3" width="4" customWidth="1"/>
    <col min="4" max="4" width="3" customWidth="1"/>
    <col min="5" max="58" width="3" style="36" customWidth="1"/>
    <col min="59" max="59" width="3.1796875" style="36" customWidth="1"/>
    <col min="60" max="60" width="4.7265625" customWidth="1"/>
    <col min="61" max="61" width="4.26953125" bestFit="1" customWidth="1"/>
    <col min="62" max="79" width="3" style="36" customWidth="1"/>
    <col min="80" max="83" width="5" customWidth="1"/>
  </cols>
  <sheetData>
    <row r="1" spans="2:79" s="18" customFormat="1" ht="15.75" customHeight="1">
      <c r="D1" s="39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40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</row>
    <row r="2" spans="2:79" ht="16.5" customHeight="1">
      <c r="D2" s="43"/>
      <c r="E2" s="333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5"/>
      <c r="W2" s="333"/>
      <c r="X2" s="334"/>
      <c r="Y2" s="334"/>
      <c r="Z2" s="334"/>
      <c r="AA2" s="334"/>
      <c r="AB2" s="334"/>
      <c r="AC2" s="334"/>
      <c r="AD2" s="334"/>
      <c r="AE2" s="334"/>
      <c r="AF2" s="334"/>
      <c r="AG2" s="334"/>
      <c r="AH2" s="334"/>
      <c r="AI2" s="334"/>
      <c r="AJ2" s="334"/>
      <c r="AK2" s="334"/>
      <c r="AL2" s="334"/>
      <c r="AM2" s="334"/>
      <c r="AN2" s="335"/>
      <c r="AO2" s="333"/>
      <c r="AP2" s="334"/>
      <c r="AQ2" s="334"/>
      <c r="AR2" s="334"/>
      <c r="AS2" s="334"/>
      <c r="AT2" s="334"/>
      <c r="AU2" s="334"/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5"/>
      <c r="BG2" s="41"/>
      <c r="BJ2" s="333"/>
      <c r="BK2" s="334"/>
      <c r="BL2" s="334"/>
      <c r="BM2" s="334"/>
      <c r="BN2" s="334"/>
      <c r="BO2" s="334"/>
      <c r="BP2" s="334"/>
      <c r="BQ2" s="334"/>
      <c r="BR2" s="334"/>
      <c r="BS2" s="334"/>
      <c r="BT2" s="334"/>
      <c r="BU2" s="334"/>
      <c r="BV2" s="334"/>
      <c r="BW2" s="334"/>
      <c r="BX2" s="334"/>
      <c r="BY2" s="334"/>
      <c r="BZ2" s="334"/>
      <c r="CA2" s="335"/>
    </row>
    <row r="3" spans="2:79" s="34" customFormat="1" ht="16.5" customHeight="1">
      <c r="D3" s="685"/>
      <c r="E3" s="336"/>
      <c r="F3" s="345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5"/>
      <c r="V3" s="337"/>
      <c r="W3" s="336"/>
      <c r="X3" s="345"/>
      <c r="Y3" s="347"/>
      <c r="Z3" s="347"/>
      <c r="AA3" s="347"/>
      <c r="AB3" s="347"/>
      <c r="AC3" s="347"/>
      <c r="AD3" s="347"/>
      <c r="AE3" s="347"/>
      <c r="AF3" s="347"/>
      <c r="AG3" s="347"/>
      <c r="AH3" s="347"/>
      <c r="AI3" s="347"/>
      <c r="AJ3" s="347"/>
      <c r="AK3" s="347"/>
      <c r="AL3" s="347"/>
      <c r="AM3" s="345"/>
      <c r="AN3" s="337"/>
      <c r="AO3" s="336"/>
      <c r="AP3" s="345"/>
      <c r="AQ3" s="347"/>
      <c r="AR3" s="347"/>
      <c r="AS3" s="347"/>
      <c r="AT3" s="347"/>
      <c r="AU3" s="347"/>
      <c r="AV3" s="347"/>
      <c r="AW3" s="347"/>
      <c r="AX3" s="347"/>
      <c r="AY3" s="347"/>
      <c r="AZ3" s="347"/>
      <c r="BA3" s="347"/>
      <c r="BB3" s="347"/>
      <c r="BC3" s="347"/>
      <c r="BD3" s="347"/>
      <c r="BE3" s="345"/>
      <c r="BF3" s="337"/>
      <c r="BG3" s="37"/>
      <c r="BJ3" s="336"/>
      <c r="BK3" s="345"/>
      <c r="BL3" s="347"/>
      <c r="BM3" s="347"/>
      <c r="BN3" s="347"/>
      <c r="BO3" s="347"/>
      <c r="BP3" s="347"/>
      <c r="BQ3" s="347"/>
      <c r="BR3" s="347"/>
      <c r="BS3" s="347"/>
      <c r="BT3" s="347"/>
      <c r="BU3" s="347"/>
      <c r="BV3" s="347"/>
      <c r="BW3" s="347"/>
      <c r="BX3" s="347"/>
      <c r="BY3" s="347"/>
      <c r="BZ3" s="345"/>
      <c r="CA3" s="337"/>
    </row>
    <row r="4" spans="2:79" s="34" customFormat="1" ht="16.5" customHeight="1">
      <c r="D4" s="685"/>
      <c r="E4" s="336"/>
      <c r="F4" s="345"/>
      <c r="G4" s="347"/>
      <c r="H4" s="682" t="s">
        <v>5</v>
      </c>
      <c r="I4" s="682"/>
      <c r="J4" s="682"/>
      <c r="K4" s="682"/>
      <c r="L4" s="682"/>
      <c r="M4" s="682"/>
      <c r="N4" s="682"/>
      <c r="O4" s="682"/>
      <c r="P4" s="682"/>
      <c r="Q4" s="682"/>
      <c r="R4" s="682"/>
      <c r="S4" s="682"/>
      <c r="T4" s="347"/>
      <c r="U4" s="345"/>
      <c r="V4" s="337"/>
      <c r="W4" s="336"/>
      <c r="X4" s="345"/>
      <c r="Y4" s="347"/>
      <c r="Z4" s="682" t="s">
        <v>235</v>
      </c>
      <c r="AA4" s="682"/>
      <c r="AB4" s="682"/>
      <c r="AC4" s="682"/>
      <c r="AD4" s="682"/>
      <c r="AE4" s="682"/>
      <c r="AF4" s="682"/>
      <c r="AG4" s="682"/>
      <c r="AH4" s="682"/>
      <c r="AI4" s="682"/>
      <c r="AJ4" s="682"/>
      <c r="AK4" s="682"/>
      <c r="AL4" s="347"/>
      <c r="AM4" s="345"/>
      <c r="AN4" s="337"/>
      <c r="AO4" s="336"/>
      <c r="AP4" s="345"/>
      <c r="AQ4" s="347"/>
      <c r="AR4" s="682" t="s">
        <v>413</v>
      </c>
      <c r="AS4" s="682"/>
      <c r="AT4" s="682"/>
      <c r="AU4" s="682"/>
      <c r="AV4" s="682"/>
      <c r="AW4" s="682"/>
      <c r="AX4" s="682"/>
      <c r="AY4" s="682"/>
      <c r="AZ4" s="682"/>
      <c r="BA4" s="682"/>
      <c r="BB4" s="682"/>
      <c r="BC4" s="682"/>
      <c r="BD4" s="347"/>
      <c r="BE4" s="345"/>
      <c r="BF4" s="337"/>
      <c r="BG4" s="37"/>
      <c r="BH4" s="35"/>
      <c r="BI4" s="35"/>
      <c r="BJ4" s="336"/>
      <c r="BK4" s="345"/>
      <c r="BL4" s="347"/>
      <c r="BM4" s="682" t="s">
        <v>404</v>
      </c>
      <c r="BN4" s="682"/>
      <c r="BO4" s="682"/>
      <c r="BP4" s="682"/>
      <c r="BQ4" s="682"/>
      <c r="BR4" s="682"/>
      <c r="BS4" s="682"/>
      <c r="BT4" s="682"/>
      <c r="BU4" s="682"/>
      <c r="BV4" s="682"/>
      <c r="BW4" s="682"/>
      <c r="BX4" s="682"/>
      <c r="BY4" s="347"/>
      <c r="BZ4" s="345"/>
      <c r="CA4" s="337"/>
    </row>
    <row r="5" spans="2:79" s="34" customFormat="1" ht="16.5" customHeight="1">
      <c r="D5" s="685"/>
      <c r="E5" s="336"/>
      <c r="F5" s="345"/>
      <c r="G5" s="347"/>
      <c r="H5" s="682"/>
      <c r="I5" s="682"/>
      <c r="J5" s="682"/>
      <c r="K5" s="682"/>
      <c r="L5" s="682"/>
      <c r="M5" s="682"/>
      <c r="N5" s="682"/>
      <c r="O5" s="682"/>
      <c r="P5" s="682"/>
      <c r="Q5" s="682"/>
      <c r="R5" s="682"/>
      <c r="S5" s="682"/>
      <c r="T5" s="347"/>
      <c r="U5" s="345"/>
      <c r="V5" s="337"/>
      <c r="W5" s="336"/>
      <c r="X5" s="345"/>
      <c r="Y5" s="347"/>
      <c r="Z5" s="682"/>
      <c r="AA5" s="682"/>
      <c r="AB5" s="682"/>
      <c r="AC5" s="682"/>
      <c r="AD5" s="682"/>
      <c r="AE5" s="682"/>
      <c r="AF5" s="682"/>
      <c r="AG5" s="682"/>
      <c r="AH5" s="682"/>
      <c r="AI5" s="682"/>
      <c r="AJ5" s="682"/>
      <c r="AK5" s="682"/>
      <c r="AL5" s="347"/>
      <c r="AM5" s="345"/>
      <c r="AN5" s="337"/>
      <c r="AO5" s="336"/>
      <c r="AP5" s="345"/>
      <c r="AQ5" s="347"/>
      <c r="AR5" s="682"/>
      <c r="AS5" s="682"/>
      <c r="AT5" s="682"/>
      <c r="AU5" s="682"/>
      <c r="AV5" s="682"/>
      <c r="AW5" s="682"/>
      <c r="AX5" s="682"/>
      <c r="AY5" s="682"/>
      <c r="AZ5" s="682"/>
      <c r="BA5" s="682"/>
      <c r="BB5" s="682"/>
      <c r="BC5" s="682"/>
      <c r="BD5" s="347"/>
      <c r="BE5" s="345"/>
      <c r="BF5" s="337"/>
      <c r="BG5" s="37"/>
      <c r="BH5" s="35"/>
      <c r="BI5" s="35"/>
      <c r="BJ5" s="336"/>
      <c r="BK5" s="345"/>
      <c r="BL5" s="347"/>
      <c r="BM5" s="682"/>
      <c r="BN5" s="682"/>
      <c r="BO5" s="682"/>
      <c r="BP5" s="682"/>
      <c r="BQ5" s="682"/>
      <c r="BR5" s="682"/>
      <c r="BS5" s="682"/>
      <c r="BT5" s="682"/>
      <c r="BU5" s="682"/>
      <c r="BV5" s="682"/>
      <c r="BW5" s="682"/>
      <c r="BX5" s="682"/>
      <c r="BY5" s="347"/>
      <c r="BZ5" s="345"/>
      <c r="CA5" s="337"/>
    </row>
    <row r="6" spans="2:79" s="34" customFormat="1" ht="16.5" customHeight="1">
      <c r="D6" s="44"/>
      <c r="E6" s="336"/>
      <c r="F6" s="345"/>
      <c r="G6" s="347"/>
      <c r="H6" s="682"/>
      <c r="I6" s="682"/>
      <c r="J6" s="682"/>
      <c r="K6" s="682"/>
      <c r="L6" s="682"/>
      <c r="M6" s="682"/>
      <c r="N6" s="682"/>
      <c r="O6" s="682"/>
      <c r="P6" s="682"/>
      <c r="Q6" s="682"/>
      <c r="R6" s="682"/>
      <c r="S6" s="682"/>
      <c r="T6" s="347"/>
      <c r="U6" s="345"/>
      <c r="V6" s="337"/>
      <c r="W6" s="336"/>
      <c r="X6" s="345"/>
      <c r="Y6" s="347"/>
      <c r="Z6" s="682"/>
      <c r="AA6" s="682"/>
      <c r="AB6" s="682"/>
      <c r="AC6" s="682"/>
      <c r="AD6" s="682"/>
      <c r="AE6" s="682"/>
      <c r="AF6" s="682"/>
      <c r="AG6" s="682"/>
      <c r="AH6" s="682"/>
      <c r="AI6" s="682"/>
      <c r="AJ6" s="682"/>
      <c r="AK6" s="682"/>
      <c r="AL6" s="347"/>
      <c r="AM6" s="345"/>
      <c r="AN6" s="337"/>
      <c r="AO6" s="336"/>
      <c r="AP6" s="345"/>
      <c r="AQ6" s="347"/>
      <c r="AR6" s="682"/>
      <c r="AS6" s="682"/>
      <c r="AT6" s="682"/>
      <c r="AU6" s="682"/>
      <c r="AV6" s="682"/>
      <c r="AW6" s="682"/>
      <c r="AX6" s="682"/>
      <c r="AY6" s="682"/>
      <c r="AZ6" s="682"/>
      <c r="BA6" s="682"/>
      <c r="BB6" s="682"/>
      <c r="BC6" s="682"/>
      <c r="BD6" s="347"/>
      <c r="BE6" s="345"/>
      <c r="BF6" s="337"/>
      <c r="BG6" s="37"/>
      <c r="BH6"/>
      <c r="BI6"/>
      <c r="BJ6" s="336"/>
      <c r="BK6" s="345"/>
      <c r="BL6" s="347"/>
      <c r="BM6" s="682"/>
      <c r="BN6" s="682"/>
      <c r="BO6" s="682"/>
      <c r="BP6" s="682"/>
      <c r="BQ6" s="682"/>
      <c r="BR6" s="682"/>
      <c r="BS6" s="682"/>
      <c r="BT6" s="682"/>
      <c r="BU6" s="682"/>
      <c r="BV6" s="682"/>
      <c r="BW6" s="682"/>
      <c r="BX6" s="682"/>
      <c r="BY6" s="347"/>
      <c r="BZ6" s="345"/>
      <c r="CA6" s="337"/>
    </row>
    <row r="7" spans="2:79" s="35" customFormat="1" ht="16.5" customHeight="1">
      <c r="D7" s="45"/>
      <c r="E7" s="338"/>
      <c r="F7" s="681"/>
      <c r="G7" s="681"/>
      <c r="H7" s="681"/>
      <c r="I7" s="681"/>
      <c r="J7" s="681"/>
      <c r="K7" s="681"/>
      <c r="L7" s="683" t="s">
        <v>459</v>
      </c>
      <c r="M7" s="681"/>
      <c r="N7" s="681"/>
      <c r="O7" s="681"/>
      <c r="P7" s="681"/>
      <c r="Q7" s="681"/>
      <c r="R7" s="681"/>
      <c r="S7" s="681"/>
      <c r="T7" s="681"/>
      <c r="U7" s="681"/>
      <c r="V7" s="339"/>
      <c r="W7" s="338"/>
      <c r="X7" s="681"/>
      <c r="Y7" s="681"/>
      <c r="Z7" s="681"/>
      <c r="AA7" s="681"/>
      <c r="AB7" s="681"/>
      <c r="AC7" s="681"/>
      <c r="AD7" s="683" t="s">
        <v>452</v>
      </c>
      <c r="AE7" s="681"/>
      <c r="AF7" s="681"/>
      <c r="AG7" s="681"/>
      <c r="AH7" s="681"/>
      <c r="AI7" s="681"/>
      <c r="AJ7" s="681"/>
      <c r="AK7" s="681"/>
      <c r="AL7" s="681"/>
      <c r="AM7" s="681"/>
      <c r="AN7" s="339"/>
      <c r="AO7" s="338"/>
      <c r="AP7" s="681"/>
      <c r="AQ7" s="681"/>
      <c r="AR7" s="681"/>
      <c r="AS7" s="681"/>
      <c r="AT7" s="681"/>
      <c r="AU7" s="681"/>
      <c r="AV7" s="683" t="s">
        <v>46</v>
      </c>
      <c r="AW7" s="681"/>
      <c r="AX7" s="681"/>
      <c r="AY7" s="681"/>
      <c r="AZ7" s="681"/>
      <c r="BA7" s="681"/>
      <c r="BB7" s="681"/>
      <c r="BC7" s="681"/>
      <c r="BD7" s="681"/>
      <c r="BE7" s="681"/>
      <c r="BF7" s="339"/>
      <c r="BG7" s="38"/>
      <c r="BH7"/>
      <c r="BI7"/>
      <c r="BJ7" s="338"/>
      <c r="BK7" s="681"/>
      <c r="BL7" s="681"/>
      <c r="BM7" s="681"/>
      <c r="BN7" s="681"/>
      <c r="BO7" s="681"/>
      <c r="BP7" s="681"/>
      <c r="BQ7" s="683" t="s">
        <v>459</v>
      </c>
      <c r="BR7" s="681"/>
      <c r="BS7" s="681"/>
      <c r="BT7" s="681"/>
      <c r="BU7" s="681"/>
      <c r="BV7" s="681"/>
      <c r="BW7" s="681"/>
      <c r="BX7" s="681"/>
      <c r="BY7" s="681"/>
      <c r="BZ7" s="681"/>
      <c r="CA7" s="339"/>
    </row>
    <row r="8" spans="2:79" s="35" customFormat="1" ht="16.5" customHeight="1">
      <c r="D8" s="45"/>
      <c r="E8" s="338"/>
      <c r="F8" s="346"/>
      <c r="G8" s="346"/>
      <c r="H8" s="346"/>
      <c r="I8" s="346"/>
      <c r="J8" s="346"/>
      <c r="K8" s="346"/>
      <c r="L8" s="346"/>
      <c r="M8" s="346"/>
      <c r="N8" s="346"/>
      <c r="O8" s="346"/>
      <c r="P8" s="346"/>
      <c r="Q8" s="346"/>
      <c r="R8" s="346"/>
      <c r="S8" s="346"/>
      <c r="T8" s="346"/>
      <c r="U8" s="346"/>
      <c r="V8" s="339"/>
      <c r="W8" s="338"/>
      <c r="X8" s="346"/>
      <c r="Y8" s="346"/>
      <c r="Z8" s="346"/>
      <c r="AA8" s="346"/>
      <c r="AB8" s="346"/>
      <c r="AC8" s="346"/>
      <c r="AD8" s="346"/>
      <c r="AE8" s="346"/>
      <c r="AF8" s="346"/>
      <c r="AG8" s="346"/>
      <c r="AH8" s="346"/>
      <c r="AI8" s="346"/>
      <c r="AJ8" s="346"/>
      <c r="AK8" s="346"/>
      <c r="AL8" s="346"/>
      <c r="AM8" s="346"/>
      <c r="AN8" s="339"/>
      <c r="AO8" s="338"/>
      <c r="AP8" s="346"/>
      <c r="AQ8" s="346"/>
      <c r="AR8" s="346"/>
      <c r="AS8" s="346"/>
      <c r="AT8" s="346"/>
      <c r="AU8" s="346"/>
      <c r="AV8" s="346"/>
      <c r="AW8" s="346"/>
      <c r="AX8" s="346"/>
      <c r="AY8" s="346"/>
      <c r="AZ8" s="346"/>
      <c r="BA8" s="346"/>
      <c r="BB8" s="346"/>
      <c r="BC8" s="346"/>
      <c r="BD8" s="346"/>
      <c r="BE8" s="346"/>
      <c r="BF8" s="339"/>
      <c r="BG8" s="38"/>
      <c r="BH8"/>
      <c r="BI8"/>
      <c r="BJ8" s="338"/>
      <c r="BK8" s="343"/>
      <c r="BL8" s="343"/>
      <c r="BM8" s="343"/>
      <c r="BN8" s="343"/>
      <c r="BO8" s="343"/>
      <c r="BP8" s="343"/>
      <c r="BQ8" s="343"/>
      <c r="BR8" s="343"/>
      <c r="BS8" s="343"/>
      <c r="BT8" s="343"/>
      <c r="BU8" s="343"/>
      <c r="BV8" s="343"/>
      <c r="BW8" s="343"/>
      <c r="BX8" s="343"/>
      <c r="BY8" s="343"/>
      <c r="BZ8" s="343"/>
      <c r="CA8" s="339"/>
    </row>
    <row r="9" spans="2:79" ht="16.5" customHeight="1">
      <c r="B9" s="34"/>
      <c r="D9" s="46"/>
      <c r="E9" s="340"/>
      <c r="F9" s="344"/>
      <c r="G9" s="344"/>
      <c r="H9" s="344"/>
      <c r="I9" s="344"/>
      <c r="J9" s="344"/>
      <c r="K9" s="344"/>
      <c r="L9" s="344"/>
      <c r="M9" s="344"/>
      <c r="N9" s="344"/>
      <c r="O9" s="344"/>
      <c r="P9" s="344"/>
      <c r="Q9" s="344"/>
      <c r="R9" s="344"/>
      <c r="S9" s="344"/>
      <c r="T9" s="344"/>
      <c r="U9" s="344"/>
      <c r="V9" s="341"/>
      <c r="W9" s="340"/>
      <c r="X9" s="344"/>
      <c r="Y9" s="344"/>
      <c r="Z9" s="344"/>
      <c r="AA9" s="344"/>
      <c r="AB9" s="344"/>
      <c r="AC9" s="344"/>
      <c r="AD9" s="344"/>
      <c r="AE9" s="344"/>
      <c r="AF9" s="344"/>
      <c r="AG9" s="344"/>
      <c r="AH9" s="344"/>
      <c r="AI9" s="344"/>
      <c r="AJ9" s="344"/>
      <c r="AK9" s="344"/>
      <c r="AL9" s="344"/>
      <c r="AM9" s="344"/>
      <c r="AN9" s="341"/>
      <c r="AO9" s="340"/>
      <c r="AP9" s="344"/>
      <c r="AQ9" s="344"/>
      <c r="AR9" s="344"/>
      <c r="AS9" s="344"/>
      <c r="AT9" s="344"/>
      <c r="AU9" s="344"/>
      <c r="AV9" s="344"/>
      <c r="AW9" s="344"/>
      <c r="AX9" s="344"/>
      <c r="AY9" s="344"/>
      <c r="AZ9" s="344"/>
      <c r="BA9" s="344"/>
      <c r="BB9" s="344"/>
      <c r="BC9" s="344"/>
      <c r="BD9" s="344"/>
      <c r="BE9" s="344"/>
      <c r="BF9" s="341"/>
      <c r="BG9" s="42"/>
      <c r="BH9" s="34"/>
      <c r="BI9" s="34"/>
      <c r="BJ9" s="340"/>
      <c r="BK9" s="344"/>
      <c r="BL9" s="344"/>
      <c r="BM9" s="344"/>
      <c r="BN9" s="344"/>
      <c r="BO9" s="344"/>
      <c r="BP9" s="344"/>
      <c r="BQ9" s="344"/>
      <c r="BR9" s="344"/>
      <c r="BS9" s="344"/>
      <c r="BT9" s="344"/>
      <c r="BU9" s="344"/>
      <c r="BV9" s="344"/>
      <c r="BW9" s="344"/>
      <c r="BX9" s="344"/>
      <c r="BY9" s="344"/>
      <c r="BZ9" s="344"/>
      <c r="CA9" s="341"/>
    </row>
    <row r="10" spans="2:79" ht="16.5" customHeight="1">
      <c r="B10" s="34"/>
      <c r="D10" s="43"/>
      <c r="E10" s="333"/>
      <c r="F10" s="334"/>
      <c r="G10" s="334"/>
      <c r="H10" s="334"/>
      <c r="I10" s="334"/>
      <c r="J10" s="334"/>
      <c r="K10" s="334"/>
      <c r="L10" s="334"/>
      <c r="M10" s="334"/>
      <c r="N10" s="334"/>
      <c r="O10" s="334"/>
      <c r="P10" s="334"/>
      <c r="Q10" s="334"/>
      <c r="R10" s="334"/>
      <c r="S10" s="334"/>
      <c r="T10" s="334"/>
      <c r="U10" s="334"/>
      <c r="V10" s="335"/>
      <c r="W10" s="333"/>
      <c r="X10" s="334"/>
      <c r="Y10" s="334"/>
      <c r="Z10" s="334"/>
      <c r="AA10" s="334"/>
      <c r="AB10" s="334"/>
      <c r="AC10" s="334"/>
      <c r="AD10" s="334"/>
      <c r="AE10" s="334"/>
      <c r="AF10" s="334"/>
      <c r="AG10" s="334"/>
      <c r="AH10" s="334"/>
      <c r="AI10" s="334"/>
      <c r="AJ10" s="334"/>
      <c r="AK10" s="334"/>
      <c r="AL10" s="334"/>
      <c r="AM10" s="334"/>
      <c r="AN10" s="335"/>
      <c r="AO10" s="333"/>
      <c r="AP10" s="334"/>
      <c r="AQ10" s="334"/>
      <c r="AR10" s="334"/>
      <c r="AS10" s="334"/>
      <c r="AT10" s="334"/>
      <c r="AU10" s="334"/>
      <c r="AV10" s="334"/>
      <c r="AW10" s="334"/>
      <c r="AX10" s="334"/>
      <c r="AY10" s="334"/>
      <c r="AZ10" s="334"/>
      <c r="BA10" s="334"/>
      <c r="BB10" s="334"/>
      <c r="BC10" s="334"/>
      <c r="BD10" s="334"/>
      <c r="BE10" s="334"/>
      <c r="BF10" s="335"/>
      <c r="BG10" s="41"/>
      <c r="BJ10" s="333"/>
      <c r="BK10" s="334"/>
      <c r="BL10" s="334"/>
      <c r="BM10" s="334"/>
      <c r="BN10" s="334"/>
      <c r="BO10" s="334"/>
      <c r="BP10" s="334"/>
      <c r="BQ10" s="334"/>
      <c r="BR10" s="334"/>
      <c r="BS10" s="334"/>
      <c r="BT10" s="334"/>
      <c r="BU10" s="334"/>
      <c r="BV10" s="334"/>
      <c r="BW10" s="334"/>
      <c r="BX10" s="334"/>
      <c r="BY10" s="334"/>
      <c r="BZ10" s="334"/>
      <c r="CA10" s="335"/>
    </row>
    <row r="11" spans="2:79" s="34" customFormat="1" ht="16.5" customHeight="1">
      <c r="D11" s="685"/>
      <c r="E11" s="336"/>
      <c r="F11" s="345"/>
      <c r="G11" s="347"/>
      <c r="H11" s="347"/>
      <c r="I11" s="347"/>
      <c r="J11" s="347"/>
      <c r="K11" s="347"/>
      <c r="L11" s="347"/>
      <c r="M11" s="347"/>
      <c r="N11" s="347"/>
      <c r="O11" s="347"/>
      <c r="P11" s="347"/>
      <c r="Q11" s="347"/>
      <c r="R11" s="347"/>
      <c r="S11" s="347"/>
      <c r="T11" s="347"/>
      <c r="U11" s="345"/>
      <c r="V11" s="337"/>
      <c r="W11" s="336"/>
      <c r="X11" s="345"/>
      <c r="Y11" s="347"/>
      <c r="Z11" s="347"/>
      <c r="AA11" s="347"/>
      <c r="AB11" s="347"/>
      <c r="AC11" s="347"/>
      <c r="AD11" s="347"/>
      <c r="AE11" s="347"/>
      <c r="AF11" s="347"/>
      <c r="AG11" s="347"/>
      <c r="AH11" s="347"/>
      <c r="AI11" s="347"/>
      <c r="AJ11" s="347"/>
      <c r="AK11" s="347"/>
      <c r="AL11" s="347"/>
      <c r="AM11" s="345"/>
      <c r="AN11" s="337"/>
      <c r="AO11" s="336"/>
      <c r="AP11" s="345"/>
      <c r="AQ11" s="347"/>
      <c r="AR11" s="347"/>
      <c r="AS11" s="347"/>
      <c r="AT11" s="347"/>
      <c r="AU11" s="347"/>
      <c r="AV11" s="347"/>
      <c r="AW11" s="347"/>
      <c r="AX11" s="347"/>
      <c r="AY11" s="347"/>
      <c r="AZ11" s="347"/>
      <c r="BA11" s="347"/>
      <c r="BB11" s="347"/>
      <c r="BC11" s="347"/>
      <c r="BD11" s="347"/>
      <c r="BE11" s="345"/>
      <c r="BF11" s="337"/>
      <c r="BG11" s="37"/>
      <c r="BJ11" s="336"/>
      <c r="BK11" s="684" t="s">
        <v>404</v>
      </c>
      <c r="BL11" s="684"/>
      <c r="BM11" s="684"/>
      <c r="BN11" s="684"/>
      <c r="BO11" s="684"/>
      <c r="BP11" s="684"/>
      <c r="BQ11" s="684"/>
      <c r="BR11" s="684"/>
      <c r="BS11" s="684"/>
      <c r="BT11" s="684"/>
      <c r="BU11" s="684"/>
      <c r="BV11" s="684"/>
      <c r="BW11" s="684"/>
      <c r="BX11" s="684"/>
      <c r="BY11" s="684"/>
      <c r="BZ11" s="684"/>
      <c r="CA11" s="337"/>
    </row>
    <row r="12" spans="2:79" s="35" customFormat="1" ht="16.5" customHeight="1">
      <c r="B12" s="34"/>
      <c r="D12" s="685"/>
      <c r="E12" s="336"/>
      <c r="F12" s="345"/>
      <c r="G12" s="347"/>
      <c r="H12" s="682" t="s">
        <v>234</v>
      </c>
      <c r="I12" s="682"/>
      <c r="J12" s="682"/>
      <c r="K12" s="682"/>
      <c r="L12" s="682"/>
      <c r="M12" s="682"/>
      <c r="N12" s="682"/>
      <c r="O12" s="682"/>
      <c r="P12" s="682"/>
      <c r="Q12" s="682"/>
      <c r="R12" s="682"/>
      <c r="S12" s="682"/>
      <c r="T12" s="347"/>
      <c r="U12" s="345"/>
      <c r="V12" s="337"/>
      <c r="W12" s="336"/>
      <c r="X12" s="345"/>
      <c r="Y12" s="347"/>
      <c r="Z12" s="682" t="s">
        <v>230</v>
      </c>
      <c r="AA12" s="682"/>
      <c r="AB12" s="682"/>
      <c r="AC12" s="682"/>
      <c r="AD12" s="682"/>
      <c r="AE12" s="682"/>
      <c r="AF12" s="682"/>
      <c r="AG12" s="682"/>
      <c r="AH12" s="682"/>
      <c r="AI12" s="682"/>
      <c r="AJ12" s="682"/>
      <c r="AK12" s="682"/>
      <c r="AL12" s="347"/>
      <c r="AM12" s="345"/>
      <c r="AN12" s="337"/>
      <c r="AO12" s="336"/>
      <c r="AP12" s="345"/>
      <c r="AQ12" s="347"/>
      <c r="AR12" s="682" t="s">
        <v>422</v>
      </c>
      <c r="AS12" s="682"/>
      <c r="AT12" s="682"/>
      <c r="AU12" s="682"/>
      <c r="AV12" s="682"/>
      <c r="AW12" s="682"/>
      <c r="AX12" s="682"/>
      <c r="AY12" s="682"/>
      <c r="AZ12" s="682"/>
      <c r="BA12" s="682"/>
      <c r="BB12" s="682"/>
      <c r="BC12" s="682"/>
      <c r="BD12" s="347"/>
      <c r="BE12" s="345"/>
      <c r="BF12" s="337"/>
      <c r="BG12" s="37"/>
      <c r="BJ12" s="336"/>
      <c r="BK12" s="684"/>
      <c r="BL12" s="684"/>
      <c r="BM12" s="684"/>
      <c r="BN12" s="684"/>
      <c r="BO12" s="684"/>
      <c r="BP12" s="684"/>
      <c r="BQ12" s="684"/>
      <c r="BR12" s="684"/>
      <c r="BS12" s="684"/>
      <c r="BT12" s="684"/>
      <c r="BU12" s="684"/>
      <c r="BV12" s="684"/>
      <c r="BW12" s="684"/>
      <c r="BX12" s="684"/>
      <c r="BY12" s="684"/>
      <c r="BZ12" s="684"/>
      <c r="CA12" s="337"/>
    </row>
    <row r="13" spans="2:79" s="35" customFormat="1" ht="16.5" customHeight="1">
      <c r="B13" s="34"/>
      <c r="D13" s="329"/>
      <c r="E13" s="336"/>
      <c r="F13" s="345"/>
      <c r="G13" s="347"/>
      <c r="H13" s="682"/>
      <c r="I13" s="682"/>
      <c r="J13" s="682"/>
      <c r="K13" s="682"/>
      <c r="L13" s="682"/>
      <c r="M13" s="682"/>
      <c r="N13" s="682"/>
      <c r="O13" s="682"/>
      <c r="P13" s="682"/>
      <c r="Q13" s="682"/>
      <c r="R13" s="682"/>
      <c r="S13" s="682"/>
      <c r="T13" s="347"/>
      <c r="U13" s="345"/>
      <c r="V13" s="337"/>
      <c r="W13" s="336"/>
      <c r="X13" s="345"/>
      <c r="Y13" s="347"/>
      <c r="Z13" s="682"/>
      <c r="AA13" s="682"/>
      <c r="AB13" s="682"/>
      <c r="AC13" s="682"/>
      <c r="AD13" s="682"/>
      <c r="AE13" s="682"/>
      <c r="AF13" s="682"/>
      <c r="AG13" s="682"/>
      <c r="AH13" s="682"/>
      <c r="AI13" s="682"/>
      <c r="AJ13" s="682"/>
      <c r="AK13" s="682"/>
      <c r="AL13" s="347"/>
      <c r="AM13" s="345"/>
      <c r="AN13" s="337"/>
      <c r="AO13" s="336"/>
      <c r="AP13" s="345"/>
      <c r="AQ13" s="347"/>
      <c r="AR13" s="682"/>
      <c r="AS13" s="682"/>
      <c r="AT13" s="682"/>
      <c r="AU13" s="682"/>
      <c r="AV13" s="682"/>
      <c r="AW13" s="682"/>
      <c r="AX13" s="682"/>
      <c r="AY13" s="682"/>
      <c r="AZ13" s="682"/>
      <c r="BA13" s="682"/>
      <c r="BB13" s="682"/>
      <c r="BC13" s="682"/>
      <c r="BD13" s="347"/>
      <c r="BE13" s="345"/>
      <c r="BF13" s="337"/>
      <c r="BG13" s="37"/>
      <c r="BJ13" s="336"/>
      <c r="BK13" s="684"/>
      <c r="BL13" s="684"/>
      <c r="BM13" s="684"/>
      <c r="BN13" s="684"/>
      <c r="BO13" s="684"/>
      <c r="BP13" s="684"/>
      <c r="BQ13" s="684"/>
      <c r="BR13" s="684"/>
      <c r="BS13" s="684"/>
      <c r="BT13" s="684"/>
      <c r="BU13" s="684"/>
      <c r="BV13" s="684"/>
      <c r="BW13" s="684"/>
      <c r="BX13" s="684"/>
      <c r="BY13" s="684"/>
      <c r="BZ13" s="684"/>
      <c r="CA13" s="337"/>
    </row>
    <row r="14" spans="2:79" ht="16.5" customHeight="1">
      <c r="B14" s="34"/>
      <c r="D14" s="44"/>
      <c r="E14" s="336"/>
      <c r="F14" s="345"/>
      <c r="G14" s="347"/>
      <c r="H14" s="682"/>
      <c r="I14" s="682"/>
      <c r="J14" s="682"/>
      <c r="K14" s="682"/>
      <c r="L14" s="682"/>
      <c r="M14" s="682"/>
      <c r="N14" s="682"/>
      <c r="O14" s="682"/>
      <c r="P14" s="682"/>
      <c r="Q14" s="682"/>
      <c r="R14" s="682"/>
      <c r="S14" s="682"/>
      <c r="T14" s="347"/>
      <c r="U14" s="345"/>
      <c r="V14" s="337"/>
      <c r="W14" s="336"/>
      <c r="X14" s="345"/>
      <c r="Y14" s="347"/>
      <c r="Z14" s="682"/>
      <c r="AA14" s="682"/>
      <c r="AB14" s="682"/>
      <c r="AC14" s="682"/>
      <c r="AD14" s="682"/>
      <c r="AE14" s="682"/>
      <c r="AF14" s="682"/>
      <c r="AG14" s="682"/>
      <c r="AH14" s="682"/>
      <c r="AI14" s="682"/>
      <c r="AJ14" s="682"/>
      <c r="AK14" s="682"/>
      <c r="AL14" s="347"/>
      <c r="AM14" s="345"/>
      <c r="AN14" s="337"/>
      <c r="AO14" s="336"/>
      <c r="AP14" s="345"/>
      <c r="AQ14" s="347"/>
      <c r="AR14" s="682"/>
      <c r="AS14" s="682"/>
      <c r="AT14" s="682"/>
      <c r="AU14" s="682"/>
      <c r="AV14" s="682"/>
      <c r="AW14" s="682"/>
      <c r="AX14" s="682"/>
      <c r="AY14" s="682"/>
      <c r="AZ14" s="682"/>
      <c r="BA14" s="682"/>
      <c r="BB14" s="682"/>
      <c r="BC14" s="682"/>
      <c r="BD14" s="347"/>
      <c r="BE14" s="345"/>
      <c r="BF14" s="337"/>
      <c r="BG14" s="37"/>
      <c r="BJ14" s="336"/>
      <c r="BK14" s="684"/>
      <c r="BL14" s="684"/>
      <c r="BM14" s="684"/>
      <c r="BN14" s="684"/>
      <c r="BO14" s="684"/>
      <c r="BP14" s="684"/>
      <c r="BQ14" s="684"/>
      <c r="BR14" s="684"/>
      <c r="BS14" s="684"/>
      <c r="BT14" s="684"/>
      <c r="BU14" s="684"/>
      <c r="BV14" s="684"/>
      <c r="BW14" s="684"/>
      <c r="BX14" s="684"/>
      <c r="BY14" s="684"/>
      <c r="BZ14" s="684"/>
      <c r="CA14" s="337"/>
    </row>
    <row r="15" spans="2:79" ht="16.5" customHeight="1">
      <c r="B15" s="34"/>
      <c r="D15" s="45"/>
      <c r="E15" s="338"/>
      <c r="F15" s="681"/>
      <c r="G15" s="681"/>
      <c r="H15" s="681"/>
      <c r="I15" s="681"/>
      <c r="J15" s="681"/>
      <c r="K15" s="681"/>
      <c r="L15" s="683" t="s">
        <v>459</v>
      </c>
      <c r="M15" s="681"/>
      <c r="N15" s="681"/>
      <c r="O15" s="681"/>
      <c r="P15" s="681"/>
      <c r="Q15" s="681"/>
      <c r="R15" s="681"/>
      <c r="S15" s="681"/>
      <c r="T15" s="681"/>
      <c r="U15" s="681"/>
      <c r="V15" s="339"/>
      <c r="W15" s="338"/>
      <c r="X15" s="681"/>
      <c r="Y15" s="681"/>
      <c r="Z15" s="681"/>
      <c r="AA15" s="681"/>
      <c r="AB15" s="681"/>
      <c r="AC15" s="681"/>
      <c r="AD15" s="683" t="s">
        <v>46</v>
      </c>
      <c r="AE15" s="681"/>
      <c r="AF15" s="681"/>
      <c r="AG15" s="681"/>
      <c r="AH15" s="681"/>
      <c r="AI15" s="681"/>
      <c r="AJ15" s="681"/>
      <c r="AK15" s="681"/>
      <c r="AL15" s="681"/>
      <c r="AM15" s="681"/>
      <c r="AN15" s="339"/>
      <c r="AO15" s="338"/>
      <c r="AP15" s="681"/>
      <c r="AQ15" s="681"/>
      <c r="AR15" s="681"/>
      <c r="AS15" s="681"/>
      <c r="AT15" s="681"/>
      <c r="AU15" s="681"/>
      <c r="AV15" s="683" t="s">
        <v>459</v>
      </c>
      <c r="AW15" s="681"/>
      <c r="AX15" s="681"/>
      <c r="AY15" s="681"/>
      <c r="AZ15" s="681"/>
      <c r="BA15" s="681"/>
      <c r="BB15" s="681"/>
      <c r="BC15" s="681"/>
      <c r="BD15" s="681"/>
      <c r="BE15" s="681"/>
      <c r="BF15" s="339"/>
      <c r="BG15" s="38"/>
      <c r="BJ15" s="338"/>
      <c r="BK15" s="681"/>
      <c r="BL15" s="681"/>
      <c r="BM15" s="681"/>
      <c r="BN15" s="681"/>
      <c r="BO15" s="681"/>
      <c r="BP15" s="681"/>
      <c r="BQ15" s="683">
        <v>0.95</v>
      </c>
      <c r="BR15" s="681"/>
      <c r="BS15" s="681"/>
      <c r="BT15" s="681"/>
      <c r="BU15" s="681"/>
      <c r="BV15" s="681"/>
      <c r="BW15" s="681"/>
      <c r="BX15" s="681"/>
      <c r="BY15" s="681"/>
      <c r="BZ15" s="681"/>
      <c r="CA15" s="339"/>
    </row>
    <row r="16" spans="2:79" ht="16.5" customHeight="1">
      <c r="B16" s="34"/>
      <c r="D16" s="45"/>
      <c r="E16" s="338"/>
      <c r="F16" s="346"/>
      <c r="G16" s="346"/>
      <c r="H16" s="346"/>
      <c r="I16" s="346"/>
      <c r="J16" s="346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6"/>
      <c r="V16" s="339"/>
      <c r="W16" s="338"/>
      <c r="X16" s="346"/>
      <c r="Y16" s="346"/>
      <c r="Z16" s="346"/>
      <c r="AA16" s="346"/>
      <c r="AB16" s="346"/>
      <c r="AC16" s="346"/>
      <c r="AD16" s="346"/>
      <c r="AE16" s="346"/>
      <c r="AF16" s="346"/>
      <c r="AG16" s="346"/>
      <c r="AH16" s="346"/>
      <c r="AI16" s="346"/>
      <c r="AJ16" s="346"/>
      <c r="AK16" s="346"/>
      <c r="AL16" s="346"/>
      <c r="AM16" s="346"/>
      <c r="AN16" s="339"/>
      <c r="AO16" s="338"/>
      <c r="AP16" s="346"/>
      <c r="AQ16" s="346"/>
      <c r="AR16" s="346"/>
      <c r="AS16" s="346"/>
      <c r="AT16" s="346"/>
      <c r="AU16" s="346"/>
      <c r="AV16" s="346"/>
      <c r="AW16" s="346"/>
      <c r="AX16" s="346"/>
      <c r="AY16" s="346"/>
      <c r="AZ16" s="346"/>
      <c r="BA16" s="346"/>
      <c r="BB16" s="346"/>
      <c r="BC16" s="346"/>
      <c r="BD16" s="346"/>
      <c r="BE16" s="346"/>
      <c r="BF16" s="339"/>
      <c r="BG16" s="38"/>
      <c r="BJ16" s="338"/>
      <c r="BK16" s="343"/>
      <c r="BL16" s="343"/>
      <c r="BM16" s="343"/>
      <c r="BN16" s="343"/>
      <c r="BO16" s="343"/>
      <c r="BP16" s="343"/>
      <c r="BQ16" s="343"/>
      <c r="BR16" s="343"/>
      <c r="BS16" s="343"/>
      <c r="BT16" s="343"/>
      <c r="BU16" s="343"/>
      <c r="BV16" s="343"/>
      <c r="BW16" s="343"/>
      <c r="BX16" s="343"/>
      <c r="BY16" s="343"/>
      <c r="BZ16" s="343"/>
      <c r="CA16" s="339"/>
    </row>
    <row r="17" spans="2:79" s="34" customFormat="1" ht="16.5" customHeight="1">
      <c r="D17" s="46"/>
      <c r="E17" s="340"/>
      <c r="F17" s="344"/>
      <c r="G17" s="344"/>
      <c r="H17" s="344"/>
      <c r="I17" s="344"/>
      <c r="J17" s="344"/>
      <c r="K17" s="344"/>
      <c r="L17" s="344"/>
      <c r="M17" s="344"/>
      <c r="N17" s="344"/>
      <c r="O17" s="344"/>
      <c r="P17" s="344"/>
      <c r="Q17" s="344"/>
      <c r="R17" s="344"/>
      <c r="S17" s="344"/>
      <c r="T17" s="344"/>
      <c r="U17" s="344"/>
      <c r="V17" s="341"/>
      <c r="W17" s="340"/>
      <c r="X17" s="344"/>
      <c r="Y17" s="344"/>
      <c r="Z17" s="344"/>
      <c r="AA17" s="344"/>
      <c r="AB17" s="344"/>
      <c r="AC17" s="344"/>
      <c r="AD17" s="344"/>
      <c r="AE17" s="344"/>
      <c r="AF17" s="344"/>
      <c r="AG17" s="344"/>
      <c r="AH17" s="344"/>
      <c r="AI17" s="344"/>
      <c r="AJ17" s="344"/>
      <c r="AK17" s="344"/>
      <c r="AL17" s="344"/>
      <c r="AM17" s="344"/>
      <c r="AN17" s="341"/>
      <c r="AO17" s="340"/>
      <c r="AP17" s="344"/>
      <c r="AQ17" s="344"/>
      <c r="AR17" s="344"/>
      <c r="AS17" s="344"/>
      <c r="AT17" s="344"/>
      <c r="AU17" s="344"/>
      <c r="AV17" s="344"/>
      <c r="AW17" s="344"/>
      <c r="AX17" s="344"/>
      <c r="AY17" s="344"/>
      <c r="AZ17" s="344"/>
      <c r="BA17" s="344"/>
      <c r="BB17" s="344"/>
      <c r="BC17" s="344"/>
      <c r="BD17" s="344"/>
      <c r="BE17" s="344"/>
      <c r="BF17" s="341"/>
      <c r="BG17" s="42"/>
      <c r="BJ17" s="340"/>
      <c r="BK17" s="344"/>
      <c r="BL17" s="344"/>
      <c r="BM17" s="344"/>
      <c r="BN17" s="344"/>
      <c r="BO17" s="344"/>
      <c r="BP17" s="344"/>
      <c r="BQ17" s="344"/>
      <c r="BR17" s="344"/>
      <c r="BS17" s="344"/>
      <c r="BT17" s="344"/>
      <c r="BU17" s="344"/>
      <c r="BV17" s="344"/>
      <c r="BW17" s="344"/>
      <c r="BX17" s="344"/>
      <c r="BY17" s="344"/>
      <c r="BZ17" s="344"/>
      <c r="CA17" s="341"/>
    </row>
    <row r="18" spans="2:79" ht="16.5" customHeight="1">
      <c r="B18" s="34"/>
      <c r="D18" s="43"/>
      <c r="E18" s="333"/>
      <c r="F18" s="334"/>
      <c r="G18" s="334"/>
      <c r="H18" s="334"/>
      <c r="I18" s="334"/>
      <c r="J18" s="334"/>
      <c r="K18" s="334"/>
      <c r="L18" s="334"/>
      <c r="M18" s="334"/>
      <c r="N18" s="334"/>
      <c r="O18" s="334"/>
      <c r="P18" s="334"/>
      <c r="Q18" s="334"/>
      <c r="R18" s="334"/>
      <c r="S18" s="334"/>
      <c r="T18" s="334"/>
      <c r="U18" s="334"/>
      <c r="V18" s="335"/>
      <c r="W18" s="333"/>
      <c r="X18" s="334"/>
      <c r="Y18" s="334"/>
      <c r="Z18" s="334"/>
      <c r="AA18" s="334"/>
      <c r="AB18" s="334"/>
      <c r="AC18" s="334"/>
      <c r="AD18" s="334"/>
      <c r="AE18" s="334"/>
      <c r="AF18" s="334"/>
      <c r="AG18" s="334"/>
      <c r="AH18" s="334"/>
      <c r="AI18" s="334"/>
      <c r="AJ18" s="334"/>
      <c r="AK18" s="334"/>
      <c r="AL18" s="334"/>
      <c r="AM18" s="334"/>
      <c r="AN18" s="335"/>
      <c r="AO18" s="333"/>
      <c r="AP18" s="334"/>
      <c r="AQ18" s="334"/>
      <c r="AR18" s="334"/>
      <c r="AS18" s="334"/>
      <c r="AT18" s="334"/>
      <c r="AU18" s="334"/>
      <c r="AV18" s="334"/>
      <c r="AW18" s="334"/>
      <c r="AX18" s="334"/>
      <c r="AY18" s="334"/>
      <c r="AZ18" s="334"/>
      <c r="BA18" s="334"/>
      <c r="BB18" s="334"/>
      <c r="BC18" s="334"/>
      <c r="BD18" s="334"/>
      <c r="BE18" s="334"/>
      <c r="BF18" s="335"/>
      <c r="BG18" s="41"/>
      <c r="BJ18" s="333"/>
      <c r="BK18" s="334"/>
      <c r="BL18" s="334"/>
      <c r="BM18" s="334"/>
      <c r="BN18" s="334"/>
      <c r="BO18" s="334"/>
      <c r="BP18" s="334"/>
      <c r="BQ18" s="334"/>
      <c r="BR18" s="334"/>
      <c r="BS18" s="334"/>
      <c r="BT18" s="334"/>
      <c r="BU18" s="334"/>
      <c r="BV18" s="334"/>
      <c r="BW18" s="334"/>
      <c r="BX18" s="334"/>
      <c r="BY18" s="334"/>
      <c r="BZ18" s="334"/>
      <c r="CA18" s="335"/>
    </row>
    <row r="19" spans="2:79" s="34" customFormat="1" ht="16.5" customHeight="1">
      <c r="D19" s="685"/>
      <c r="E19" s="336"/>
      <c r="F19" s="345"/>
      <c r="G19" s="347"/>
      <c r="H19" s="347"/>
      <c r="I19" s="347"/>
      <c r="J19" s="347"/>
      <c r="K19" s="347"/>
      <c r="L19" s="347"/>
      <c r="M19" s="347"/>
      <c r="N19" s="347"/>
      <c r="O19" s="347"/>
      <c r="P19" s="347"/>
      <c r="Q19" s="347"/>
      <c r="R19" s="347"/>
      <c r="S19" s="347"/>
      <c r="T19" s="347"/>
      <c r="U19" s="345"/>
      <c r="V19" s="337"/>
      <c r="W19" s="336"/>
      <c r="X19" s="345"/>
      <c r="Y19" s="347"/>
      <c r="Z19" s="347"/>
      <c r="AA19" s="347"/>
      <c r="AB19" s="347"/>
      <c r="AC19" s="347"/>
      <c r="AD19" s="347"/>
      <c r="AE19" s="347"/>
      <c r="AF19" s="347"/>
      <c r="AG19" s="347"/>
      <c r="AH19" s="347"/>
      <c r="AI19" s="347"/>
      <c r="AJ19" s="347"/>
      <c r="AK19" s="347"/>
      <c r="AL19" s="347"/>
      <c r="AM19" s="345"/>
      <c r="AN19" s="337"/>
      <c r="AO19" s="336"/>
      <c r="AP19" s="345"/>
      <c r="AQ19" s="347"/>
      <c r="AR19" s="347"/>
      <c r="AS19" s="347"/>
      <c r="AT19" s="347"/>
      <c r="AU19" s="347"/>
      <c r="AV19" s="347"/>
      <c r="AW19" s="347"/>
      <c r="AX19" s="347"/>
      <c r="AY19" s="347"/>
      <c r="AZ19" s="347"/>
      <c r="BA19" s="347"/>
      <c r="BB19" s="347"/>
      <c r="BC19" s="347"/>
      <c r="BD19" s="347"/>
      <c r="BE19" s="345"/>
      <c r="BF19" s="337"/>
      <c r="BG19" s="37"/>
      <c r="BJ19" s="336"/>
      <c r="BK19" s="684" t="s">
        <v>404</v>
      </c>
      <c r="BL19" s="684"/>
      <c r="BM19" s="684"/>
      <c r="BN19" s="684"/>
      <c r="BO19" s="684"/>
      <c r="BP19" s="684"/>
      <c r="BQ19" s="684"/>
      <c r="BR19" s="684"/>
      <c r="BS19" s="684"/>
      <c r="BT19" s="684"/>
      <c r="BU19" s="684"/>
      <c r="BV19" s="684"/>
      <c r="BW19" s="684"/>
      <c r="BX19" s="684"/>
      <c r="BY19" s="684"/>
      <c r="BZ19" s="684"/>
      <c r="CA19" s="337"/>
    </row>
    <row r="20" spans="2:79" s="35" customFormat="1" ht="16.5" customHeight="1">
      <c r="B20" s="34"/>
      <c r="D20" s="685"/>
      <c r="E20" s="336"/>
      <c r="F20" s="345"/>
      <c r="G20" s="347"/>
      <c r="H20" s="682" t="s">
        <v>264</v>
      </c>
      <c r="I20" s="682"/>
      <c r="J20" s="682"/>
      <c r="K20" s="682"/>
      <c r="L20" s="682"/>
      <c r="M20" s="682"/>
      <c r="N20" s="682"/>
      <c r="O20" s="682"/>
      <c r="P20" s="682"/>
      <c r="Q20" s="682"/>
      <c r="R20" s="682"/>
      <c r="S20" s="682"/>
      <c r="T20" s="347"/>
      <c r="U20" s="345"/>
      <c r="V20" s="337"/>
      <c r="W20" s="336"/>
      <c r="X20" s="345"/>
      <c r="Y20" s="347"/>
      <c r="Z20" s="682" t="s">
        <v>419</v>
      </c>
      <c r="AA20" s="682"/>
      <c r="AB20" s="682"/>
      <c r="AC20" s="682"/>
      <c r="AD20" s="682"/>
      <c r="AE20" s="682"/>
      <c r="AF20" s="682"/>
      <c r="AG20" s="682"/>
      <c r="AH20" s="682"/>
      <c r="AI20" s="682"/>
      <c r="AJ20" s="682"/>
      <c r="AK20" s="682"/>
      <c r="AL20" s="347"/>
      <c r="AM20" s="345"/>
      <c r="AN20" s="337"/>
      <c r="AO20" s="336"/>
      <c r="AP20" s="345"/>
      <c r="AQ20" s="347"/>
      <c r="AR20" s="682" t="s">
        <v>414</v>
      </c>
      <c r="AS20" s="682"/>
      <c r="AT20" s="682"/>
      <c r="AU20" s="682"/>
      <c r="AV20" s="682"/>
      <c r="AW20" s="682"/>
      <c r="AX20" s="682"/>
      <c r="AY20" s="682"/>
      <c r="AZ20" s="682"/>
      <c r="BA20" s="682"/>
      <c r="BB20" s="682"/>
      <c r="BC20" s="682"/>
      <c r="BD20" s="347"/>
      <c r="BE20" s="345"/>
      <c r="BF20" s="337"/>
      <c r="BG20" s="37"/>
      <c r="BJ20" s="336"/>
      <c r="BK20" s="684"/>
      <c r="BL20" s="684"/>
      <c r="BM20" s="684"/>
      <c r="BN20" s="684"/>
      <c r="BO20" s="684"/>
      <c r="BP20" s="684"/>
      <c r="BQ20" s="684"/>
      <c r="BR20" s="684"/>
      <c r="BS20" s="684"/>
      <c r="BT20" s="684"/>
      <c r="BU20" s="684"/>
      <c r="BV20" s="684"/>
      <c r="BW20" s="684"/>
      <c r="BX20" s="684"/>
      <c r="BY20" s="684"/>
      <c r="BZ20" s="684"/>
      <c r="CA20" s="337"/>
    </row>
    <row r="21" spans="2:79" s="35" customFormat="1" ht="16.5" customHeight="1">
      <c r="B21" s="34"/>
      <c r="D21" s="329"/>
      <c r="E21" s="336"/>
      <c r="F21" s="345"/>
      <c r="G21" s="347"/>
      <c r="H21" s="682"/>
      <c r="I21" s="682"/>
      <c r="J21" s="682"/>
      <c r="K21" s="682"/>
      <c r="L21" s="682"/>
      <c r="M21" s="682"/>
      <c r="N21" s="682"/>
      <c r="O21" s="682"/>
      <c r="P21" s="682"/>
      <c r="Q21" s="682"/>
      <c r="R21" s="682"/>
      <c r="S21" s="682"/>
      <c r="T21" s="347"/>
      <c r="U21" s="345"/>
      <c r="V21" s="337"/>
      <c r="W21" s="336"/>
      <c r="X21" s="345"/>
      <c r="Y21" s="347"/>
      <c r="Z21" s="682"/>
      <c r="AA21" s="682"/>
      <c r="AB21" s="682"/>
      <c r="AC21" s="682"/>
      <c r="AD21" s="682"/>
      <c r="AE21" s="682"/>
      <c r="AF21" s="682"/>
      <c r="AG21" s="682"/>
      <c r="AH21" s="682"/>
      <c r="AI21" s="682"/>
      <c r="AJ21" s="682"/>
      <c r="AK21" s="682"/>
      <c r="AL21" s="347"/>
      <c r="AM21" s="345"/>
      <c r="AN21" s="337"/>
      <c r="AO21" s="336"/>
      <c r="AP21" s="345"/>
      <c r="AQ21" s="347"/>
      <c r="AR21" s="682"/>
      <c r="AS21" s="682"/>
      <c r="AT21" s="682"/>
      <c r="AU21" s="682"/>
      <c r="AV21" s="682"/>
      <c r="AW21" s="682"/>
      <c r="AX21" s="682"/>
      <c r="AY21" s="682"/>
      <c r="AZ21" s="682"/>
      <c r="BA21" s="682"/>
      <c r="BB21" s="682"/>
      <c r="BC21" s="682"/>
      <c r="BD21" s="347"/>
      <c r="BE21" s="345"/>
      <c r="BF21" s="337"/>
      <c r="BG21" s="37"/>
      <c r="BJ21" s="336"/>
      <c r="BK21" s="684"/>
      <c r="BL21" s="684"/>
      <c r="BM21" s="684"/>
      <c r="BN21" s="684"/>
      <c r="BO21" s="684"/>
      <c r="BP21" s="684"/>
      <c r="BQ21" s="684"/>
      <c r="BR21" s="684"/>
      <c r="BS21" s="684"/>
      <c r="BT21" s="684"/>
      <c r="BU21" s="684"/>
      <c r="BV21" s="684"/>
      <c r="BW21" s="684"/>
      <c r="BX21" s="684"/>
      <c r="BY21" s="684"/>
      <c r="BZ21" s="684"/>
      <c r="CA21" s="337"/>
    </row>
    <row r="22" spans="2:79" ht="16.5" customHeight="1">
      <c r="B22" s="34"/>
      <c r="D22" s="329"/>
      <c r="E22" s="336"/>
      <c r="F22" s="345"/>
      <c r="G22" s="347"/>
      <c r="H22" s="682"/>
      <c r="I22" s="682"/>
      <c r="J22" s="682"/>
      <c r="K22" s="682"/>
      <c r="L22" s="682"/>
      <c r="M22" s="682"/>
      <c r="N22" s="682"/>
      <c r="O22" s="682"/>
      <c r="P22" s="682"/>
      <c r="Q22" s="682"/>
      <c r="R22" s="682"/>
      <c r="S22" s="682"/>
      <c r="T22" s="347"/>
      <c r="U22" s="345"/>
      <c r="V22" s="337"/>
      <c r="W22" s="336"/>
      <c r="X22" s="345"/>
      <c r="Y22" s="347"/>
      <c r="Z22" s="682"/>
      <c r="AA22" s="682"/>
      <c r="AB22" s="682"/>
      <c r="AC22" s="682"/>
      <c r="AD22" s="682"/>
      <c r="AE22" s="682"/>
      <c r="AF22" s="682"/>
      <c r="AG22" s="682"/>
      <c r="AH22" s="682"/>
      <c r="AI22" s="682"/>
      <c r="AJ22" s="682"/>
      <c r="AK22" s="682"/>
      <c r="AL22" s="347"/>
      <c r="AM22" s="345"/>
      <c r="AN22" s="337"/>
      <c r="AO22" s="336"/>
      <c r="AP22" s="345"/>
      <c r="AQ22" s="347"/>
      <c r="AR22" s="682"/>
      <c r="AS22" s="682"/>
      <c r="AT22" s="682"/>
      <c r="AU22" s="682"/>
      <c r="AV22" s="682"/>
      <c r="AW22" s="682"/>
      <c r="AX22" s="682"/>
      <c r="AY22" s="682"/>
      <c r="AZ22" s="682"/>
      <c r="BA22" s="682"/>
      <c r="BB22" s="682"/>
      <c r="BC22" s="682"/>
      <c r="BD22" s="347"/>
      <c r="BE22" s="345"/>
      <c r="BF22" s="337"/>
      <c r="BG22" s="37"/>
      <c r="BJ22" s="336"/>
      <c r="BK22" s="684"/>
      <c r="BL22" s="684"/>
      <c r="BM22" s="684"/>
      <c r="BN22" s="684"/>
      <c r="BO22" s="684"/>
      <c r="BP22" s="684"/>
      <c r="BQ22" s="684"/>
      <c r="BR22" s="684"/>
      <c r="BS22" s="684"/>
      <c r="BT22" s="684"/>
      <c r="BU22" s="684"/>
      <c r="BV22" s="684"/>
      <c r="BW22" s="684"/>
      <c r="BX22" s="684"/>
      <c r="BY22" s="684"/>
      <c r="BZ22" s="684"/>
      <c r="CA22" s="337"/>
    </row>
    <row r="23" spans="2:79" ht="16.5" customHeight="1">
      <c r="B23" s="34"/>
      <c r="D23" s="45"/>
      <c r="E23" s="338"/>
      <c r="F23" s="681"/>
      <c r="G23" s="681"/>
      <c r="H23" s="681"/>
      <c r="I23" s="681"/>
      <c r="J23" s="681"/>
      <c r="K23" s="681"/>
      <c r="L23" s="683" t="s">
        <v>460</v>
      </c>
      <c r="M23" s="681"/>
      <c r="N23" s="681"/>
      <c r="O23" s="681"/>
      <c r="P23" s="681"/>
      <c r="Q23" s="681"/>
      <c r="R23" s="681"/>
      <c r="S23" s="681"/>
      <c r="T23" s="681"/>
      <c r="U23" s="681"/>
      <c r="V23" s="339"/>
      <c r="W23" s="338"/>
      <c r="X23" s="681"/>
      <c r="Y23" s="681"/>
      <c r="Z23" s="681"/>
      <c r="AA23" s="681"/>
      <c r="AB23" s="681"/>
      <c r="AC23" s="681"/>
      <c r="AD23" s="683" t="s">
        <v>454</v>
      </c>
      <c r="AE23" s="681"/>
      <c r="AF23" s="681"/>
      <c r="AG23" s="681"/>
      <c r="AH23" s="681"/>
      <c r="AI23" s="681"/>
      <c r="AJ23" s="681"/>
      <c r="AK23" s="681"/>
      <c r="AL23" s="681"/>
      <c r="AM23" s="681"/>
      <c r="AN23" s="339"/>
      <c r="AO23" s="338"/>
      <c r="AP23" s="681"/>
      <c r="AQ23" s="681"/>
      <c r="AR23" s="681"/>
      <c r="AS23" s="681"/>
      <c r="AT23" s="681"/>
      <c r="AU23" s="681"/>
      <c r="AV23" s="683" t="s">
        <v>43</v>
      </c>
      <c r="AW23" s="681"/>
      <c r="AX23" s="681"/>
      <c r="AY23" s="681"/>
      <c r="AZ23" s="681"/>
      <c r="BA23" s="681"/>
      <c r="BB23" s="681"/>
      <c r="BC23" s="681"/>
      <c r="BD23" s="681"/>
      <c r="BE23" s="681"/>
      <c r="BF23" s="339"/>
      <c r="BG23" s="38"/>
      <c r="BJ23" s="338"/>
      <c r="BK23" s="681"/>
      <c r="BL23" s="681"/>
      <c r="BM23" s="681"/>
      <c r="BN23" s="681"/>
      <c r="BO23" s="681"/>
      <c r="BP23" s="681"/>
      <c r="BQ23" s="683">
        <v>0.95</v>
      </c>
      <c r="BR23" s="681"/>
      <c r="BS23" s="681"/>
      <c r="BT23" s="681"/>
      <c r="BU23" s="681"/>
      <c r="BV23" s="681"/>
      <c r="BW23" s="681"/>
      <c r="BX23" s="681"/>
      <c r="BY23" s="681"/>
      <c r="BZ23" s="681"/>
      <c r="CA23" s="339"/>
    </row>
    <row r="24" spans="2:79" ht="16.5" customHeight="1">
      <c r="B24" s="34"/>
      <c r="D24" s="45"/>
      <c r="E24" s="338"/>
      <c r="F24" s="346"/>
      <c r="G24" s="346"/>
      <c r="H24" s="346"/>
      <c r="I24" s="346"/>
      <c r="J24" s="346"/>
      <c r="K24" s="346"/>
      <c r="L24" s="346"/>
      <c r="M24" s="346"/>
      <c r="N24" s="346"/>
      <c r="O24" s="346"/>
      <c r="P24" s="346"/>
      <c r="Q24" s="346"/>
      <c r="R24" s="346"/>
      <c r="S24" s="346"/>
      <c r="T24" s="346"/>
      <c r="U24" s="346"/>
      <c r="V24" s="339"/>
      <c r="W24" s="338"/>
      <c r="X24" s="346"/>
      <c r="Y24" s="346"/>
      <c r="Z24" s="346"/>
      <c r="AA24" s="346"/>
      <c r="AB24" s="346"/>
      <c r="AC24" s="346"/>
      <c r="AD24" s="346"/>
      <c r="AE24" s="346"/>
      <c r="AF24" s="346"/>
      <c r="AG24" s="346"/>
      <c r="AH24" s="346"/>
      <c r="AI24" s="346"/>
      <c r="AJ24" s="346"/>
      <c r="AK24" s="346"/>
      <c r="AL24" s="346"/>
      <c r="AM24" s="346"/>
      <c r="AN24" s="339"/>
      <c r="AO24" s="338"/>
      <c r="AP24" s="346"/>
      <c r="AQ24" s="346"/>
      <c r="AR24" s="346"/>
      <c r="AS24" s="346"/>
      <c r="AT24" s="346"/>
      <c r="AU24" s="346"/>
      <c r="AV24" s="346"/>
      <c r="AW24" s="346"/>
      <c r="AX24" s="346"/>
      <c r="AY24" s="346"/>
      <c r="AZ24" s="346"/>
      <c r="BA24" s="346"/>
      <c r="BB24" s="346"/>
      <c r="BC24" s="346"/>
      <c r="BD24" s="346"/>
      <c r="BE24" s="346"/>
      <c r="BF24" s="339"/>
      <c r="BG24" s="38"/>
      <c r="BJ24" s="338"/>
      <c r="BK24" s="343"/>
      <c r="BL24" s="343"/>
      <c r="BM24" s="343"/>
      <c r="BN24" s="343"/>
      <c r="BO24" s="343"/>
      <c r="BP24" s="343"/>
      <c r="BQ24" s="343"/>
      <c r="BR24" s="343"/>
      <c r="BS24" s="343"/>
      <c r="BT24" s="343"/>
      <c r="BU24" s="343"/>
      <c r="BV24" s="343"/>
      <c r="BW24" s="343"/>
      <c r="BX24" s="343"/>
      <c r="BY24" s="343"/>
      <c r="BZ24" s="343"/>
      <c r="CA24" s="339"/>
    </row>
    <row r="25" spans="2:79" s="34" customFormat="1" ht="16.5" customHeight="1">
      <c r="D25" s="46"/>
      <c r="E25" s="340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4"/>
      <c r="R25" s="344"/>
      <c r="S25" s="344"/>
      <c r="T25" s="344"/>
      <c r="U25" s="344"/>
      <c r="V25" s="341"/>
      <c r="W25" s="340"/>
      <c r="X25" s="344"/>
      <c r="Y25" s="344"/>
      <c r="Z25" s="344"/>
      <c r="AA25" s="344"/>
      <c r="AB25" s="344"/>
      <c r="AC25" s="344"/>
      <c r="AD25" s="344"/>
      <c r="AE25" s="344"/>
      <c r="AF25" s="344"/>
      <c r="AG25" s="344"/>
      <c r="AH25" s="344"/>
      <c r="AI25" s="344"/>
      <c r="AJ25" s="344"/>
      <c r="AK25" s="344"/>
      <c r="AL25" s="344"/>
      <c r="AM25" s="344"/>
      <c r="AN25" s="341"/>
      <c r="AO25" s="340"/>
      <c r="AP25" s="344"/>
      <c r="AQ25" s="344"/>
      <c r="AR25" s="344"/>
      <c r="AS25" s="344"/>
      <c r="AT25" s="344"/>
      <c r="AU25" s="344"/>
      <c r="AV25" s="344"/>
      <c r="AW25" s="344"/>
      <c r="AX25" s="344"/>
      <c r="AY25" s="344"/>
      <c r="AZ25" s="344"/>
      <c r="BA25" s="344"/>
      <c r="BB25" s="344"/>
      <c r="BC25" s="344"/>
      <c r="BD25" s="344"/>
      <c r="BE25" s="344"/>
      <c r="BF25" s="341"/>
      <c r="BG25" s="42"/>
      <c r="BJ25" s="340"/>
      <c r="BK25" s="344"/>
      <c r="BL25" s="344"/>
      <c r="BM25" s="344"/>
      <c r="BN25" s="344"/>
      <c r="BO25" s="344"/>
      <c r="BP25" s="344"/>
      <c r="BQ25" s="344"/>
      <c r="BR25" s="344"/>
      <c r="BS25" s="344"/>
      <c r="BT25" s="344"/>
      <c r="BU25" s="344"/>
      <c r="BV25" s="344"/>
      <c r="BW25" s="344"/>
      <c r="BX25" s="344"/>
      <c r="BY25" s="344"/>
      <c r="BZ25" s="344"/>
      <c r="CA25" s="341"/>
    </row>
    <row r="26" spans="2:79" ht="16.5" customHeight="1">
      <c r="B26" s="34"/>
      <c r="D26" s="43"/>
      <c r="E26" s="333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4"/>
      <c r="R26" s="334"/>
      <c r="S26" s="334"/>
      <c r="T26" s="334"/>
      <c r="U26" s="334"/>
      <c r="V26" s="335"/>
      <c r="W26" s="333"/>
      <c r="X26" s="334"/>
      <c r="Y26" s="334"/>
      <c r="Z26" s="334"/>
      <c r="AA26" s="334"/>
      <c r="AB26" s="334"/>
      <c r="AC26" s="334"/>
      <c r="AD26" s="334"/>
      <c r="AE26" s="334"/>
      <c r="AF26" s="334"/>
      <c r="AG26" s="334"/>
      <c r="AH26" s="334"/>
      <c r="AI26" s="334"/>
      <c r="AJ26" s="334"/>
      <c r="AK26" s="334"/>
      <c r="AL26" s="334"/>
      <c r="AM26" s="334"/>
      <c r="AN26" s="335"/>
      <c r="AO26" s="333"/>
      <c r="AP26" s="334"/>
      <c r="AQ26" s="334"/>
      <c r="AR26" s="334"/>
      <c r="AS26" s="334"/>
      <c r="AT26" s="334"/>
      <c r="AU26" s="334"/>
      <c r="AV26" s="334"/>
      <c r="AW26" s="334"/>
      <c r="AX26" s="334"/>
      <c r="AY26" s="334"/>
      <c r="AZ26" s="334"/>
      <c r="BA26" s="334"/>
      <c r="BB26" s="334"/>
      <c r="BC26" s="334"/>
      <c r="BD26" s="334"/>
      <c r="BE26" s="334"/>
      <c r="BF26" s="335"/>
      <c r="BG26" s="41"/>
      <c r="BJ26" s="333"/>
      <c r="BK26" s="334"/>
      <c r="BL26" s="334"/>
      <c r="BM26" s="334"/>
      <c r="BN26" s="334"/>
      <c r="BO26" s="334"/>
      <c r="BP26" s="334"/>
      <c r="BQ26" s="334"/>
      <c r="BR26" s="334"/>
      <c r="BS26" s="334"/>
      <c r="BT26" s="334"/>
      <c r="BU26" s="334"/>
      <c r="BV26" s="334"/>
      <c r="BW26" s="334"/>
      <c r="BX26" s="334"/>
      <c r="BY26" s="334"/>
      <c r="BZ26" s="334"/>
      <c r="CA26" s="335"/>
    </row>
    <row r="27" spans="2:79" s="34" customFormat="1" ht="16.5" customHeight="1">
      <c r="D27" s="685"/>
      <c r="E27" s="336"/>
      <c r="F27" s="345"/>
      <c r="G27" s="347"/>
      <c r="H27" s="347"/>
      <c r="I27" s="347"/>
      <c r="J27" s="347"/>
      <c r="K27" s="347"/>
      <c r="L27" s="347"/>
      <c r="M27" s="347"/>
      <c r="N27" s="347"/>
      <c r="O27" s="347"/>
      <c r="P27" s="347"/>
      <c r="Q27" s="347"/>
      <c r="R27" s="347"/>
      <c r="S27" s="347"/>
      <c r="T27" s="347"/>
      <c r="U27" s="345"/>
      <c r="V27" s="337"/>
      <c r="W27" s="336"/>
      <c r="X27" s="345"/>
      <c r="Y27" s="347"/>
      <c r="Z27" s="347"/>
      <c r="AA27" s="347"/>
      <c r="AB27" s="347"/>
      <c r="AC27" s="347"/>
      <c r="AD27" s="347"/>
      <c r="AE27" s="347"/>
      <c r="AF27" s="347"/>
      <c r="AG27" s="347"/>
      <c r="AH27" s="347"/>
      <c r="AI27" s="347"/>
      <c r="AJ27" s="347"/>
      <c r="AK27" s="347"/>
      <c r="AL27" s="347"/>
      <c r="AM27" s="345"/>
      <c r="AN27" s="337"/>
      <c r="AO27" s="336"/>
      <c r="AP27" s="345"/>
      <c r="AQ27" s="347"/>
      <c r="AR27" s="347"/>
      <c r="AS27" s="347"/>
      <c r="AT27" s="347"/>
      <c r="AU27" s="347"/>
      <c r="AV27" s="347"/>
      <c r="AW27" s="347"/>
      <c r="AX27" s="347"/>
      <c r="AY27" s="347"/>
      <c r="AZ27" s="347"/>
      <c r="BA27" s="347"/>
      <c r="BB27" s="347"/>
      <c r="BC27" s="347"/>
      <c r="BD27" s="347"/>
      <c r="BE27" s="345"/>
      <c r="BF27" s="337"/>
      <c r="BG27" s="37"/>
      <c r="BJ27" s="336"/>
      <c r="BK27" s="684" t="s">
        <v>404</v>
      </c>
      <c r="BL27" s="684"/>
      <c r="BM27" s="684"/>
      <c r="BN27" s="684"/>
      <c r="BO27" s="684"/>
      <c r="BP27" s="684"/>
      <c r="BQ27" s="684"/>
      <c r="BR27" s="684"/>
      <c r="BS27" s="684"/>
      <c r="BT27" s="684"/>
      <c r="BU27" s="684"/>
      <c r="BV27" s="684"/>
      <c r="BW27" s="684"/>
      <c r="BX27" s="684"/>
      <c r="BY27" s="684"/>
      <c r="BZ27" s="684"/>
      <c r="CA27" s="337"/>
    </row>
    <row r="28" spans="2:79" s="35" customFormat="1" ht="16.5" customHeight="1">
      <c r="B28" s="34"/>
      <c r="D28" s="685"/>
      <c r="E28" s="336"/>
      <c r="F28" s="345"/>
      <c r="G28" s="347"/>
      <c r="H28" s="682" t="s">
        <v>416</v>
      </c>
      <c r="I28" s="682"/>
      <c r="J28" s="682"/>
      <c r="K28" s="682"/>
      <c r="L28" s="682"/>
      <c r="M28" s="682"/>
      <c r="N28" s="682"/>
      <c r="O28" s="682"/>
      <c r="P28" s="682"/>
      <c r="Q28" s="682"/>
      <c r="R28" s="682"/>
      <c r="S28" s="682"/>
      <c r="T28" s="347"/>
      <c r="U28" s="345"/>
      <c r="V28" s="337"/>
      <c r="W28" s="336"/>
      <c r="X28" s="345"/>
      <c r="Y28" s="347"/>
      <c r="Z28" s="682" t="s">
        <v>423</v>
      </c>
      <c r="AA28" s="682"/>
      <c r="AB28" s="682"/>
      <c r="AC28" s="682"/>
      <c r="AD28" s="682"/>
      <c r="AE28" s="682"/>
      <c r="AF28" s="682"/>
      <c r="AG28" s="682"/>
      <c r="AH28" s="682"/>
      <c r="AI28" s="682"/>
      <c r="AJ28" s="682"/>
      <c r="AK28" s="682"/>
      <c r="AL28" s="347"/>
      <c r="AM28" s="345"/>
      <c r="AN28" s="337"/>
      <c r="AO28" s="336"/>
      <c r="AP28" s="345"/>
      <c r="AQ28" s="347"/>
      <c r="AR28" s="682" t="s">
        <v>420</v>
      </c>
      <c r="AS28" s="682"/>
      <c r="AT28" s="682"/>
      <c r="AU28" s="682"/>
      <c r="AV28" s="682"/>
      <c r="AW28" s="682"/>
      <c r="AX28" s="682"/>
      <c r="AY28" s="682"/>
      <c r="AZ28" s="682"/>
      <c r="BA28" s="682"/>
      <c r="BB28" s="682"/>
      <c r="BC28" s="682"/>
      <c r="BD28" s="347"/>
      <c r="BE28" s="345"/>
      <c r="BF28" s="337"/>
      <c r="BG28" s="37"/>
      <c r="BJ28" s="336"/>
      <c r="BK28" s="684"/>
      <c r="BL28" s="684"/>
      <c r="BM28" s="684"/>
      <c r="BN28" s="684"/>
      <c r="BO28" s="684"/>
      <c r="BP28" s="684"/>
      <c r="BQ28" s="684"/>
      <c r="BR28" s="684"/>
      <c r="BS28" s="684"/>
      <c r="BT28" s="684"/>
      <c r="BU28" s="684"/>
      <c r="BV28" s="684"/>
      <c r="BW28" s="684"/>
      <c r="BX28" s="684"/>
      <c r="BY28" s="684"/>
      <c r="BZ28" s="684"/>
      <c r="CA28" s="337"/>
    </row>
    <row r="29" spans="2:79" s="35" customFormat="1" ht="16.5" customHeight="1">
      <c r="B29" s="34"/>
      <c r="D29" s="329"/>
      <c r="E29" s="336"/>
      <c r="F29" s="345"/>
      <c r="G29" s="347"/>
      <c r="H29" s="682"/>
      <c r="I29" s="682"/>
      <c r="J29" s="682"/>
      <c r="K29" s="682"/>
      <c r="L29" s="682"/>
      <c r="M29" s="682"/>
      <c r="N29" s="682"/>
      <c r="O29" s="682"/>
      <c r="P29" s="682"/>
      <c r="Q29" s="682"/>
      <c r="R29" s="682"/>
      <c r="S29" s="682"/>
      <c r="T29" s="347"/>
      <c r="U29" s="345"/>
      <c r="V29" s="337"/>
      <c r="W29" s="336"/>
      <c r="X29" s="345"/>
      <c r="Y29" s="347"/>
      <c r="Z29" s="682"/>
      <c r="AA29" s="682"/>
      <c r="AB29" s="682"/>
      <c r="AC29" s="682"/>
      <c r="AD29" s="682"/>
      <c r="AE29" s="682"/>
      <c r="AF29" s="682"/>
      <c r="AG29" s="682"/>
      <c r="AH29" s="682"/>
      <c r="AI29" s="682"/>
      <c r="AJ29" s="682"/>
      <c r="AK29" s="682"/>
      <c r="AL29" s="347"/>
      <c r="AM29" s="345"/>
      <c r="AN29" s="337"/>
      <c r="AO29" s="336"/>
      <c r="AP29" s="345"/>
      <c r="AQ29" s="347"/>
      <c r="AR29" s="682"/>
      <c r="AS29" s="682"/>
      <c r="AT29" s="682"/>
      <c r="AU29" s="682"/>
      <c r="AV29" s="682"/>
      <c r="AW29" s="682"/>
      <c r="AX29" s="682"/>
      <c r="AY29" s="682"/>
      <c r="AZ29" s="682"/>
      <c r="BA29" s="682"/>
      <c r="BB29" s="682"/>
      <c r="BC29" s="682"/>
      <c r="BD29" s="347"/>
      <c r="BE29" s="345"/>
      <c r="BF29" s="337"/>
      <c r="BG29" s="37"/>
      <c r="BJ29" s="336"/>
      <c r="BK29" s="684"/>
      <c r="BL29" s="684"/>
      <c r="BM29" s="684"/>
      <c r="BN29" s="684"/>
      <c r="BO29" s="684"/>
      <c r="BP29" s="684"/>
      <c r="BQ29" s="684"/>
      <c r="BR29" s="684"/>
      <c r="BS29" s="684"/>
      <c r="BT29" s="684"/>
      <c r="BU29" s="684"/>
      <c r="BV29" s="684"/>
      <c r="BW29" s="684"/>
      <c r="BX29" s="684"/>
      <c r="BY29" s="684"/>
      <c r="BZ29" s="684"/>
      <c r="CA29" s="337"/>
    </row>
    <row r="30" spans="2:79" ht="16.5" customHeight="1">
      <c r="B30" s="34"/>
      <c r="D30" s="329"/>
      <c r="E30" s="336"/>
      <c r="F30" s="345"/>
      <c r="G30" s="347"/>
      <c r="H30" s="682"/>
      <c r="I30" s="682"/>
      <c r="J30" s="682"/>
      <c r="K30" s="682"/>
      <c r="L30" s="682"/>
      <c r="M30" s="682"/>
      <c r="N30" s="682"/>
      <c r="O30" s="682"/>
      <c r="P30" s="682"/>
      <c r="Q30" s="682"/>
      <c r="R30" s="682"/>
      <c r="S30" s="682"/>
      <c r="T30" s="347"/>
      <c r="U30" s="345"/>
      <c r="V30" s="337"/>
      <c r="W30" s="336"/>
      <c r="X30" s="345"/>
      <c r="Y30" s="347"/>
      <c r="Z30" s="682"/>
      <c r="AA30" s="682"/>
      <c r="AB30" s="682"/>
      <c r="AC30" s="682"/>
      <c r="AD30" s="682"/>
      <c r="AE30" s="682"/>
      <c r="AF30" s="682"/>
      <c r="AG30" s="682"/>
      <c r="AH30" s="682"/>
      <c r="AI30" s="682"/>
      <c r="AJ30" s="682"/>
      <c r="AK30" s="682"/>
      <c r="AL30" s="347"/>
      <c r="AM30" s="345"/>
      <c r="AN30" s="337"/>
      <c r="AO30" s="336"/>
      <c r="AP30" s="345"/>
      <c r="AQ30" s="347"/>
      <c r="AR30" s="682"/>
      <c r="AS30" s="682"/>
      <c r="AT30" s="682"/>
      <c r="AU30" s="682"/>
      <c r="AV30" s="682"/>
      <c r="AW30" s="682"/>
      <c r="AX30" s="682"/>
      <c r="AY30" s="682"/>
      <c r="AZ30" s="682"/>
      <c r="BA30" s="682"/>
      <c r="BB30" s="682"/>
      <c r="BC30" s="682"/>
      <c r="BD30" s="347"/>
      <c r="BE30" s="345"/>
      <c r="BF30" s="337"/>
      <c r="BG30" s="37"/>
      <c r="BJ30" s="336"/>
      <c r="BK30" s="684"/>
      <c r="BL30" s="684"/>
      <c r="BM30" s="684"/>
      <c r="BN30" s="684"/>
      <c r="BO30" s="684"/>
      <c r="BP30" s="684"/>
      <c r="BQ30" s="684"/>
      <c r="BR30" s="684"/>
      <c r="BS30" s="684"/>
      <c r="BT30" s="684"/>
      <c r="BU30" s="684"/>
      <c r="BV30" s="684"/>
      <c r="BW30" s="684"/>
      <c r="BX30" s="684"/>
      <c r="BY30" s="684"/>
      <c r="BZ30" s="684"/>
      <c r="CA30" s="337"/>
    </row>
    <row r="31" spans="2:79" ht="16.5" customHeight="1">
      <c r="B31" s="34"/>
      <c r="D31" s="45"/>
      <c r="E31" s="338"/>
      <c r="F31" s="681"/>
      <c r="G31" s="681"/>
      <c r="H31" s="681"/>
      <c r="I31" s="681"/>
      <c r="J31" s="681"/>
      <c r="K31" s="681"/>
      <c r="L31" s="683" t="s">
        <v>452</v>
      </c>
      <c r="M31" s="681"/>
      <c r="N31" s="681"/>
      <c r="O31" s="681"/>
      <c r="P31" s="681"/>
      <c r="Q31" s="681"/>
      <c r="R31" s="681"/>
      <c r="S31" s="681"/>
      <c r="T31" s="681"/>
      <c r="U31" s="681"/>
      <c r="V31" s="339"/>
      <c r="W31" s="338"/>
      <c r="X31" s="681"/>
      <c r="Y31" s="681"/>
      <c r="Z31" s="681"/>
      <c r="AA31" s="681"/>
      <c r="AB31" s="681"/>
      <c r="AC31" s="681"/>
      <c r="AD31" s="683" t="s">
        <v>46</v>
      </c>
      <c r="AE31" s="681"/>
      <c r="AF31" s="681"/>
      <c r="AG31" s="681"/>
      <c r="AH31" s="681"/>
      <c r="AI31" s="681"/>
      <c r="AJ31" s="681"/>
      <c r="AK31" s="681"/>
      <c r="AL31" s="681"/>
      <c r="AM31" s="681"/>
      <c r="AN31" s="339"/>
      <c r="AO31" s="338"/>
      <c r="AP31" s="681"/>
      <c r="AQ31" s="681"/>
      <c r="AR31" s="681"/>
      <c r="AS31" s="681"/>
      <c r="AT31" s="681"/>
      <c r="AU31" s="681"/>
      <c r="AV31" s="683" t="s">
        <v>454</v>
      </c>
      <c r="AW31" s="681"/>
      <c r="AX31" s="681"/>
      <c r="AY31" s="681"/>
      <c r="AZ31" s="681"/>
      <c r="BA31" s="681"/>
      <c r="BB31" s="681"/>
      <c r="BC31" s="681"/>
      <c r="BD31" s="681"/>
      <c r="BE31" s="681"/>
      <c r="BF31" s="339"/>
      <c r="BG31" s="38"/>
      <c r="BJ31" s="338"/>
      <c r="BK31" s="681"/>
      <c r="BL31" s="681"/>
      <c r="BM31" s="681"/>
      <c r="BN31" s="681"/>
      <c r="BO31" s="681"/>
      <c r="BP31" s="681"/>
      <c r="BQ31" s="683">
        <v>0.95</v>
      </c>
      <c r="BR31" s="681"/>
      <c r="BS31" s="681"/>
      <c r="BT31" s="681"/>
      <c r="BU31" s="681"/>
      <c r="BV31" s="681"/>
      <c r="BW31" s="681"/>
      <c r="BX31" s="681"/>
      <c r="BY31" s="681"/>
      <c r="BZ31" s="681"/>
      <c r="CA31" s="339"/>
    </row>
    <row r="32" spans="2:79" ht="16.5" customHeight="1">
      <c r="B32" s="34"/>
      <c r="D32" s="45"/>
      <c r="E32" s="338"/>
      <c r="F32" s="346"/>
      <c r="G32" s="346"/>
      <c r="H32" s="346"/>
      <c r="I32" s="346"/>
      <c r="J32" s="346"/>
      <c r="K32" s="346"/>
      <c r="L32" s="346"/>
      <c r="M32" s="346"/>
      <c r="N32" s="346"/>
      <c r="O32" s="346"/>
      <c r="P32" s="346"/>
      <c r="Q32" s="346"/>
      <c r="R32" s="346"/>
      <c r="S32" s="346"/>
      <c r="T32" s="346"/>
      <c r="U32" s="346"/>
      <c r="V32" s="339"/>
      <c r="W32" s="338"/>
      <c r="X32" s="346"/>
      <c r="Y32" s="346"/>
      <c r="Z32" s="346"/>
      <c r="AA32" s="346"/>
      <c r="AB32" s="346"/>
      <c r="AC32" s="346"/>
      <c r="AD32" s="346"/>
      <c r="AE32" s="346"/>
      <c r="AF32" s="346"/>
      <c r="AG32" s="346"/>
      <c r="AH32" s="346"/>
      <c r="AI32" s="346"/>
      <c r="AJ32" s="346"/>
      <c r="AK32" s="346"/>
      <c r="AL32" s="346"/>
      <c r="AM32" s="346"/>
      <c r="AN32" s="339"/>
      <c r="AO32" s="338"/>
      <c r="AP32" s="346"/>
      <c r="AQ32" s="346"/>
      <c r="AR32" s="346"/>
      <c r="AS32" s="346"/>
      <c r="AT32" s="346"/>
      <c r="AU32" s="346"/>
      <c r="AV32" s="346"/>
      <c r="AW32" s="346"/>
      <c r="AX32" s="346"/>
      <c r="AY32" s="346"/>
      <c r="AZ32" s="346"/>
      <c r="BA32" s="346"/>
      <c r="BB32" s="346"/>
      <c r="BC32" s="346"/>
      <c r="BD32" s="346"/>
      <c r="BE32" s="346"/>
      <c r="BF32" s="339"/>
      <c r="BG32" s="38"/>
      <c r="BJ32" s="338"/>
      <c r="BK32" s="343"/>
      <c r="BL32" s="343"/>
      <c r="BM32" s="343"/>
      <c r="BN32" s="343"/>
      <c r="BO32" s="343"/>
      <c r="BP32" s="343"/>
      <c r="BQ32" s="343"/>
      <c r="BR32" s="343"/>
      <c r="BS32" s="343"/>
      <c r="BT32" s="343"/>
      <c r="BU32" s="343"/>
      <c r="BV32" s="343"/>
      <c r="BW32" s="343"/>
      <c r="BX32" s="343"/>
      <c r="BY32" s="343"/>
      <c r="BZ32" s="343"/>
      <c r="CA32" s="339"/>
    </row>
    <row r="33" spans="2:83" s="34" customFormat="1" ht="16.5" customHeight="1">
      <c r="D33" s="46"/>
      <c r="E33" s="340"/>
      <c r="F33" s="344"/>
      <c r="G33" s="344"/>
      <c r="H33" s="344"/>
      <c r="I33" s="344"/>
      <c r="J33" s="344"/>
      <c r="K33" s="344"/>
      <c r="L33" s="344"/>
      <c r="M33" s="344"/>
      <c r="N33" s="344"/>
      <c r="O33" s="344"/>
      <c r="P33" s="344"/>
      <c r="Q33" s="344"/>
      <c r="R33" s="344"/>
      <c r="S33" s="344"/>
      <c r="T33" s="344"/>
      <c r="U33" s="344"/>
      <c r="V33" s="341"/>
      <c r="W33" s="340"/>
      <c r="X33" s="344"/>
      <c r="Y33" s="344"/>
      <c r="Z33" s="344"/>
      <c r="AA33" s="344"/>
      <c r="AB33" s="344"/>
      <c r="AC33" s="344"/>
      <c r="AD33" s="344"/>
      <c r="AE33" s="344"/>
      <c r="AF33" s="344"/>
      <c r="AG33" s="344"/>
      <c r="AH33" s="344"/>
      <c r="AI33" s="344"/>
      <c r="AJ33" s="344"/>
      <c r="AK33" s="344"/>
      <c r="AL33" s="344"/>
      <c r="AM33" s="344"/>
      <c r="AN33" s="341"/>
      <c r="AO33" s="340"/>
      <c r="AP33" s="344"/>
      <c r="AQ33" s="344"/>
      <c r="AR33" s="344"/>
      <c r="AS33" s="344"/>
      <c r="AT33" s="344"/>
      <c r="AU33" s="344"/>
      <c r="AV33" s="344"/>
      <c r="AW33" s="344"/>
      <c r="AX33" s="344"/>
      <c r="AY33" s="344"/>
      <c r="AZ33" s="344"/>
      <c r="BA33" s="344"/>
      <c r="BB33" s="344"/>
      <c r="BC33" s="344"/>
      <c r="BD33" s="344"/>
      <c r="BE33" s="344"/>
      <c r="BF33" s="341"/>
      <c r="BG33" s="42"/>
      <c r="BJ33" s="340"/>
      <c r="BK33" s="344"/>
      <c r="BL33" s="344"/>
      <c r="BM33" s="344"/>
      <c r="BN33" s="344"/>
      <c r="BO33" s="344"/>
      <c r="BP33" s="344"/>
      <c r="BQ33" s="344"/>
      <c r="BR33" s="344"/>
      <c r="BS33" s="344"/>
      <c r="BT33" s="344"/>
      <c r="BU33" s="344"/>
      <c r="BV33" s="344"/>
      <c r="BW33" s="344"/>
      <c r="BX33" s="344"/>
      <c r="BY33" s="344"/>
      <c r="BZ33" s="344"/>
      <c r="CA33" s="341"/>
    </row>
    <row r="34" spans="2:83" ht="16.5" customHeight="1">
      <c r="B34" s="34"/>
      <c r="D34" s="43"/>
      <c r="E34" s="333"/>
      <c r="F34" s="334"/>
      <c r="G34" s="334"/>
      <c r="H34" s="334"/>
      <c r="I34" s="334"/>
      <c r="J34" s="334"/>
      <c r="K34" s="334"/>
      <c r="L34" s="334"/>
      <c r="M34" s="334"/>
      <c r="N34" s="334"/>
      <c r="O34" s="334"/>
      <c r="P34" s="334"/>
      <c r="Q34" s="334"/>
      <c r="R34" s="334"/>
      <c r="S34" s="334"/>
      <c r="T34" s="334"/>
      <c r="U34" s="334"/>
      <c r="V34" s="335"/>
      <c r="W34" s="333"/>
      <c r="X34" s="334"/>
      <c r="Y34" s="334"/>
      <c r="Z34" s="334"/>
      <c r="AA34" s="334"/>
      <c r="AB34" s="334"/>
      <c r="AC34" s="334"/>
      <c r="AD34" s="334"/>
      <c r="AE34" s="334"/>
      <c r="AF34" s="334"/>
      <c r="AG34" s="334"/>
      <c r="AH34" s="334"/>
      <c r="AI34" s="334"/>
      <c r="AJ34" s="334"/>
      <c r="AK34" s="334"/>
      <c r="AL34" s="334"/>
      <c r="AM34" s="334"/>
      <c r="AN34" s="335"/>
      <c r="AO34" s="333"/>
      <c r="AP34" s="334"/>
      <c r="AQ34" s="334"/>
      <c r="AR34" s="334"/>
      <c r="AS34" s="334"/>
      <c r="AT34" s="334"/>
      <c r="AU34" s="334"/>
      <c r="AV34" s="334"/>
      <c r="AW34" s="334"/>
      <c r="AX34" s="334"/>
      <c r="AY34" s="334"/>
      <c r="AZ34" s="334"/>
      <c r="BA34" s="334"/>
      <c r="BB34" s="334"/>
      <c r="BC34" s="334"/>
      <c r="BD34" s="334"/>
      <c r="BE34" s="334"/>
      <c r="BF34" s="335"/>
      <c r="BG34" s="41"/>
      <c r="BJ34" s="333"/>
      <c r="BK34" s="334"/>
      <c r="BL34" s="334"/>
      <c r="BM34" s="334"/>
      <c r="BN34" s="334"/>
      <c r="BO34" s="334"/>
      <c r="BP34" s="334"/>
      <c r="BQ34" s="334"/>
      <c r="BR34" s="334"/>
      <c r="BS34" s="334"/>
      <c r="BT34" s="334"/>
      <c r="BU34" s="334"/>
      <c r="BV34" s="334"/>
      <c r="BW34" s="334"/>
      <c r="BX34" s="334"/>
      <c r="BY34" s="334"/>
      <c r="BZ34" s="334"/>
      <c r="CA34" s="335"/>
      <c r="CB34" s="330"/>
      <c r="CC34" s="330"/>
      <c r="CD34" s="330"/>
      <c r="CE34" s="330"/>
    </row>
    <row r="35" spans="2:83" s="34" customFormat="1" ht="16.5" customHeight="1">
      <c r="D35" s="685"/>
      <c r="E35" s="336"/>
      <c r="F35" s="345"/>
      <c r="G35" s="347"/>
      <c r="H35" s="347"/>
      <c r="I35" s="347"/>
      <c r="J35" s="347"/>
      <c r="K35" s="347"/>
      <c r="L35" s="347"/>
      <c r="M35" s="347"/>
      <c r="N35" s="347"/>
      <c r="O35" s="347"/>
      <c r="P35" s="347"/>
      <c r="Q35" s="347"/>
      <c r="R35" s="347"/>
      <c r="S35" s="347"/>
      <c r="T35" s="347"/>
      <c r="U35" s="345"/>
      <c r="V35" s="337"/>
      <c r="W35" s="336"/>
      <c r="X35" s="345"/>
      <c r="Y35" s="347"/>
      <c r="Z35" s="347"/>
      <c r="AA35" s="347"/>
      <c r="AB35" s="347"/>
      <c r="AC35" s="347"/>
      <c r="AD35" s="347"/>
      <c r="AE35" s="347"/>
      <c r="AF35" s="347"/>
      <c r="AG35" s="347"/>
      <c r="AH35" s="347"/>
      <c r="AI35" s="347"/>
      <c r="AJ35" s="347"/>
      <c r="AK35" s="347"/>
      <c r="AL35" s="347"/>
      <c r="AM35" s="345"/>
      <c r="AN35" s="337"/>
      <c r="AO35" s="336"/>
      <c r="AP35" s="345"/>
      <c r="AQ35" s="347"/>
      <c r="AR35" s="347"/>
      <c r="AS35" s="347"/>
      <c r="AT35" s="347"/>
      <c r="AU35" s="347"/>
      <c r="AV35" s="347"/>
      <c r="AW35" s="347"/>
      <c r="AX35" s="347"/>
      <c r="AY35" s="347"/>
      <c r="AZ35" s="347"/>
      <c r="BA35" s="347"/>
      <c r="BB35" s="347"/>
      <c r="BC35" s="347"/>
      <c r="BD35" s="347"/>
      <c r="BE35" s="345"/>
      <c r="BF35" s="337"/>
      <c r="BG35" s="37"/>
      <c r="BJ35" s="336"/>
      <c r="BK35" s="684" t="s">
        <v>404</v>
      </c>
      <c r="BL35" s="684"/>
      <c r="BM35" s="684"/>
      <c r="BN35" s="684"/>
      <c r="BO35" s="684"/>
      <c r="BP35" s="684"/>
      <c r="BQ35" s="684"/>
      <c r="BR35" s="684"/>
      <c r="BS35" s="684"/>
      <c r="BT35" s="684"/>
      <c r="BU35" s="684"/>
      <c r="BV35" s="684"/>
      <c r="BW35" s="684"/>
      <c r="BX35" s="684"/>
      <c r="BY35" s="684"/>
      <c r="BZ35" s="684"/>
      <c r="CA35" s="337"/>
      <c r="CB35" s="331"/>
      <c r="CC35" s="331"/>
      <c r="CD35" s="331"/>
      <c r="CE35" s="331"/>
    </row>
    <row r="36" spans="2:83" s="35" customFormat="1" ht="16.5" customHeight="1">
      <c r="B36" s="34"/>
      <c r="D36" s="685"/>
      <c r="E36" s="336"/>
      <c r="F36" s="345"/>
      <c r="G36" s="347"/>
      <c r="H36" s="682" t="s">
        <v>233</v>
      </c>
      <c r="I36" s="682"/>
      <c r="J36" s="682"/>
      <c r="K36" s="682"/>
      <c r="L36" s="682"/>
      <c r="M36" s="682"/>
      <c r="N36" s="682"/>
      <c r="O36" s="682"/>
      <c r="P36" s="682"/>
      <c r="Q36" s="682"/>
      <c r="R36" s="682"/>
      <c r="S36" s="682"/>
      <c r="T36" s="347"/>
      <c r="U36" s="345"/>
      <c r="V36" s="337"/>
      <c r="W36" s="336"/>
      <c r="X36" s="345"/>
      <c r="Y36" s="347"/>
      <c r="Z36" s="682" t="s">
        <v>236</v>
      </c>
      <c r="AA36" s="682"/>
      <c r="AB36" s="682"/>
      <c r="AC36" s="682"/>
      <c r="AD36" s="682"/>
      <c r="AE36" s="682"/>
      <c r="AF36" s="682"/>
      <c r="AG36" s="682"/>
      <c r="AH36" s="682"/>
      <c r="AI36" s="682"/>
      <c r="AJ36" s="682"/>
      <c r="AK36" s="682"/>
      <c r="AL36" s="347"/>
      <c r="AM36" s="345"/>
      <c r="AN36" s="337"/>
      <c r="AO36" s="336"/>
      <c r="AP36" s="345"/>
      <c r="AQ36" s="347"/>
      <c r="AR36" s="682" t="s">
        <v>413</v>
      </c>
      <c r="AS36" s="682"/>
      <c r="AT36" s="682"/>
      <c r="AU36" s="682"/>
      <c r="AV36" s="682"/>
      <c r="AW36" s="682"/>
      <c r="AX36" s="682"/>
      <c r="AY36" s="682"/>
      <c r="AZ36" s="682"/>
      <c r="BA36" s="682"/>
      <c r="BB36" s="682"/>
      <c r="BC36" s="682"/>
      <c r="BD36" s="347"/>
      <c r="BE36" s="345"/>
      <c r="BF36" s="337"/>
      <c r="BG36" s="37"/>
      <c r="BJ36" s="336"/>
      <c r="BK36" s="684"/>
      <c r="BL36" s="684"/>
      <c r="BM36" s="684"/>
      <c r="BN36" s="684"/>
      <c r="BO36" s="684"/>
      <c r="BP36" s="684"/>
      <c r="BQ36" s="684"/>
      <c r="BR36" s="684"/>
      <c r="BS36" s="684"/>
      <c r="BT36" s="684"/>
      <c r="BU36" s="684"/>
      <c r="BV36" s="684"/>
      <c r="BW36" s="684"/>
      <c r="BX36" s="684"/>
      <c r="BY36" s="684"/>
      <c r="BZ36" s="684"/>
      <c r="CA36" s="337"/>
      <c r="CB36" s="332"/>
      <c r="CC36" s="332"/>
      <c r="CD36" s="332"/>
      <c r="CE36" s="332"/>
    </row>
    <row r="37" spans="2:83" s="35" customFormat="1" ht="16.5" customHeight="1">
      <c r="B37" s="34"/>
      <c r="D37" s="329"/>
      <c r="E37" s="336"/>
      <c r="F37" s="345"/>
      <c r="G37" s="347"/>
      <c r="H37" s="682"/>
      <c r="I37" s="682"/>
      <c r="J37" s="682"/>
      <c r="K37" s="682"/>
      <c r="L37" s="682"/>
      <c r="M37" s="682"/>
      <c r="N37" s="682"/>
      <c r="O37" s="682"/>
      <c r="P37" s="682"/>
      <c r="Q37" s="682"/>
      <c r="R37" s="682"/>
      <c r="S37" s="682"/>
      <c r="T37" s="347"/>
      <c r="U37" s="345"/>
      <c r="V37" s="337"/>
      <c r="W37" s="336"/>
      <c r="X37" s="345"/>
      <c r="Y37" s="347"/>
      <c r="Z37" s="682"/>
      <c r="AA37" s="682"/>
      <c r="AB37" s="682"/>
      <c r="AC37" s="682"/>
      <c r="AD37" s="682"/>
      <c r="AE37" s="682"/>
      <c r="AF37" s="682"/>
      <c r="AG37" s="682"/>
      <c r="AH37" s="682"/>
      <c r="AI37" s="682"/>
      <c r="AJ37" s="682"/>
      <c r="AK37" s="682"/>
      <c r="AL37" s="347"/>
      <c r="AM37" s="345"/>
      <c r="AN37" s="337"/>
      <c r="AO37" s="336"/>
      <c r="AP37" s="345"/>
      <c r="AQ37" s="347"/>
      <c r="AR37" s="682"/>
      <c r="AS37" s="682"/>
      <c r="AT37" s="682"/>
      <c r="AU37" s="682"/>
      <c r="AV37" s="682"/>
      <c r="AW37" s="682"/>
      <c r="AX37" s="682"/>
      <c r="AY37" s="682"/>
      <c r="AZ37" s="682"/>
      <c r="BA37" s="682"/>
      <c r="BB37" s="682"/>
      <c r="BC37" s="682"/>
      <c r="BD37" s="347"/>
      <c r="BE37" s="345"/>
      <c r="BF37" s="337"/>
      <c r="BG37" s="37"/>
      <c r="BJ37" s="336"/>
      <c r="BK37" s="684"/>
      <c r="BL37" s="684"/>
      <c r="BM37" s="684"/>
      <c r="BN37" s="684"/>
      <c r="BO37" s="684"/>
      <c r="BP37" s="684"/>
      <c r="BQ37" s="684"/>
      <c r="BR37" s="684"/>
      <c r="BS37" s="684"/>
      <c r="BT37" s="684"/>
      <c r="BU37" s="684"/>
      <c r="BV37" s="684"/>
      <c r="BW37" s="684"/>
      <c r="BX37" s="684"/>
      <c r="BY37" s="684"/>
      <c r="BZ37" s="684"/>
      <c r="CA37" s="337"/>
      <c r="CB37" s="332"/>
      <c r="CC37" s="332"/>
      <c r="CD37" s="332"/>
      <c r="CE37" s="332"/>
    </row>
    <row r="38" spans="2:83" ht="16.5" customHeight="1">
      <c r="B38" s="34"/>
      <c r="D38" s="329"/>
      <c r="E38" s="336"/>
      <c r="F38" s="345"/>
      <c r="G38" s="347"/>
      <c r="H38" s="682"/>
      <c r="I38" s="682"/>
      <c r="J38" s="682"/>
      <c r="K38" s="682"/>
      <c r="L38" s="682"/>
      <c r="M38" s="682"/>
      <c r="N38" s="682"/>
      <c r="O38" s="682"/>
      <c r="P38" s="682"/>
      <c r="Q38" s="682"/>
      <c r="R38" s="682"/>
      <c r="S38" s="682"/>
      <c r="T38" s="347"/>
      <c r="U38" s="345"/>
      <c r="V38" s="337"/>
      <c r="W38" s="336"/>
      <c r="X38" s="345"/>
      <c r="Y38" s="347"/>
      <c r="Z38" s="682"/>
      <c r="AA38" s="682"/>
      <c r="AB38" s="682"/>
      <c r="AC38" s="682"/>
      <c r="AD38" s="682"/>
      <c r="AE38" s="682"/>
      <c r="AF38" s="682"/>
      <c r="AG38" s="682"/>
      <c r="AH38" s="682"/>
      <c r="AI38" s="682"/>
      <c r="AJ38" s="682"/>
      <c r="AK38" s="682"/>
      <c r="AL38" s="347"/>
      <c r="AM38" s="345"/>
      <c r="AN38" s="337"/>
      <c r="AO38" s="336"/>
      <c r="AP38" s="345"/>
      <c r="AQ38" s="347"/>
      <c r="AR38" s="682"/>
      <c r="AS38" s="682"/>
      <c r="AT38" s="682"/>
      <c r="AU38" s="682"/>
      <c r="AV38" s="682"/>
      <c r="AW38" s="682"/>
      <c r="AX38" s="682"/>
      <c r="AY38" s="682"/>
      <c r="AZ38" s="682"/>
      <c r="BA38" s="682"/>
      <c r="BB38" s="682"/>
      <c r="BC38" s="682"/>
      <c r="BD38" s="347"/>
      <c r="BE38" s="345"/>
      <c r="BF38" s="337"/>
      <c r="BG38" s="37"/>
      <c r="BJ38" s="336"/>
      <c r="BK38" s="684"/>
      <c r="BL38" s="684"/>
      <c r="BM38" s="684"/>
      <c r="BN38" s="684"/>
      <c r="BO38" s="684"/>
      <c r="BP38" s="684"/>
      <c r="BQ38" s="684"/>
      <c r="BR38" s="684"/>
      <c r="BS38" s="684"/>
      <c r="BT38" s="684"/>
      <c r="BU38" s="684"/>
      <c r="BV38" s="684"/>
      <c r="BW38" s="684"/>
      <c r="BX38" s="684"/>
      <c r="BY38" s="684"/>
      <c r="BZ38" s="684"/>
      <c r="CA38" s="337"/>
      <c r="CB38" s="330"/>
      <c r="CC38" s="330"/>
      <c r="CD38" s="330"/>
      <c r="CE38" s="330"/>
    </row>
    <row r="39" spans="2:83" ht="16.5" customHeight="1">
      <c r="B39" s="34"/>
      <c r="D39" s="45"/>
      <c r="E39" s="338"/>
      <c r="F39" s="681"/>
      <c r="G39" s="681"/>
      <c r="H39" s="681"/>
      <c r="I39" s="681"/>
      <c r="J39" s="681"/>
      <c r="K39" s="681"/>
      <c r="L39" s="683" t="s">
        <v>461</v>
      </c>
      <c r="M39" s="681"/>
      <c r="N39" s="681"/>
      <c r="O39" s="681"/>
      <c r="P39" s="681"/>
      <c r="Q39" s="681"/>
      <c r="R39" s="681"/>
      <c r="S39" s="681"/>
      <c r="T39" s="681"/>
      <c r="U39" s="681"/>
      <c r="V39" s="339"/>
      <c r="W39" s="338"/>
      <c r="X39" s="681"/>
      <c r="Y39" s="681"/>
      <c r="Z39" s="681"/>
      <c r="AA39" s="681"/>
      <c r="AB39" s="681"/>
      <c r="AC39" s="681"/>
      <c r="AD39" s="683" t="s">
        <v>454</v>
      </c>
      <c r="AE39" s="681"/>
      <c r="AF39" s="681"/>
      <c r="AG39" s="681"/>
      <c r="AH39" s="681"/>
      <c r="AI39" s="681"/>
      <c r="AJ39" s="681"/>
      <c r="AK39" s="681"/>
      <c r="AL39" s="681"/>
      <c r="AM39" s="681"/>
      <c r="AN39" s="339"/>
      <c r="AO39" s="338"/>
      <c r="AP39" s="681"/>
      <c r="AQ39" s="681"/>
      <c r="AR39" s="681"/>
      <c r="AS39" s="681"/>
      <c r="AT39" s="681"/>
      <c r="AU39" s="681"/>
      <c r="AV39" s="683" t="s">
        <v>46</v>
      </c>
      <c r="AW39" s="681"/>
      <c r="AX39" s="681"/>
      <c r="AY39" s="681"/>
      <c r="AZ39" s="681"/>
      <c r="BA39" s="681"/>
      <c r="BB39" s="681"/>
      <c r="BC39" s="681"/>
      <c r="BD39" s="681"/>
      <c r="BE39" s="681"/>
      <c r="BF39" s="339"/>
      <c r="BG39" s="38"/>
      <c r="BJ39" s="338"/>
      <c r="BK39" s="681"/>
      <c r="BL39" s="681"/>
      <c r="BM39" s="681"/>
      <c r="BN39" s="681"/>
      <c r="BO39" s="681"/>
      <c r="BP39" s="681"/>
      <c r="BQ39" s="683">
        <v>0.95</v>
      </c>
      <c r="BR39" s="681"/>
      <c r="BS39" s="681"/>
      <c r="BT39" s="681"/>
      <c r="BU39" s="681"/>
      <c r="BV39" s="681"/>
      <c r="BW39" s="681"/>
      <c r="BX39" s="681"/>
      <c r="BY39" s="681"/>
      <c r="BZ39" s="681"/>
      <c r="CA39" s="339"/>
      <c r="CB39" s="330"/>
      <c r="CC39" s="330"/>
      <c r="CD39" s="330"/>
      <c r="CE39" s="330"/>
    </row>
    <row r="40" spans="2:83" ht="16.5" customHeight="1">
      <c r="B40" s="34"/>
      <c r="D40" s="45"/>
      <c r="E40" s="338"/>
      <c r="F40" s="346"/>
      <c r="G40" s="346"/>
      <c r="H40" s="346"/>
      <c r="I40" s="346"/>
      <c r="J40" s="346"/>
      <c r="K40" s="346"/>
      <c r="L40" s="346"/>
      <c r="M40" s="346"/>
      <c r="N40" s="346"/>
      <c r="O40" s="346"/>
      <c r="P40" s="346"/>
      <c r="Q40" s="346"/>
      <c r="R40" s="346"/>
      <c r="S40" s="346"/>
      <c r="T40" s="346"/>
      <c r="U40" s="346"/>
      <c r="V40" s="339"/>
      <c r="W40" s="338"/>
      <c r="X40" s="346"/>
      <c r="Y40" s="346"/>
      <c r="Z40" s="346"/>
      <c r="AA40" s="346"/>
      <c r="AB40" s="346"/>
      <c r="AC40" s="346"/>
      <c r="AD40" s="346"/>
      <c r="AE40" s="346"/>
      <c r="AF40" s="346"/>
      <c r="AG40" s="346"/>
      <c r="AH40" s="346"/>
      <c r="AI40" s="346"/>
      <c r="AJ40" s="346"/>
      <c r="AK40" s="346"/>
      <c r="AL40" s="346"/>
      <c r="AM40" s="346"/>
      <c r="AN40" s="339"/>
      <c r="AO40" s="338"/>
      <c r="AP40" s="346"/>
      <c r="AQ40" s="346"/>
      <c r="AR40" s="346"/>
      <c r="AS40" s="346"/>
      <c r="AT40" s="346"/>
      <c r="AU40" s="346"/>
      <c r="AV40" s="346"/>
      <c r="AW40" s="346"/>
      <c r="AX40" s="346"/>
      <c r="AY40" s="346"/>
      <c r="AZ40" s="346"/>
      <c r="BA40" s="346"/>
      <c r="BB40" s="346"/>
      <c r="BC40" s="346"/>
      <c r="BD40" s="346"/>
      <c r="BE40" s="346"/>
      <c r="BF40" s="339"/>
      <c r="BG40" s="38"/>
      <c r="BJ40" s="338"/>
      <c r="BK40" s="343"/>
      <c r="BL40" s="343"/>
      <c r="BM40" s="343"/>
      <c r="BN40" s="343"/>
      <c r="BO40" s="343"/>
      <c r="BP40" s="343"/>
      <c r="BQ40" s="343"/>
      <c r="BR40" s="343"/>
      <c r="BS40" s="343"/>
      <c r="BT40" s="343"/>
      <c r="BU40" s="343"/>
      <c r="BV40" s="343"/>
      <c r="BW40" s="343"/>
      <c r="BX40" s="343"/>
      <c r="BY40" s="343"/>
      <c r="BZ40" s="343"/>
      <c r="CA40" s="339"/>
      <c r="CB40" s="330"/>
      <c r="CC40" s="330"/>
      <c r="CD40" s="330"/>
      <c r="CE40" s="330"/>
    </row>
    <row r="41" spans="2:83" s="34" customFormat="1" ht="16.5" customHeight="1">
      <c r="D41" s="46"/>
      <c r="E41" s="340"/>
      <c r="F41" s="344"/>
      <c r="G41" s="344"/>
      <c r="H41" s="344"/>
      <c r="I41" s="344"/>
      <c r="J41" s="344"/>
      <c r="K41" s="344"/>
      <c r="L41" s="344"/>
      <c r="M41" s="344"/>
      <c r="N41" s="344"/>
      <c r="O41" s="344"/>
      <c r="P41" s="344"/>
      <c r="Q41" s="344"/>
      <c r="R41" s="344"/>
      <c r="S41" s="344"/>
      <c r="T41" s="344"/>
      <c r="U41" s="344"/>
      <c r="V41" s="341"/>
      <c r="W41" s="340"/>
      <c r="X41" s="344"/>
      <c r="Y41" s="344"/>
      <c r="Z41" s="344"/>
      <c r="AA41" s="344"/>
      <c r="AB41" s="344"/>
      <c r="AC41" s="344"/>
      <c r="AD41" s="344"/>
      <c r="AE41" s="344"/>
      <c r="AF41" s="344"/>
      <c r="AG41" s="344"/>
      <c r="AH41" s="344"/>
      <c r="AI41" s="344"/>
      <c r="AJ41" s="344"/>
      <c r="AK41" s="344"/>
      <c r="AL41" s="344"/>
      <c r="AM41" s="344"/>
      <c r="AN41" s="341"/>
      <c r="AO41" s="340"/>
      <c r="AP41" s="344"/>
      <c r="AQ41" s="344"/>
      <c r="AR41" s="344"/>
      <c r="AS41" s="344"/>
      <c r="AT41" s="344"/>
      <c r="AU41" s="344"/>
      <c r="AV41" s="344"/>
      <c r="AW41" s="344"/>
      <c r="AX41" s="344"/>
      <c r="AY41" s="344"/>
      <c r="AZ41" s="344"/>
      <c r="BA41" s="344"/>
      <c r="BB41" s="344"/>
      <c r="BC41" s="344"/>
      <c r="BD41" s="344"/>
      <c r="BE41" s="344"/>
      <c r="BF41" s="341"/>
      <c r="BG41" s="42"/>
      <c r="BJ41" s="340"/>
      <c r="BK41" s="344"/>
      <c r="BL41" s="344"/>
      <c r="BM41" s="344"/>
      <c r="BN41" s="344"/>
      <c r="BO41" s="344"/>
      <c r="BP41" s="344"/>
      <c r="BQ41" s="344"/>
      <c r="BR41" s="344"/>
      <c r="BS41" s="344"/>
      <c r="BT41" s="344"/>
      <c r="BU41" s="344"/>
      <c r="BV41" s="344"/>
      <c r="BW41" s="344"/>
      <c r="BX41" s="344"/>
      <c r="BY41" s="344"/>
      <c r="BZ41" s="344"/>
      <c r="CA41" s="341"/>
      <c r="CB41" s="331"/>
      <c r="CC41" s="331"/>
      <c r="CD41" s="331"/>
      <c r="CE41" s="331"/>
    </row>
    <row r="42" spans="2:83" ht="16.5" customHeight="1">
      <c r="B42" s="34"/>
      <c r="D42" s="43"/>
      <c r="E42" s="333"/>
      <c r="F42" s="334"/>
      <c r="G42" s="334"/>
      <c r="H42" s="334"/>
      <c r="I42" s="334"/>
      <c r="J42" s="334"/>
      <c r="K42" s="334"/>
      <c r="L42" s="334"/>
      <c r="M42" s="334"/>
      <c r="N42" s="334"/>
      <c r="O42" s="334"/>
      <c r="P42" s="334"/>
      <c r="Q42" s="334"/>
      <c r="R42" s="334"/>
      <c r="S42" s="334"/>
      <c r="T42" s="334"/>
      <c r="U42" s="334"/>
      <c r="V42" s="335"/>
      <c r="W42" s="333"/>
      <c r="X42" s="334"/>
      <c r="Y42" s="334"/>
      <c r="Z42" s="334"/>
      <c r="AA42" s="334"/>
      <c r="AB42" s="334"/>
      <c r="AC42" s="334"/>
      <c r="AD42" s="334"/>
      <c r="AE42" s="334"/>
      <c r="AF42" s="334"/>
      <c r="AG42" s="334"/>
      <c r="AH42" s="334"/>
      <c r="AI42" s="334"/>
      <c r="AJ42" s="334"/>
      <c r="AK42" s="334"/>
      <c r="AL42" s="334"/>
      <c r="AM42" s="334"/>
      <c r="AN42" s="335"/>
      <c r="AO42" s="333"/>
      <c r="AP42" s="334"/>
      <c r="AQ42" s="334"/>
      <c r="AR42" s="334"/>
      <c r="AS42" s="334"/>
      <c r="AT42" s="334"/>
      <c r="AU42" s="334"/>
      <c r="AV42" s="334"/>
      <c r="AW42" s="334"/>
      <c r="AX42" s="334"/>
      <c r="AY42" s="334"/>
      <c r="AZ42" s="334"/>
      <c r="BA42" s="334"/>
      <c r="BB42" s="334"/>
      <c r="BC42" s="334"/>
      <c r="BD42" s="334"/>
      <c r="BE42" s="334"/>
      <c r="BF42" s="335"/>
      <c r="BG42" s="41"/>
      <c r="BJ42" s="333"/>
      <c r="BK42" s="334"/>
      <c r="BL42" s="334"/>
      <c r="BM42" s="334"/>
      <c r="BN42" s="334"/>
      <c r="BO42" s="334"/>
      <c r="BP42" s="334"/>
      <c r="BQ42" s="334"/>
      <c r="BR42" s="334"/>
      <c r="BS42" s="334"/>
      <c r="BT42" s="334"/>
      <c r="BU42" s="334"/>
      <c r="BV42" s="334"/>
      <c r="BW42" s="334"/>
      <c r="BX42" s="334"/>
      <c r="BY42" s="334"/>
      <c r="BZ42" s="334"/>
      <c r="CA42" s="335"/>
      <c r="CB42" s="330"/>
      <c r="CC42" s="330"/>
      <c r="CD42" s="330"/>
      <c r="CE42" s="330"/>
    </row>
    <row r="43" spans="2:83" s="34" customFormat="1" ht="16.5" customHeight="1">
      <c r="D43" s="685"/>
      <c r="E43" s="336"/>
      <c r="F43" s="345"/>
      <c r="G43" s="347"/>
      <c r="H43" s="347"/>
      <c r="I43" s="347"/>
      <c r="J43" s="347"/>
      <c r="K43" s="347"/>
      <c r="L43" s="347"/>
      <c r="M43" s="347"/>
      <c r="N43" s="347"/>
      <c r="O43" s="347"/>
      <c r="P43" s="347"/>
      <c r="Q43" s="347"/>
      <c r="R43" s="347"/>
      <c r="S43" s="347"/>
      <c r="T43" s="347"/>
      <c r="U43" s="345"/>
      <c r="V43" s="337"/>
      <c r="W43" s="336"/>
      <c r="X43" s="345"/>
      <c r="Y43" s="347"/>
      <c r="Z43" s="347"/>
      <c r="AA43" s="347"/>
      <c r="AB43" s="347"/>
      <c r="AC43" s="347"/>
      <c r="AD43" s="347"/>
      <c r="AE43" s="347"/>
      <c r="AF43" s="347"/>
      <c r="AG43" s="347"/>
      <c r="AH43" s="347"/>
      <c r="AI43" s="347"/>
      <c r="AJ43" s="347"/>
      <c r="AK43" s="347"/>
      <c r="AL43" s="347"/>
      <c r="AM43" s="345"/>
      <c r="AN43" s="337"/>
      <c r="AO43" s="336"/>
      <c r="AP43" s="345"/>
      <c r="AQ43" s="347"/>
      <c r="AR43" s="347"/>
      <c r="AS43" s="347"/>
      <c r="AT43" s="347"/>
      <c r="AU43" s="347"/>
      <c r="AV43" s="347"/>
      <c r="AW43" s="347"/>
      <c r="AX43" s="347"/>
      <c r="AY43" s="347"/>
      <c r="AZ43" s="347"/>
      <c r="BA43" s="347"/>
      <c r="BB43" s="347"/>
      <c r="BC43" s="347"/>
      <c r="BD43" s="347"/>
      <c r="BE43" s="345"/>
      <c r="BF43" s="337"/>
      <c r="BG43" s="37"/>
      <c r="BJ43" s="336"/>
      <c r="BK43" s="684" t="s">
        <v>404</v>
      </c>
      <c r="BL43" s="684"/>
      <c r="BM43" s="684"/>
      <c r="BN43" s="684"/>
      <c r="BO43" s="684"/>
      <c r="BP43" s="684"/>
      <c r="BQ43" s="684"/>
      <c r="BR43" s="684"/>
      <c r="BS43" s="684"/>
      <c r="BT43" s="684"/>
      <c r="BU43" s="684"/>
      <c r="BV43" s="684"/>
      <c r="BW43" s="684"/>
      <c r="BX43" s="684"/>
      <c r="BY43" s="684"/>
      <c r="BZ43" s="684"/>
      <c r="CA43" s="337"/>
      <c r="CB43" s="331"/>
      <c r="CC43" s="331"/>
      <c r="CD43" s="331"/>
      <c r="CE43" s="331"/>
    </row>
    <row r="44" spans="2:83" s="35" customFormat="1" ht="16.5" customHeight="1">
      <c r="B44" s="34"/>
      <c r="D44" s="685"/>
      <c r="E44" s="336"/>
      <c r="F44" s="345"/>
      <c r="G44" s="347"/>
      <c r="H44" s="682"/>
      <c r="I44" s="682"/>
      <c r="J44" s="682"/>
      <c r="K44" s="682"/>
      <c r="L44" s="682"/>
      <c r="M44" s="682"/>
      <c r="N44" s="682"/>
      <c r="O44" s="682"/>
      <c r="P44" s="682"/>
      <c r="Q44" s="682"/>
      <c r="R44" s="682"/>
      <c r="S44" s="682"/>
      <c r="T44" s="347"/>
      <c r="U44" s="345"/>
      <c r="V44" s="337"/>
      <c r="W44" s="336"/>
      <c r="X44" s="345"/>
      <c r="Y44" s="347"/>
      <c r="Z44" s="682" t="s">
        <v>235</v>
      </c>
      <c r="AA44" s="682"/>
      <c r="AB44" s="682"/>
      <c r="AC44" s="682"/>
      <c r="AD44" s="682"/>
      <c r="AE44" s="682"/>
      <c r="AF44" s="682"/>
      <c r="AG44" s="682"/>
      <c r="AH44" s="682"/>
      <c r="AI44" s="682"/>
      <c r="AJ44" s="682"/>
      <c r="AK44" s="682"/>
      <c r="AL44" s="347"/>
      <c r="AM44" s="345"/>
      <c r="AN44" s="337"/>
      <c r="AO44" s="336"/>
      <c r="AP44" s="345"/>
      <c r="AQ44" s="347"/>
      <c r="AR44" s="682" t="s">
        <v>413</v>
      </c>
      <c r="AS44" s="682"/>
      <c r="AT44" s="682"/>
      <c r="AU44" s="682"/>
      <c r="AV44" s="682"/>
      <c r="AW44" s="682"/>
      <c r="AX44" s="682"/>
      <c r="AY44" s="682"/>
      <c r="AZ44" s="682"/>
      <c r="BA44" s="682"/>
      <c r="BB44" s="682"/>
      <c r="BC44" s="682"/>
      <c r="BD44" s="347"/>
      <c r="BE44" s="345"/>
      <c r="BF44" s="337"/>
      <c r="BG44" s="37"/>
      <c r="BJ44" s="336"/>
      <c r="BK44" s="684"/>
      <c r="BL44" s="684"/>
      <c r="BM44" s="684"/>
      <c r="BN44" s="684"/>
      <c r="BO44" s="684"/>
      <c r="BP44" s="684"/>
      <c r="BQ44" s="684"/>
      <c r="BR44" s="684"/>
      <c r="BS44" s="684"/>
      <c r="BT44" s="684"/>
      <c r="BU44" s="684"/>
      <c r="BV44" s="684"/>
      <c r="BW44" s="684"/>
      <c r="BX44" s="684"/>
      <c r="BY44" s="684"/>
      <c r="BZ44" s="684"/>
      <c r="CA44" s="337"/>
      <c r="CB44" s="332"/>
      <c r="CC44" s="332"/>
      <c r="CD44" s="332"/>
      <c r="CE44" s="332"/>
    </row>
    <row r="45" spans="2:83" s="35" customFormat="1" ht="16.5" customHeight="1">
      <c r="B45" s="34"/>
      <c r="D45" s="329"/>
      <c r="E45" s="336"/>
      <c r="F45" s="345"/>
      <c r="G45" s="347"/>
      <c r="H45" s="682"/>
      <c r="I45" s="682"/>
      <c r="J45" s="682"/>
      <c r="K45" s="682"/>
      <c r="L45" s="682"/>
      <c r="M45" s="682"/>
      <c r="N45" s="682"/>
      <c r="O45" s="682"/>
      <c r="P45" s="682"/>
      <c r="Q45" s="682"/>
      <c r="R45" s="682"/>
      <c r="S45" s="682"/>
      <c r="T45" s="347"/>
      <c r="U45" s="345"/>
      <c r="V45" s="337"/>
      <c r="W45" s="336"/>
      <c r="X45" s="345"/>
      <c r="Y45" s="347"/>
      <c r="Z45" s="682"/>
      <c r="AA45" s="682"/>
      <c r="AB45" s="682"/>
      <c r="AC45" s="682"/>
      <c r="AD45" s="682"/>
      <c r="AE45" s="682"/>
      <c r="AF45" s="682"/>
      <c r="AG45" s="682"/>
      <c r="AH45" s="682"/>
      <c r="AI45" s="682"/>
      <c r="AJ45" s="682"/>
      <c r="AK45" s="682"/>
      <c r="AL45" s="347"/>
      <c r="AM45" s="345"/>
      <c r="AN45" s="337"/>
      <c r="AO45" s="336"/>
      <c r="AP45" s="345"/>
      <c r="AQ45" s="347"/>
      <c r="AR45" s="682"/>
      <c r="AS45" s="682"/>
      <c r="AT45" s="682"/>
      <c r="AU45" s="682"/>
      <c r="AV45" s="682"/>
      <c r="AW45" s="682"/>
      <c r="AX45" s="682"/>
      <c r="AY45" s="682"/>
      <c r="AZ45" s="682"/>
      <c r="BA45" s="682"/>
      <c r="BB45" s="682"/>
      <c r="BC45" s="682"/>
      <c r="BD45" s="347"/>
      <c r="BE45" s="345"/>
      <c r="BF45" s="337"/>
      <c r="BG45" s="37"/>
      <c r="BJ45" s="336"/>
      <c r="BK45" s="684"/>
      <c r="BL45" s="684"/>
      <c r="BM45" s="684"/>
      <c r="BN45" s="684"/>
      <c r="BO45" s="684"/>
      <c r="BP45" s="684"/>
      <c r="BQ45" s="684"/>
      <c r="BR45" s="684"/>
      <c r="BS45" s="684"/>
      <c r="BT45" s="684"/>
      <c r="BU45" s="684"/>
      <c r="BV45" s="684"/>
      <c r="BW45" s="684"/>
      <c r="BX45" s="684"/>
      <c r="BY45" s="684"/>
      <c r="BZ45" s="684"/>
      <c r="CA45" s="337"/>
      <c r="CB45" s="332"/>
      <c r="CC45" s="332"/>
      <c r="CD45" s="332"/>
      <c r="CE45" s="332"/>
    </row>
    <row r="46" spans="2:83" ht="16.5" customHeight="1">
      <c r="B46" s="34"/>
      <c r="D46" s="329"/>
      <c r="E46" s="336"/>
      <c r="F46" s="345"/>
      <c r="G46" s="347"/>
      <c r="H46" s="682"/>
      <c r="I46" s="682"/>
      <c r="J46" s="682"/>
      <c r="K46" s="682"/>
      <c r="L46" s="682"/>
      <c r="M46" s="682"/>
      <c r="N46" s="682"/>
      <c r="O46" s="682"/>
      <c r="P46" s="682"/>
      <c r="Q46" s="682"/>
      <c r="R46" s="682"/>
      <c r="S46" s="682"/>
      <c r="T46" s="347"/>
      <c r="U46" s="345"/>
      <c r="V46" s="337"/>
      <c r="W46" s="336"/>
      <c r="X46" s="345"/>
      <c r="Y46" s="347"/>
      <c r="Z46" s="682"/>
      <c r="AA46" s="682"/>
      <c r="AB46" s="682"/>
      <c r="AC46" s="682"/>
      <c r="AD46" s="682"/>
      <c r="AE46" s="682"/>
      <c r="AF46" s="682"/>
      <c r="AG46" s="682"/>
      <c r="AH46" s="682"/>
      <c r="AI46" s="682"/>
      <c r="AJ46" s="682"/>
      <c r="AK46" s="682"/>
      <c r="AL46" s="347"/>
      <c r="AM46" s="345"/>
      <c r="AN46" s="337"/>
      <c r="AO46" s="336"/>
      <c r="AP46" s="345"/>
      <c r="AQ46" s="347"/>
      <c r="AR46" s="682"/>
      <c r="AS46" s="682"/>
      <c r="AT46" s="682"/>
      <c r="AU46" s="682"/>
      <c r="AV46" s="682"/>
      <c r="AW46" s="682"/>
      <c r="AX46" s="682"/>
      <c r="AY46" s="682"/>
      <c r="AZ46" s="682"/>
      <c r="BA46" s="682"/>
      <c r="BB46" s="682"/>
      <c r="BC46" s="682"/>
      <c r="BD46" s="347"/>
      <c r="BE46" s="345"/>
      <c r="BF46" s="337"/>
      <c r="BG46" s="37"/>
      <c r="BJ46" s="336"/>
      <c r="BK46" s="684"/>
      <c r="BL46" s="684"/>
      <c r="BM46" s="684"/>
      <c r="BN46" s="684"/>
      <c r="BO46" s="684"/>
      <c r="BP46" s="684"/>
      <c r="BQ46" s="684"/>
      <c r="BR46" s="684"/>
      <c r="BS46" s="684"/>
      <c r="BT46" s="684"/>
      <c r="BU46" s="684"/>
      <c r="BV46" s="684"/>
      <c r="BW46" s="684"/>
      <c r="BX46" s="684"/>
      <c r="BY46" s="684"/>
      <c r="BZ46" s="684"/>
      <c r="CA46" s="337"/>
      <c r="CB46" s="330"/>
      <c r="CC46" s="330"/>
      <c r="CD46" s="330"/>
      <c r="CE46" s="330"/>
    </row>
    <row r="47" spans="2:83" ht="16.5" customHeight="1">
      <c r="B47" s="34"/>
      <c r="D47" s="45"/>
      <c r="E47" s="338"/>
      <c r="F47" s="681"/>
      <c r="G47" s="681"/>
      <c r="H47" s="681"/>
      <c r="I47" s="681"/>
      <c r="J47" s="681"/>
      <c r="K47" s="681"/>
      <c r="L47" s="683"/>
      <c r="M47" s="681"/>
      <c r="N47" s="681"/>
      <c r="O47" s="681"/>
      <c r="P47" s="681"/>
      <c r="Q47" s="681"/>
      <c r="R47" s="681"/>
      <c r="S47" s="681"/>
      <c r="T47" s="681"/>
      <c r="U47" s="681"/>
      <c r="V47" s="339"/>
      <c r="W47" s="338"/>
      <c r="X47" s="681"/>
      <c r="Y47" s="681"/>
      <c r="Z47" s="681"/>
      <c r="AA47" s="681"/>
      <c r="AB47" s="681"/>
      <c r="AC47" s="681"/>
      <c r="AD47" s="683" t="s">
        <v>452</v>
      </c>
      <c r="AE47" s="681"/>
      <c r="AF47" s="681"/>
      <c r="AG47" s="681"/>
      <c r="AH47" s="681"/>
      <c r="AI47" s="681"/>
      <c r="AJ47" s="681"/>
      <c r="AK47" s="681"/>
      <c r="AL47" s="681"/>
      <c r="AM47" s="681"/>
      <c r="AN47" s="339"/>
      <c r="AO47" s="338"/>
      <c r="AP47" s="681"/>
      <c r="AQ47" s="681"/>
      <c r="AR47" s="681"/>
      <c r="AS47" s="681"/>
      <c r="AT47" s="681"/>
      <c r="AU47" s="681"/>
      <c r="AV47" s="683" t="s">
        <v>46</v>
      </c>
      <c r="AW47" s="681"/>
      <c r="AX47" s="681"/>
      <c r="AY47" s="681"/>
      <c r="AZ47" s="681"/>
      <c r="BA47" s="681"/>
      <c r="BB47" s="681"/>
      <c r="BC47" s="681"/>
      <c r="BD47" s="681"/>
      <c r="BE47" s="681"/>
      <c r="BF47" s="339"/>
      <c r="BG47" s="38"/>
      <c r="BJ47" s="338"/>
      <c r="BK47" s="681"/>
      <c r="BL47" s="681"/>
      <c r="BM47" s="681"/>
      <c r="BN47" s="681"/>
      <c r="BO47" s="681"/>
      <c r="BP47" s="681"/>
      <c r="BQ47" s="683">
        <v>0.95</v>
      </c>
      <c r="BR47" s="681"/>
      <c r="BS47" s="681"/>
      <c r="BT47" s="681"/>
      <c r="BU47" s="681"/>
      <c r="BV47" s="681"/>
      <c r="BW47" s="681"/>
      <c r="BX47" s="681"/>
      <c r="BY47" s="681"/>
      <c r="BZ47" s="681"/>
      <c r="CA47" s="339"/>
      <c r="CB47" s="330"/>
      <c r="CC47" s="330"/>
      <c r="CD47" s="330"/>
      <c r="CE47" s="330"/>
    </row>
    <row r="48" spans="2:83" ht="16.5" customHeight="1">
      <c r="B48" s="34"/>
      <c r="D48" s="45"/>
      <c r="E48" s="338"/>
      <c r="F48" s="346"/>
      <c r="G48" s="346"/>
      <c r="H48" s="346"/>
      <c r="I48" s="346"/>
      <c r="J48" s="346"/>
      <c r="K48" s="346"/>
      <c r="L48" s="346"/>
      <c r="M48" s="346"/>
      <c r="N48" s="346"/>
      <c r="O48" s="346"/>
      <c r="P48" s="346"/>
      <c r="Q48" s="346"/>
      <c r="R48" s="346"/>
      <c r="S48" s="346"/>
      <c r="T48" s="346"/>
      <c r="U48" s="346"/>
      <c r="V48" s="339"/>
      <c r="W48" s="338"/>
      <c r="X48" s="346"/>
      <c r="Y48" s="346"/>
      <c r="Z48" s="346"/>
      <c r="AA48" s="346"/>
      <c r="AB48" s="346"/>
      <c r="AC48" s="346"/>
      <c r="AD48" s="346"/>
      <c r="AE48" s="346"/>
      <c r="AF48" s="346"/>
      <c r="AG48" s="346"/>
      <c r="AH48" s="346"/>
      <c r="AI48" s="346"/>
      <c r="AJ48" s="346"/>
      <c r="AK48" s="346"/>
      <c r="AL48" s="346"/>
      <c r="AM48" s="346"/>
      <c r="AN48" s="339"/>
      <c r="AO48" s="338"/>
      <c r="AP48" s="346"/>
      <c r="AQ48" s="346"/>
      <c r="AR48" s="346"/>
      <c r="AS48" s="346"/>
      <c r="AT48" s="346"/>
      <c r="AU48" s="346"/>
      <c r="AV48" s="346"/>
      <c r="AW48" s="346"/>
      <c r="AX48" s="346"/>
      <c r="AY48" s="346"/>
      <c r="AZ48" s="346"/>
      <c r="BA48" s="346"/>
      <c r="BB48" s="346"/>
      <c r="BC48" s="346"/>
      <c r="BD48" s="346"/>
      <c r="BE48" s="346"/>
      <c r="BF48" s="339"/>
      <c r="BG48" s="38"/>
      <c r="BJ48" s="338"/>
      <c r="BK48" s="343"/>
      <c r="BL48" s="343"/>
      <c r="BM48" s="343"/>
      <c r="BN48" s="343"/>
      <c r="BO48" s="343"/>
      <c r="BP48" s="343"/>
      <c r="BQ48" s="343"/>
      <c r="BR48" s="343"/>
      <c r="BS48" s="343"/>
      <c r="BT48" s="343"/>
      <c r="BU48" s="343"/>
      <c r="BV48" s="343"/>
      <c r="BW48" s="343"/>
      <c r="BX48" s="343"/>
      <c r="BY48" s="343"/>
      <c r="BZ48" s="343"/>
      <c r="CA48" s="339"/>
      <c r="CB48" s="330"/>
      <c r="CC48" s="330"/>
      <c r="CD48" s="330"/>
      <c r="CE48" s="330"/>
    </row>
    <row r="49" spans="2:83" s="34" customFormat="1" ht="16.5" customHeight="1">
      <c r="D49" s="46"/>
      <c r="E49" s="340"/>
      <c r="F49" s="344"/>
      <c r="G49" s="344"/>
      <c r="H49" s="344"/>
      <c r="I49" s="344"/>
      <c r="J49" s="344"/>
      <c r="K49" s="344"/>
      <c r="L49" s="344"/>
      <c r="M49" s="344"/>
      <c r="N49" s="344"/>
      <c r="O49" s="344"/>
      <c r="P49" s="344"/>
      <c r="Q49" s="344"/>
      <c r="R49" s="344"/>
      <c r="S49" s="344"/>
      <c r="T49" s="344"/>
      <c r="U49" s="344"/>
      <c r="V49" s="341"/>
      <c r="W49" s="340"/>
      <c r="X49" s="344"/>
      <c r="Y49" s="344"/>
      <c r="Z49" s="344"/>
      <c r="AA49" s="344"/>
      <c r="AB49" s="344"/>
      <c r="AC49" s="344"/>
      <c r="AD49" s="344"/>
      <c r="AE49" s="344"/>
      <c r="AF49" s="344"/>
      <c r="AG49" s="344"/>
      <c r="AH49" s="344"/>
      <c r="AI49" s="344"/>
      <c r="AJ49" s="344"/>
      <c r="AK49" s="344"/>
      <c r="AL49" s="344"/>
      <c r="AM49" s="344"/>
      <c r="AN49" s="341"/>
      <c r="AO49" s="340"/>
      <c r="AP49" s="344"/>
      <c r="AQ49" s="344"/>
      <c r="AR49" s="344"/>
      <c r="AS49" s="344"/>
      <c r="AT49" s="344"/>
      <c r="AU49" s="344"/>
      <c r="AV49" s="344"/>
      <c r="AW49" s="344"/>
      <c r="AX49" s="344"/>
      <c r="AY49" s="344"/>
      <c r="AZ49" s="344"/>
      <c r="BA49" s="344"/>
      <c r="BB49" s="344"/>
      <c r="BC49" s="344"/>
      <c r="BD49" s="344"/>
      <c r="BE49" s="344"/>
      <c r="BF49" s="341"/>
      <c r="BG49" s="42"/>
      <c r="BJ49" s="340"/>
      <c r="BK49" s="344"/>
      <c r="BL49" s="344"/>
      <c r="BM49" s="344"/>
      <c r="BN49" s="344"/>
      <c r="BO49" s="344"/>
      <c r="BP49" s="344"/>
      <c r="BQ49" s="344"/>
      <c r="BR49" s="344"/>
      <c r="BS49" s="344"/>
      <c r="BT49" s="344"/>
      <c r="BU49" s="344"/>
      <c r="BV49" s="344"/>
      <c r="BW49" s="344"/>
      <c r="BX49" s="344"/>
      <c r="BY49" s="344"/>
      <c r="BZ49" s="344"/>
      <c r="CA49" s="341"/>
      <c r="CB49" s="331"/>
      <c r="CC49" s="331"/>
      <c r="CD49" s="331"/>
      <c r="CE49" s="331"/>
    </row>
    <row r="50" spans="2:83" ht="16.5" customHeight="1">
      <c r="B50" s="34"/>
      <c r="D50" s="43"/>
      <c r="E50" s="333"/>
      <c r="F50" s="334"/>
      <c r="G50" s="334"/>
      <c r="H50" s="334"/>
      <c r="I50" s="334"/>
      <c r="J50" s="334"/>
      <c r="K50" s="334"/>
      <c r="L50" s="334"/>
      <c r="M50" s="334"/>
      <c r="N50" s="334"/>
      <c r="O50" s="334"/>
      <c r="P50" s="334"/>
      <c r="Q50" s="334"/>
      <c r="R50" s="334"/>
      <c r="S50" s="334"/>
      <c r="T50" s="334"/>
      <c r="U50" s="334"/>
      <c r="V50" s="335"/>
      <c r="W50" s="333"/>
      <c r="X50" s="334"/>
      <c r="Y50" s="334"/>
      <c r="Z50" s="334"/>
      <c r="AA50" s="334"/>
      <c r="AB50" s="334"/>
      <c r="AC50" s="334"/>
      <c r="AD50" s="334"/>
      <c r="AE50" s="334"/>
      <c r="AF50" s="334"/>
      <c r="AG50" s="334"/>
      <c r="AH50" s="334"/>
      <c r="AI50" s="334"/>
      <c r="AJ50" s="334"/>
      <c r="AK50" s="334"/>
      <c r="AL50" s="334"/>
      <c r="AM50" s="334"/>
      <c r="AN50" s="335"/>
      <c r="AO50" s="333"/>
      <c r="AP50" s="334"/>
      <c r="AQ50" s="334"/>
      <c r="AR50" s="334"/>
      <c r="AS50" s="334"/>
      <c r="AT50" s="334"/>
      <c r="AU50" s="334"/>
      <c r="AV50" s="334"/>
      <c r="AW50" s="334"/>
      <c r="AX50" s="334"/>
      <c r="AY50" s="334"/>
      <c r="AZ50" s="334"/>
      <c r="BA50" s="334"/>
      <c r="BB50" s="334"/>
      <c r="BC50" s="334"/>
      <c r="BD50" s="334"/>
      <c r="BE50" s="334"/>
      <c r="BF50" s="335"/>
      <c r="BG50" s="41"/>
      <c r="BJ50" s="333"/>
      <c r="BK50" s="334"/>
      <c r="BL50" s="334"/>
      <c r="BM50" s="334"/>
      <c r="BN50" s="334"/>
      <c r="BO50" s="334"/>
      <c r="BP50" s="334"/>
      <c r="BQ50" s="334"/>
      <c r="BR50" s="334"/>
      <c r="BS50" s="334"/>
      <c r="BT50" s="334"/>
      <c r="BU50" s="334"/>
      <c r="BV50" s="334"/>
      <c r="BW50" s="334"/>
      <c r="BX50" s="334"/>
      <c r="BY50" s="334"/>
      <c r="BZ50" s="334"/>
      <c r="CA50" s="335"/>
      <c r="CB50" s="330"/>
      <c r="CC50" s="330"/>
      <c r="CD50" s="330"/>
      <c r="CE50" s="330"/>
    </row>
    <row r="51" spans="2:83" s="34" customFormat="1" ht="16.5" customHeight="1">
      <c r="D51" s="685"/>
      <c r="E51" s="336"/>
      <c r="F51" s="345"/>
      <c r="G51" s="347"/>
      <c r="H51" s="347"/>
      <c r="I51" s="347"/>
      <c r="J51" s="347"/>
      <c r="K51" s="347"/>
      <c r="L51" s="347"/>
      <c r="M51" s="347"/>
      <c r="N51" s="347"/>
      <c r="O51" s="347"/>
      <c r="P51" s="347"/>
      <c r="Q51" s="347"/>
      <c r="R51" s="347"/>
      <c r="S51" s="347"/>
      <c r="T51" s="347"/>
      <c r="U51" s="345"/>
      <c r="V51" s="337"/>
      <c r="W51" s="336"/>
      <c r="X51" s="345"/>
      <c r="Y51" s="347"/>
      <c r="Z51" s="347"/>
      <c r="AA51" s="347"/>
      <c r="AB51" s="347"/>
      <c r="AC51" s="347"/>
      <c r="AD51" s="347"/>
      <c r="AE51" s="347"/>
      <c r="AF51" s="347"/>
      <c r="AG51" s="347"/>
      <c r="AH51" s="347"/>
      <c r="AI51" s="347"/>
      <c r="AJ51" s="347"/>
      <c r="AK51" s="347"/>
      <c r="AL51" s="347"/>
      <c r="AM51" s="345"/>
      <c r="AN51" s="337"/>
      <c r="AO51" s="336"/>
      <c r="AP51" s="345"/>
      <c r="AQ51" s="347"/>
      <c r="AR51" s="347"/>
      <c r="AS51" s="347"/>
      <c r="AT51" s="347"/>
      <c r="AU51" s="347"/>
      <c r="AV51" s="347"/>
      <c r="AW51" s="347"/>
      <c r="AX51" s="347"/>
      <c r="AY51" s="347"/>
      <c r="AZ51" s="347"/>
      <c r="BA51" s="347"/>
      <c r="BB51" s="347"/>
      <c r="BC51" s="347"/>
      <c r="BD51" s="347"/>
      <c r="BE51" s="345"/>
      <c r="BF51" s="337"/>
      <c r="BG51" s="37"/>
      <c r="BJ51" s="336"/>
      <c r="BK51" s="684" t="s">
        <v>404</v>
      </c>
      <c r="BL51" s="684"/>
      <c r="BM51" s="684"/>
      <c r="BN51" s="684"/>
      <c r="BO51" s="684"/>
      <c r="BP51" s="684"/>
      <c r="BQ51" s="684"/>
      <c r="BR51" s="684"/>
      <c r="BS51" s="684"/>
      <c r="BT51" s="684"/>
      <c r="BU51" s="684"/>
      <c r="BV51" s="684"/>
      <c r="BW51" s="684"/>
      <c r="BX51" s="684"/>
      <c r="BY51" s="684"/>
      <c r="BZ51" s="684"/>
      <c r="CA51" s="337"/>
      <c r="CB51" s="331"/>
      <c r="CC51" s="331"/>
      <c r="CD51" s="331"/>
      <c r="CE51" s="331"/>
    </row>
    <row r="52" spans="2:83" s="35" customFormat="1" ht="16.5" customHeight="1">
      <c r="B52" s="34"/>
      <c r="D52" s="685"/>
      <c r="E52" s="336"/>
      <c r="F52" s="345"/>
      <c r="G52" s="347"/>
      <c r="H52" s="682"/>
      <c r="I52" s="682"/>
      <c r="J52" s="682"/>
      <c r="K52" s="682"/>
      <c r="L52" s="682"/>
      <c r="M52" s="682"/>
      <c r="N52" s="682"/>
      <c r="O52" s="682"/>
      <c r="P52" s="682"/>
      <c r="Q52" s="682"/>
      <c r="R52" s="682"/>
      <c r="S52" s="682"/>
      <c r="T52" s="347"/>
      <c r="U52" s="345"/>
      <c r="V52" s="337"/>
      <c r="W52" s="336"/>
      <c r="X52" s="345"/>
      <c r="Y52" s="347"/>
      <c r="Z52" s="682"/>
      <c r="AA52" s="682"/>
      <c r="AB52" s="682"/>
      <c r="AC52" s="682"/>
      <c r="AD52" s="682"/>
      <c r="AE52" s="682"/>
      <c r="AF52" s="682"/>
      <c r="AG52" s="682"/>
      <c r="AH52" s="682"/>
      <c r="AI52" s="682"/>
      <c r="AJ52" s="682"/>
      <c r="AK52" s="682"/>
      <c r="AL52" s="347"/>
      <c r="AM52" s="345"/>
      <c r="AN52" s="337"/>
      <c r="AO52" s="336"/>
      <c r="AP52" s="345"/>
      <c r="AQ52" s="347"/>
      <c r="AR52" s="682"/>
      <c r="AS52" s="682"/>
      <c r="AT52" s="682"/>
      <c r="AU52" s="682"/>
      <c r="AV52" s="682"/>
      <c r="AW52" s="682"/>
      <c r="AX52" s="682"/>
      <c r="AY52" s="682"/>
      <c r="AZ52" s="682"/>
      <c r="BA52" s="682"/>
      <c r="BB52" s="682"/>
      <c r="BC52" s="682"/>
      <c r="BD52" s="347"/>
      <c r="BE52" s="345"/>
      <c r="BF52" s="337"/>
      <c r="BG52" s="37"/>
      <c r="BJ52" s="336"/>
      <c r="BK52" s="684"/>
      <c r="BL52" s="684"/>
      <c r="BM52" s="684"/>
      <c r="BN52" s="684"/>
      <c r="BO52" s="684"/>
      <c r="BP52" s="684"/>
      <c r="BQ52" s="684"/>
      <c r="BR52" s="684"/>
      <c r="BS52" s="684"/>
      <c r="BT52" s="684"/>
      <c r="BU52" s="684"/>
      <c r="BV52" s="684"/>
      <c r="BW52" s="684"/>
      <c r="BX52" s="684"/>
      <c r="BY52" s="684"/>
      <c r="BZ52" s="684"/>
      <c r="CA52" s="337"/>
      <c r="CB52" s="332"/>
      <c r="CC52" s="332"/>
      <c r="CD52" s="332"/>
      <c r="CE52" s="332"/>
    </row>
    <row r="53" spans="2:83" s="35" customFormat="1" ht="16.5" customHeight="1">
      <c r="B53" s="34"/>
      <c r="D53" s="329"/>
      <c r="E53" s="336"/>
      <c r="F53" s="345"/>
      <c r="G53" s="347"/>
      <c r="H53" s="682"/>
      <c r="I53" s="682"/>
      <c r="J53" s="682"/>
      <c r="K53" s="682"/>
      <c r="L53" s="682"/>
      <c r="M53" s="682"/>
      <c r="N53" s="682"/>
      <c r="O53" s="682"/>
      <c r="P53" s="682"/>
      <c r="Q53" s="682"/>
      <c r="R53" s="682"/>
      <c r="S53" s="682"/>
      <c r="T53" s="347"/>
      <c r="U53" s="345"/>
      <c r="V53" s="337"/>
      <c r="W53" s="336"/>
      <c r="X53" s="345"/>
      <c r="Y53" s="347"/>
      <c r="Z53" s="682"/>
      <c r="AA53" s="682"/>
      <c r="AB53" s="682"/>
      <c r="AC53" s="682"/>
      <c r="AD53" s="682"/>
      <c r="AE53" s="682"/>
      <c r="AF53" s="682"/>
      <c r="AG53" s="682"/>
      <c r="AH53" s="682"/>
      <c r="AI53" s="682"/>
      <c r="AJ53" s="682"/>
      <c r="AK53" s="682"/>
      <c r="AL53" s="347"/>
      <c r="AM53" s="345"/>
      <c r="AN53" s="337"/>
      <c r="AO53" s="336"/>
      <c r="AP53" s="345"/>
      <c r="AQ53" s="347"/>
      <c r="AR53" s="682"/>
      <c r="AS53" s="682"/>
      <c r="AT53" s="682"/>
      <c r="AU53" s="682"/>
      <c r="AV53" s="682"/>
      <c r="AW53" s="682"/>
      <c r="AX53" s="682"/>
      <c r="AY53" s="682"/>
      <c r="AZ53" s="682"/>
      <c r="BA53" s="682"/>
      <c r="BB53" s="682"/>
      <c r="BC53" s="682"/>
      <c r="BD53" s="347"/>
      <c r="BE53" s="345"/>
      <c r="BF53" s="337"/>
      <c r="BG53" s="37"/>
      <c r="BJ53" s="336"/>
      <c r="BK53" s="684"/>
      <c r="BL53" s="684"/>
      <c r="BM53" s="684"/>
      <c r="BN53" s="684"/>
      <c r="BO53" s="684"/>
      <c r="BP53" s="684"/>
      <c r="BQ53" s="684"/>
      <c r="BR53" s="684"/>
      <c r="BS53" s="684"/>
      <c r="BT53" s="684"/>
      <c r="BU53" s="684"/>
      <c r="BV53" s="684"/>
      <c r="BW53" s="684"/>
      <c r="BX53" s="684"/>
      <c r="BY53" s="684"/>
      <c r="BZ53" s="684"/>
      <c r="CA53" s="337"/>
      <c r="CB53" s="332"/>
      <c r="CC53" s="332"/>
      <c r="CD53" s="332"/>
      <c r="CE53" s="332"/>
    </row>
    <row r="54" spans="2:83" ht="16.5" customHeight="1">
      <c r="B54" s="34"/>
      <c r="D54" s="329"/>
      <c r="E54" s="336"/>
      <c r="F54" s="345"/>
      <c r="G54" s="347"/>
      <c r="H54" s="682"/>
      <c r="I54" s="682"/>
      <c r="J54" s="682"/>
      <c r="K54" s="682"/>
      <c r="L54" s="682"/>
      <c r="M54" s="682"/>
      <c r="N54" s="682"/>
      <c r="O54" s="682"/>
      <c r="P54" s="682"/>
      <c r="Q54" s="682"/>
      <c r="R54" s="682"/>
      <c r="S54" s="682"/>
      <c r="T54" s="347"/>
      <c r="U54" s="345"/>
      <c r="V54" s="337"/>
      <c r="W54" s="336"/>
      <c r="X54" s="345"/>
      <c r="Y54" s="347"/>
      <c r="Z54" s="682"/>
      <c r="AA54" s="682"/>
      <c r="AB54" s="682"/>
      <c r="AC54" s="682"/>
      <c r="AD54" s="682"/>
      <c r="AE54" s="682"/>
      <c r="AF54" s="682"/>
      <c r="AG54" s="682"/>
      <c r="AH54" s="682"/>
      <c r="AI54" s="682"/>
      <c r="AJ54" s="682"/>
      <c r="AK54" s="682"/>
      <c r="AL54" s="347"/>
      <c r="AM54" s="345"/>
      <c r="AN54" s="337"/>
      <c r="AO54" s="336"/>
      <c r="AP54" s="345"/>
      <c r="AQ54" s="347"/>
      <c r="AR54" s="682"/>
      <c r="AS54" s="682"/>
      <c r="AT54" s="682"/>
      <c r="AU54" s="682"/>
      <c r="AV54" s="682"/>
      <c r="AW54" s="682"/>
      <c r="AX54" s="682"/>
      <c r="AY54" s="682"/>
      <c r="AZ54" s="682"/>
      <c r="BA54" s="682"/>
      <c r="BB54" s="682"/>
      <c r="BC54" s="682"/>
      <c r="BD54" s="347"/>
      <c r="BE54" s="345"/>
      <c r="BF54" s="337"/>
      <c r="BG54" s="37"/>
      <c r="BJ54" s="336"/>
      <c r="BK54" s="684"/>
      <c r="BL54" s="684"/>
      <c r="BM54" s="684"/>
      <c r="BN54" s="684"/>
      <c r="BO54" s="684"/>
      <c r="BP54" s="684"/>
      <c r="BQ54" s="684"/>
      <c r="BR54" s="684"/>
      <c r="BS54" s="684"/>
      <c r="BT54" s="684"/>
      <c r="BU54" s="684"/>
      <c r="BV54" s="684"/>
      <c r="BW54" s="684"/>
      <c r="BX54" s="684"/>
      <c r="BY54" s="684"/>
      <c r="BZ54" s="684"/>
      <c r="CA54" s="337"/>
      <c r="CB54" s="330"/>
      <c r="CC54" s="330"/>
      <c r="CD54" s="330"/>
      <c r="CE54" s="330"/>
    </row>
    <row r="55" spans="2:83" ht="16.5" customHeight="1">
      <c r="B55" s="34"/>
      <c r="D55" s="45"/>
      <c r="E55" s="338"/>
      <c r="F55" s="681"/>
      <c r="G55" s="681"/>
      <c r="H55" s="681"/>
      <c r="I55" s="681"/>
      <c r="J55" s="681"/>
      <c r="K55" s="681"/>
      <c r="L55" s="683"/>
      <c r="M55" s="681"/>
      <c r="N55" s="681"/>
      <c r="O55" s="681"/>
      <c r="P55" s="681"/>
      <c r="Q55" s="681"/>
      <c r="R55" s="681"/>
      <c r="S55" s="681"/>
      <c r="T55" s="681"/>
      <c r="U55" s="681"/>
      <c r="V55" s="339"/>
      <c r="W55" s="338"/>
      <c r="X55" s="681"/>
      <c r="Y55" s="681"/>
      <c r="Z55" s="681"/>
      <c r="AA55" s="681"/>
      <c r="AB55" s="681"/>
      <c r="AC55" s="681"/>
      <c r="AD55" s="683"/>
      <c r="AE55" s="681"/>
      <c r="AF55" s="681"/>
      <c r="AG55" s="681"/>
      <c r="AH55" s="681"/>
      <c r="AI55" s="681"/>
      <c r="AJ55" s="681"/>
      <c r="AK55" s="681"/>
      <c r="AL55" s="681"/>
      <c r="AM55" s="681"/>
      <c r="AN55" s="339"/>
      <c r="AO55" s="338"/>
      <c r="AP55" s="681"/>
      <c r="AQ55" s="681"/>
      <c r="AR55" s="681"/>
      <c r="AS55" s="681"/>
      <c r="AT55" s="681"/>
      <c r="AU55" s="681"/>
      <c r="AV55" s="683"/>
      <c r="AW55" s="681"/>
      <c r="AX55" s="681"/>
      <c r="AY55" s="681"/>
      <c r="AZ55" s="681"/>
      <c r="BA55" s="681"/>
      <c r="BB55" s="681"/>
      <c r="BC55" s="681"/>
      <c r="BD55" s="681"/>
      <c r="BE55" s="681"/>
      <c r="BF55" s="339"/>
      <c r="BG55" s="38"/>
      <c r="BJ55" s="338"/>
      <c r="BK55" s="681"/>
      <c r="BL55" s="681"/>
      <c r="BM55" s="681"/>
      <c r="BN55" s="681"/>
      <c r="BO55" s="681"/>
      <c r="BP55" s="681"/>
      <c r="BQ55" s="683">
        <v>0.95</v>
      </c>
      <c r="BR55" s="681"/>
      <c r="BS55" s="681"/>
      <c r="BT55" s="681"/>
      <c r="BU55" s="681"/>
      <c r="BV55" s="681"/>
      <c r="BW55" s="681"/>
      <c r="BX55" s="681"/>
      <c r="BY55" s="681"/>
      <c r="BZ55" s="681"/>
      <c r="CA55" s="339"/>
      <c r="CB55" s="330"/>
      <c r="CC55" s="330"/>
      <c r="CD55" s="330"/>
      <c r="CE55" s="330"/>
    </row>
    <row r="56" spans="2:83" ht="16.5" customHeight="1">
      <c r="B56" s="34"/>
      <c r="D56" s="45"/>
      <c r="E56" s="338"/>
      <c r="F56" s="346"/>
      <c r="G56" s="346"/>
      <c r="H56" s="346"/>
      <c r="I56" s="346"/>
      <c r="J56" s="346"/>
      <c r="K56" s="346"/>
      <c r="L56" s="346"/>
      <c r="M56" s="346"/>
      <c r="N56" s="346"/>
      <c r="O56" s="346"/>
      <c r="P56" s="346"/>
      <c r="Q56" s="346"/>
      <c r="R56" s="346"/>
      <c r="S56" s="346"/>
      <c r="T56" s="346"/>
      <c r="U56" s="346"/>
      <c r="V56" s="339"/>
      <c r="W56" s="338"/>
      <c r="X56" s="346"/>
      <c r="Y56" s="346"/>
      <c r="Z56" s="346"/>
      <c r="AA56" s="346"/>
      <c r="AB56" s="346"/>
      <c r="AC56" s="346"/>
      <c r="AD56" s="346"/>
      <c r="AE56" s="346"/>
      <c r="AF56" s="346"/>
      <c r="AG56" s="346"/>
      <c r="AH56" s="346"/>
      <c r="AI56" s="346"/>
      <c r="AJ56" s="346"/>
      <c r="AK56" s="346"/>
      <c r="AL56" s="346"/>
      <c r="AM56" s="346"/>
      <c r="AN56" s="339"/>
      <c r="AO56" s="338"/>
      <c r="AP56" s="346"/>
      <c r="AQ56" s="346"/>
      <c r="AR56" s="346"/>
      <c r="AS56" s="346"/>
      <c r="AT56" s="346"/>
      <c r="AU56" s="346"/>
      <c r="AV56" s="346"/>
      <c r="AW56" s="346"/>
      <c r="AX56" s="346"/>
      <c r="AY56" s="346"/>
      <c r="AZ56" s="346"/>
      <c r="BA56" s="346"/>
      <c r="BB56" s="346"/>
      <c r="BC56" s="346"/>
      <c r="BD56" s="346"/>
      <c r="BE56" s="346"/>
      <c r="BF56" s="339"/>
      <c r="BG56" s="38"/>
      <c r="BJ56" s="338"/>
      <c r="BK56" s="343"/>
      <c r="BL56" s="343"/>
      <c r="BM56" s="343"/>
      <c r="BN56" s="343"/>
      <c r="BO56" s="343"/>
      <c r="BP56" s="343"/>
      <c r="BQ56" s="343"/>
      <c r="BR56" s="343"/>
      <c r="BS56" s="343"/>
      <c r="BT56" s="343"/>
      <c r="BU56" s="343"/>
      <c r="BV56" s="343"/>
      <c r="BW56" s="343"/>
      <c r="BX56" s="343"/>
      <c r="BY56" s="343"/>
      <c r="BZ56" s="343"/>
      <c r="CA56" s="339"/>
      <c r="CB56" s="330"/>
      <c r="CC56" s="330"/>
      <c r="CD56" s="330"/>
      <c r="CE56" s="330"/>
    </row>
    <row r="57" spans="2:83" s="34" customFormat="1" ht="16.5" customHeight="1">
      <c r="D57" s="46"/>
      <c r="E57" s="340"/>
      <c r="F57" s="344"/>
      <c r="G57" s="344"/>
      <c r="H57" s="344"/>
      <c r="I57" s="344"/>
      <c r="J57" s="344"/>
      <c r="K57" s="344"/>
      <c r="L57" s="344"/>
      <c r="M57" s="344"/>
      <c r="N57" s="344"/>
      <c r="O57" s="344"/>
      <c r="P57" s="344"/>
      <c r="Q57" s="344"/>
      <c r="R57" s="344"/>
      <c r="S57" s="344"/>
      <c r="T57" s="344"/>
      <c r="U57" s="344"/>
      <c r="V57" s="341"/>
      <c r="W57" s="340"/>
      <c r="X57" s="344"/>
      <c r="Y57" s="344"/>
      <c r="Z57" s="344"/>
      <c r="AA57" s="344"/>
      <c r="AB57" s="344"/>
      <c r="AC57" s="344"/>
      <c r="AD57" s="344"/>
      <c r="AE57" s="344"/>
      <c r="AF57" s="344"/>
      <c r="AG57" s="344"/>
      <c r="AH57" s="344"/>
      <c r="AI57" s="344"/>
      <c r="AJ57" s="344"/>
      <c r="AK57" s="344"/>
      <c r="AL57" s="344"/>
      <c r="AM57" s="344"/>
      <c r="AN57" s="341"/>
      <c r="AO57" s="340"/>
      <c r="AP57" s="344"/>
      <c r="AQ57" s="344"/>
      <c r="AR57" s="344"/>
      <c r="AS57" s="344"/>
      <c r="AT57" s="344"/>
      <c r="AU57" s="344"/>
      <c r="AV57" s="344"/>
      <c r="AW57" s="344"/>
      <c r="AX57" s="344"/>
      <c r="AY57" s="344"/>
      <c r="AZ57" s="344"/>
      <c r="BA57" s="344"/>
      <c r="BB57" s="344"/>
      <c r="BC57" s="344"/>
      <c r="BD57" s="344"/>
      <c r="BE57" s="344"/>
      <c r="BF57" s="341"/>
      <c r="BG57" s="42"/>
      <c r="BJ57" s="340"/>
      <c r="BK57" s="344"/>
      <c r="BL57" s="344"/>
      <c r="BM57" s="344"/>
      <c r="BN57" s="344"/>
      <c r="BO57" s="344"/>
      <c r="BP57" s="344"/>
      <c r="BQ57" s="344"/>
      <c r="BR57" s="344"/>
      <c r="BS57" s="344"/>
      <c r="BT57" s="344"/>
      <c r="BU57" s="344"/>
      <c r="BV57" s="344"/>
      <c r="BW57" s="344"/>
      <c r="BX57" s="344"/>
      <c r="BY57" s="344"/>
      <c r="BZ57" s="344"/>
      <c r="CA57" s="341"/>
      <c r="CB57" s="331"/>
      <c r="CC57" s="331"/>
      <c r="CD57" s="331"/>
      <c r="CE57" s="331"/>
    </row>
    <row r="58" spans="2:83" ht="16.5" customHeight="1">
      <c r="B58" s="34"/>
      <c r="D58" s="43"/>
      <c r="E58" s="333"/>
      <c r="F58" s="334"/>
      <c r="G58" s="334"/>
      <c r="H58" s="334"/>
      <c r="I58" s="334"/>
      <c r="J58" s="334"/>
      <c r="K58" s="334"/>
      <c r="L58" s="334"/>
      <c r="M58" s="334"/>
      <c r="N58" s="334"/>
      <c r="O58" s="334"/>
      <c r="P58" s="334"/>
      <c r="Q58" s="334"/>
      <c r="R58" s="334"/>
      <c r="S58" s="334"/>
      <c r="T58" s="334"/>
      <c r="U58" s="334"/>
      <c r="V58" s="335"/>
      <c r="W58" s="333"/>
      <c r="X58" s="334"/>
      <c r="Y58" s="334"/>
      <c r="Z58" s="334"/>
      <c r="AA58" s="334"/>
      <c r="AB58" s="334"/>
      <c r="AC58" s="334"/>
      <c r="AD58" s="334"/>
      <c r="AE58" s="334"/>
      <c r="AF58" s="334"/>
      <c r="AG58" s="334"/>
      <c r="AH58" s="334"/>
      <c r="AI58" s="334"/>
      <c r="AJ58" s="334"/>
      <c r="AK58" s="334"/>
      <c r="AL58" s="334"/>
      <c r="AM58" s="334"/>
      <c r="AN58" s="335"/>
      <c r="AO58" s="333"/>
      <c r="AP58" s="334"/>
      <c r="AQ58" s="334"/>
      <c r="AR58" s="334"/>
      <c r="AS58" s="334"/>
      <c r="AT58" s="334"/>
      <c r="AU58" s="334"/>
      <c r="AV58" s="334"/>
      <c r="AW58" s="334"/>
      <c r="AX58" s="334"/>
      <c r="AY58" s="334"/>
      <c r="AZ58" s="334"/>
      <c r="BA58" s="334"/>
      <c r="BB58" s="334"/>
      <c r="BC58" s="334"/>
      <c r="BD58" s="334"/>
      <c r="BE58" s="334"/>
      <c r="BF58" s="335"/>
      <c r="BG58" s="41"/>
      <c r="BJ58" s="333"/>
      <c r="BK58" s="334"/>
      <c r="BL58" s="334"/>
      <c r="BM58" s="334"/>
      <c r="BN58" s="334"/>
      <c r="BO58" s="334"/>
      <c r="BP58" s="334"/>
      <c r="BQ58" s="334"/>
      <c r="BR58" s="334"/>
      <c r="BS58" s="334"/>
      <c r="BT58" s="334"/>
      <c r="BU58" s="334"/>
      <c r="BV58" s="334"/>
      <c r="BW58" s="334"/>
      <c r="BX58" s="334"/>
      <c r="BY58" s="334"/>
      <c r="BZ58" s="334"/>
      <c r="CA58" s="334"/>
      <c r="CB58" s="330"/>
      <c r="CC58" s="330"/>
      <c r="CD58" s="330"/>
      <c r="CE58" s="330"/>
    </row>
    <row r="59" spans="2:83" s="34" customFormat="1" ht="16.5" customHeight="1">
      <c r="D59" s="685"/>
      <c r="E59" s="336"/>
      <c r="F59" s="345"/>
      <c r="G59" s="347"/>
      <c r="H59" s="347"/>
      <c r="I59" s="347"/>
      <c r="J59" s="347"/>
      <c r="K59" s="347"/>
      <c r="L59" s="347"/>
      <c r="M59" s="347"/>
      <c r="N59" s="347"/>
      <c r="O59" s="347"/>
      <c r="P59" s="347"/>
      <c r="Q59" s="347"/>
      <c r="R59" s="347"/>
      <c r="S59" s="347"/>
      <c r="T59" s="347"/>
      <c r="U59" s="345"/>
      <c r="V59" s="337"/>
      <c r="W59" s="336"/>
      <c r="X59" s="345"/>
      <c r="Y59" s="347"/>
      <c r="Z59" s="347"/>
      <c r="AA59" s="347"/>
      <c r="AB59" s="347"/>
      <c r="AC59" s="347"/>
      <c r="AD59" s="347"/>
      <c r="AE59" s="347"/>
      <c r="AF59" s="347"/>
      <c r="AG59" s="347"/>
      <c r="AH59" s="347"/>
      <c r="AI59" s="347"/>
      <c r="AJ59" s="347"/>
      <c r="AK59" s="347"/>
      <c r="AL59" s="347"/>
      <c r="AM59" s="345"/>
      <c r="AN59" s="337"/>
      <c r="AO59" s="336"/>
      <c r="AP59" s="345"/>
      <c r="AQ59" s="347"/>
      <c r="AR59" s="347"/>
      <c r="AS59" s="347"/>
      <c r="AT59" s="347"/>
      <c r="AU59" s="347"/>
      <c r="AV59" s="347"/>
      <c r="AW59" s="347"/>
      <c r="AX59" s="347"/>
      <c r="AY59" s="347"/>
      <c r="AZ59" s="347"/>
      <c r="BA59" s="347"/>
      <c r="BB59" s="347"/>
      <c r="BC59" s="347"/>
      <c r="BD59" s="347"/>
      <c r="BE59" s="345"/>
      <c r="BF59" s="337"/>
      <c r="BG59" s="37"/>
      <c r="BJ59" s="336"/>
      <c r="BK59" s="342"/>
      <c r="BL59" s="342"/>
      <c r="BM59" s="342"/>
      <c r="BN59" s="342"/>
      <c r="BO59" s="342"/>
      <c r="BP59" s="342"/>
      <c r="BQ59" s="342"/>
      <c r="BR59" s="342"/>
      <c r="BS59" s="342"/>
      <c r="BT59" s="342"/>
      <c r="BU59" s="342"/>
      <c r="BV59" s="342"/>
      <c r="BW59" s="342"/>
      <c r="BX59" s="342"/>
      <c r="BY59" s="342"/>
      <c r="BZ59" s="342"/>
      <c r="CA59" s="342"/>
      <c r="CB59" s="331"/>
      <c r="CC59" s="331"/>
      <c r="CD59" s="331"/>
      <c r="CE59" s="331"/>
    </row>
    <row r="60" spans="2:83" s="35" customFormat="1" ht="16.5" customHeight="1">
      <c r="B60" s="34"/>
      <c r="D60" s="685"/>
      <c r="E60" s="336"/>
      <c r="F60" s="345"/>
      <c r="G60" s="347"/>
      <c r="H60" s="682"/>
      <c r="I60" s="682"/>
      <c r="J60" s="682"/>
      <c r="K60" s="682"/>
      <c r="L60" s="682"/>
      <c r="M60" s="682"/>
      <c r="N60" s="682"/>
      <c r="O60" s="682"/>
      <c r="P60" s="682"/>
      <c r="Q60" s="682"/>
      <c r="R60" s="682"/>
      <c r="S60" s="682"/>
      <c r="T60" s="347"/>
      <c r="U60" s="345"/>
      <c r="V60" s="337"/>
      <c r="W60" s="336"/>
      <c r="X60" s="345"/>
      <c r="Y60" s="347"/>
      <c r="Z60" s="682"/>
      <c r="AA60" s="682"/>
      <c r="AB60" s="682"/>
      <c r="AC60" s="682"/>
      <c r="AD60" s="682"/>
      <c r="AE60" s="682"/>
      <c r="AF60" s="682"/>
      <c r="AG60" s="682"/>
      <c r="AH60" s="682"/>
      <c r="AI60" s="682"/>
      <c r="AJ60" s="682"/>
      <c r="AK60" s="682"/>
      <c r="AL60" s="347"/>
      <c r="AM60" s="345"/>
      <c r="AN60" s="337"/>
      <c r="AO60" s="336"/>
      <c r="AP60" s="345"/>
      <c r="AQ60" s="347"/>
      <c r="AR60" s="682"/>
      <c r="AS60" s="682"/>
      <c r="AT60" s="682"/>
      <c r="AU60" s="682"/>
      <c r="AV60" s="682"/>
      <c r="AW60" s="682"/>
      <c r="AX60" s="682"/>
      <c r="AY60" s="682"/>
      <c r="AZ60" s="682"/>
      <c r="BA60" s="682"/>
      <c r="BB60" s="682"/>
      <c r="BC60" s="682"/>
      <c r="BD60" s="347"/>
      <c r="BE60" s="345"/>
      <c r="BF60" s="337"/>
      <c r="BG60" s="37"/>
      <c r="BJ60" s="336"/>
      <c r="BK60" s="342"/>
      <c r="BL60" s="342"/>
      <c r="BM60" s="342"/>
      <c r="BN60" s="342"/>
      <c r="BO60" s="342"/>
      <c r="BP60" s="342"/>
      <c r="BQ60" s="342"/>
      <c r="BR60" s="342"/>
      <c r="BS60" s="342"/>
      <c r="BT60" s="342"/>
      <c r="BU60" s="342"/>
      <c r="BV60" s="342"/>
      <c r="BW60" s="342"/>
      <c r="BX60" s="342"/>
      <c r="BY60" s="342"/>
      <c r="BZ60" s="342"/>
      <c r="CA60" s="342"/>
      <c r="CB60" s="332"/>
      <c r="CC60" s="332"/>
      <c r="CD60" s="332"/>
      <c r="CE60" s="332"/>
    </row>
    <row r="61" spans="2:83" s="35" customFormat="1" ht="16.5" customHeight="1">
      <c r="B61" s="34"/>
      <c r="D61" s="329"/>
      <c r="E61" s="336"/>
      <c r="F61" s="345"/>
      <c r="G61" s="347"/>
      <c r="H61" s="682"/>
      <c r="I61" s="682"/>
      <c r="J61" s="682"/>
      <c r="K61" s="682"/>
      <c r="L61" s="682"/>
      <c r="M61" s="682"/>
      <c r="N61" s="682"/>
      <c r="O61" s="682"/>
      <c r="P61" s="682"/>
      <c r="Q61" s="682"/>
      <c r="R61" s="682"/>
      <c r="S61" s="682"/>
      <c r="T61" s="347"/>
      <c r="U61" s="345"/>
      <c r="V61" s="337"/>
      <c r="W61" s="336"/>
      <c r="X61" s="345"/>
      <c r="Y61" s="347"/>
      <c r="Z61" s="682"/>
      <c r="AA61" s="682"/>
      <c r="AB61" s="682"/>
      <c r="AC61" s="682"/>
      <c r="AD61" s="682"/>
      <c r="AE61" s="682"/>
      <c r="AF61" s="682"/>
      <c r="AG61" s="682"/>
      <c r="AH61" s="682"/>
      <c r="AI61" s="682"/>
      <c r="AJ61" s="682"/>
      <c r="AK61" s="682"/>
      <c r="AL61" s="347"/>
      <c r="AM61" s="345"/>
      <c r="AN61" s="337"/>
      <c r="AO61" s="336"/>
      <c r="AP61" s="345"/>
      <c r="AQ61" s="347"/>
      <c r="AR61" s="682"/>
      <c r="AS61" s="682"/>
      <c r="AT61" s="682"/>
      <c r="AU61" s="682"/>
      <c r="AV61" s="682"/>
      <c r="AW61" s="682"/>
      <c r="AX61" s="682"/>
      <c r="AY61" s="682"/>
      <c r="AZ61" s="682"/>
      <c r="BA61" s="682"/>
      <c r="BB61" s="682"/>
      <c r="BC61" s="682"/>
      <c r="BD61" s="347"/>
      <c r="BE61" s="345"/>
      <c r="BF61" s="337"/>
      <c r="BG61" s="37"/>
      <c r="BJ61" s="336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2"/>
      <c r="BX61" s="342"/>
      <c r="BY61" s="342"/>
      <c r="BZ61" s="342"/>
      <c r="CA61" s="342"/>
      <c r="CB61" s="332"/>
      <c r="CC61" s="332"/>
      <c r="CD61" s="332"/>
      <c r="CE61" s="332"/>
    </row>
    <row r="62" spans="2:83" ht="16.5" customHeight="1">
      <c r="B62" s="34"/>
      <c r="D62" s="329"/>
      <c r="E62" s="336"/>
      <c r="F62" s="345"/>
      <c r="G62" s="347"/>
      <c r="H62" s="682"/>
      <c r="I62" s="682"/>
      <c r="J62" s="682"/>
      <c r="K62" s="682"/>
      <c r="L62" s="682"/>
      <c r="M62" s="682"/>
      <c r="N62" s="682"/>
      <c r="O62" s="682"/>
      <c r="P62" s="682"/>
      <c r="Q62" s="682"/>
      <c r="R62" s="682"/>
      <c r="S62" s="682"/>
      <c r="T62" s="347"/>
      <c r="U62" s="345"/>
      <c r="V62" s="337"/>
      <c r="W62" s="336"/>
      <c r="X62" s="345"/>
      <c r="Y62" s="347"/>
      <c r="Z62" s="682"/>
      <c r="AA62" s="682"/>
      <c r="AB62" s="682"/>
      <c r="AC62" s="682"/>
      <c r="AD62" s="682"/>
      <c r="AE62" s="682"/>
      <c r="AF62" s="682"/>
      <c r="AG62" s="682"/>
      <c r="AH62" s="682"/>
      <c r="AI62" s="682"/>
      <c r="AJ62" s="682"/>
      <c r="AK62" s="682"/>
      <c r="AL62" s="347"/>
      <c r="AM62" s="345"/>
      <c r="AN62" s="337"/>
      <c r="AO62" s="336"/>
      <c r="AP62" s="345"/>
      <c r="AQ62" s="347"/>
      <c r="AR62" s="682"/>
      <c r="AS62" s="682"/>
      <c r="AT62" s="682"/>
      <c r="AU62" s="682"/>
      <c r="AV62" s="682"/>
      <c r="AW62" s="682"/>
      <c r="AX62" s="682"/>
      <c r="AY62" s="682"/>
      <c r="AZ62" s="682"/>
      <c r="BA62" s="682"/>
      <c r="BB62" s="682"/>
      <c r="BC62" s="682"/>
      <c r="BD62" s="347"/>
      <c r="BE62" s="345"/>
      <c r="BF62" s="337"/>
      <c r="BG62" s="37"/>
      <c r="BJ62" s="336"/>
      <c r="BK62" s="342"/>
      <c r="BL62" s="342"/>
      <c r="BM62" s="342"/>
      <c r="BN62" s="342"/>
      <c r="BO62" s="342"/>
      <c r="BP62" s="342"/>
      <c r="BQ62" s="342"/>
      <c r="BR62" s="342"/>
      <c r="BS62" s="342"/>
      <c r="BT62" s="342"/>
      <c r="BU62" s="342"/>
      <c r="BV62" s="342"/>
      <c r="BW62" s="342"/>
      <c r="BX62" s="342"/>
      <c r="BY62" s="342"/>
      <c r="BZ62" s="342"/>
      <c r="CA62" s="342"/>
      <c r="CB62" s="330"/>
      <c r="CC62" s="330"/>
      <c r="CD62" s="330"/>
      <c r="CE62" s="330"/>
    </row>
    <row r="63" spans="2:83" ht="16.5" customHeight="1">
      <c r="B63" s="34"/>
      <c r="D63" s="45"/>
      <c r="E63" s="338"/>
      <c r="F63" s="681"/>
      <c r="G63" s="681"/>
      <c r="H63" s="681"/>
      <c r="I63" s="681"/>
      <c r="J63" s="681"/>
      <c r="K63" s="681"/>
      <c r="L63" s="683"/>
      <c r="M63" s="681"/>
      <c r="N63" s="681"/>
      <c r="O63" s="681"/>
      <c r="P63" s="681"/>
      <c r="Q63" s="681"/>
      <c r="R63" s="681"/>
      <c r="S63" s="681"/>
      <c r="T63" s="681"/>
      <c r="U63" s="681"/>
      <c r="V63" s="339"/>
      <c r="W63" s="338"/>
      <c r="X63" s="681"/>
      <c r="Y63" s="681"/>
      <c r="Z63" s="681"/>
      <c r="AA63" s="681"/>
      <c r="AB63" s="681"/>
      <c r="AC63" s="681"/>
      <c r="AD63" s="683"/>
      <c r="AE63" s="681"/>
      <c r="AF63" s="681"/>
      <c r="AG63" s="681"/>
      <c r="AH63" s="681"/>
      <c r="AI63" s="681"/>
      <c r="AJ63" s="681"/>
      <c r="AK63" s="681"/>
      <c r="AL63" s="681"/>
      <c r="AM63" s="681"/>
      <c r="AN63" s="339"/>
      <c r="AO63" s="338"/>
      <c r="AP63" s="681"/>
      <c r="AQ63" s="681"/>
      <c r="AR63" s="681"/>
      <c r="AS63" s="681"/>
      <c r="AT63" s="681"/>
      <c r="AU63" s="681"/>
      <c r="AV63" s="683"/>
      <c r="AW63" s="681"/>
      <c r="AX63" s="681"/>
      <c r="AY63" s="681"/>
      <c r="AZ63" s="681"/>
      <c r="BA63" s="681"/>
      <c r="BB63" s="681"/>
      <c r="BC63" s="681"/>
      <c r="BD63" s="681"/>
      <c r="BE63" s="681"/>
      <c r="BF63" s="339"/>
      <c r="BG63" s="38"/>
      <c r="BJ63" s="338"/>
      <c r="BK63" s="343"/>
      <c r="BL63" s="343"/>
      <c r="BM63" s="343"/>
      <c r="BN63" s="343"/>
      <c r="BO63" s="343"/>
      <c r="BP63" s="343"/>
      <c r="BQ63" s="343"/>
      <c r="BR63" s="343"/>
      <c r="BS63" s="343"/>
      <c r="BT63" s="343"/>
      <c r="BU63" s="343"/>
      <c r="BV63" s="343"/>
      <c r="BW63" s="343"/>
      <c r="BX63" s="343"/>
      <c r="BY63" s="343"/>
      <c r="BZ63" s="343"/>
      <c r="CA63" s="343"/>
      <c r="CB63" s="330"/>
      <c r="CC63" s="330"/>
      <c r="CD63" s="330"/>
      <c r="CE63" s="330"/>
    </row>
    <row r="64" spans="2:83" ht="16.5" customHeight="1">
      <c r="B64" s="34"/>
      <c r="D64" s="45"/>
      <c r="E64" s="338"/>
      <c r="F64" s="346"/>
      <c r="G64" s="346"/>
      <c r="H64" s="346"/>
      <c r="I64" s="346"/>
      <c r="J64" s="346"/>
      <c r="K64" s="346"/>
      <c r="L64" s="346"/>
      <c r="M64" s="346"/>
      <c r="N64" s="346"/>
      <c r="O64" s="346"/>
      <c r="P64" s="346"/>
      <c r="Q64" s="346"/>
      <c r="R64" s="346"/>
      <c r="S64" s="346"/>
      <c r="T64" s="346"/>
      <c r="U64" s="346"/>
      <c r="V64" s="339"/>
      <c r="W64" s="338"/>
      <c r="X64" s="346"/>
      <c r="Y64" s="346"/>
      <c r="Z64" s="346"/>
      <c r="AA64" s="346"/>
      <c r="AB64" s="346"/>
      <c r="AC64" s="346"/>
      <c r="AD64" s="346"/>
      <c r="AE64" s="346"/>
      <c r="AF64" s="346"/>
      <c r="AG64" s="346"/>
      <c r="AH64" s="346"/>
      <c r="AI64" s="346"/>
      <c r="AJ64" s="346"/>
      <c r="AK64" s="346"/>
      <c r="AL64" s="346"/>
      <c r="AM64" s="346"/>
      <c r="AN64" s="339"/>
      <c r="AO64" s="338"/>
      <c r="AP64" s="346"/>
      <c r="AQ64" s="346"/>
      <c r="AR64" s="346"/>
      <c r="AS64" s="346"/>
      <c r="AT64" s="346"/>
      <c r="AU64" s="346"/>
      <c r="AV64" s="346"/>
      <c r="AW64" s="346"/>
      <c r="AX64" s="346"/>
      <c r="AY64" s="346"/>
      <c r="AZ64" s="346"/>
      <c r="BA64" s="346"/>
      <c r="BB64" s="346"/>
      <c r="BC64" s="346"/>
      <c r="BD64" s="346"/>
      <c r="BE64" s="346"/>
      <c r="BF64" s="339"/>
      <c r="BG64" s="38"/>
      <c r="BJ64" s="338"/>
      <c r="BK64" s="343"/>
      <c r="BL64" s="343"/>
      <c r="BM64" s="343"/>
      <c r="BN64" s="343"/>
      <c r="BO64" s="343"/>
      <c r="BP64" s="343"/>
      <c r="BQ64" s="343"/>
      <c r="BR64" s="343"/>
      <c r="BS64" s="343"/>
      <c r="BT64" s="343"/>
      <c r="BU64" s="343"/>
      <c r="BV64" s="343"/>
      <c r="BW64" s="343"/>
      <c r="BX64" s="343"/>
      <c r="BY64" s="343"/>
      <c r="BZ64" s="343"/>
      <c r="CA64" s="343"/>
      <c r="CB64" s="330"/>
      <c r="CC64" s="330"/>
      <c r="CD64" s="330"/>
      <c r="CE64" s="330"/>
    </row>
    <row r="65" spans="2:83" s="34" customFormat="1" ht="16.5" customHeight="1">
      <c r="D65" s="46"/>
      <c r="E65" s="340"/>
      <c r="F65" s="344"/>
      <c r="G65" s="344"/>
      <c r="H65" s="344"/>
      <c r="I65" s="344"/>
      <c r="J65" s="344"/>
      <c r="K65" s="344"/>
      <c r="L65" s="344"/>
      <c r="M65" s="344"/>
      <c r="N65" s="344"/>
      <c r="O65" s="344"/>
      <c r="P65" s="344"/>
      <c r="Q65" s="344"/>
      <c r="R65" s="344"/>
      <c r="S65" s="344"/>
      <c r="T65" s="344"/>
      <c r="U65" s="344"/>
      <c r="V65" s="341"/>
      <c r="W65" s="340"/>
      <c r="X65" s="344"/>
      <c r="Y65" s="344"/>
      <c r="Z65" s="344"/>
      <c r="AA65" s="344"/>
      <c r="AB65" s="344"/>
      <c r="AC65" s="344"/>
      <c r="AD65" s="344"/>
      <c r="AE65" s="344"/>
      <c r="AF65" s="344"/>
      <c r="AG65" s="344"/>
      <c r="AH65" s="344"/>
      <c r="AI65" s="344"/>
      <c r="AJ65" s="344"/>
      <c r="AK65" s="344"/>
      <c r="AL65" s="344"/>
      <c r="AM65" s="344"/>
      <c r="AN65" s="341"/>
      <c r="AO65" s="340"/>
      <c r="AP65" s="344"/>
      <c r="AQ65" s="344"/>
      <c r="AR65" s="344"/>
      <c r="AS65" s="344"/>
      <c r="AT65" s="344"/>
      <c r="AU65" s="344"/>
      <c r="AV65" s="344"/>
      <c r="AW65" s="344"/>
      <c r="AX65" s="344"/>
      <c r="AY65" s="344"/>
      <c r="AZ65" s="344"/>
      <c r="BA65" s="344"/>
      <c r="BB65" s="344"/>
      <c r="BC65" s="344"/>
      <c r="BD65" s="344"/>
      <c r="BE65" s="344"/>
      <c r="BF65" s="341"/>
      <c r="BG65" s="42"/>
      <c r="BJ65" s="340"/>
      <c r="BK65" s="344"/>
      <c r="BL65" s="344"/>
      <c r="BM65" s="344"/>
      <c r="BN65" s="344"/>
      <c r="BO65" s="344"/>
      <c r="BP65" s="344"/>
      <c r="BQ65" s="344"/>
      <c r="BR65" s="344"/>
      <c r="BS65" s="344"/>
      <c r="BT65" s="344"/>
      <c r="BU65" s="344"/>
      <c r="BV65" s="344"/>
      <c r="BW65" s="344"/>
      <c r="BX65" s="344"/>
      <c r="BY65" s="344"/>
      <c r="BZ65" s="344"/>
      <c r="CA65" s="344"/>
      <c r="CB65" s="331"/>
      <c r="CC65" s="331"/>
      <c r="CD65" s="331"/>
      <c r="CE65" s="331"/>
    </row>
    <row r="66" spans="2:83" ht="16.5" customHeight="1">
      <c r="B66" s="34"/>
      <c r="D66" s="43"/>
      <c r="E66" s="333"/>
      <c r="F66" s="334"/>
      <c r="G66" s="334"/>
      <c r="H66" s="334"/>
      <c r="I66" s="334"/>
      <c r="J66" s="334"/>
      <c r="K66" s="334"/>
      <c r="L66" s="334"/>
      <c r="M66" s="334"/>
      <c r="N66" s="334"/>
      <c r="O66" s="334"/>
      <c r="P66" s="334"/>
      <c r="Q66" s="334"/>
      <c r="R66" s="334"/>
      <c r="S66" s="334"/>
      <c r="T66" s="334"/>
      <c r="U66" s="334"/>
      <c r="V66" s="335"/>
      <c r="W66" s="333"/>
      <c r="X66" s="334"/>
      <c r="Y66" s="334"/>
      <c r="Z66" s="334"/>
      <c r="AA66" s="334"/>
      <c r="AB66" s="334"/>
      <c r="AC66" s="334"/>
      <c r="AD66" s="334"/>
      <c r="AE66" s="334"/>
      <c r="AF66" s="334"/>
      <c r="AG66" s="334"/>
      <c r="AH66" s="334"/>
      <c r="AI66" s="334"/>
      <c r="AJ66" s="334"/>
      <c r="AK66" s="334"/>
      <c r="AL66" s="334"/>
      <c r="AM66" s="334"/>
      <c r="AN66" s="335"/>
      <c r="AO66" s="333"/>
      <c r="AP66" s="334"/>
      <c r="AQ66" s="334"/>
      <c r="AR66" s="334"/>
      <c r="AS66" s="334"/>
      <c r="AT66" s="334"/>
      <c r="AU66" s="334"/>
      <c r="AV66" s="334"/>
      <c r="AW66" s="334"/>
      <c r="AX66" s="334"/>
      <c r="AY66" s="334"/>
      <c r="AZ66" s="334"/>
      <c r="BA66" s="334"/>
      <c r="BB66" s="334"/>
      <c r="BC66" s="334"/>
      <c r="BD66" s="334"/>
      <c r="BE66" s="334"/>
      <c r="BF66" s="335"/>
      <c r="BG66" s="41"/>
      <c r="BJ66" s="333"/>
      <c r="BK66" s="334"/>
      <c r="BL66" s="334"/>
      <c r="BM66" s="334"/>
      <c r="BN66" s="334"/>
      <c r="BO66" s="334"/>
      <c r="BP66" s="334"/>
      <c r="BQ66" s="334"/>
      <c r="BR66" s="334"/>
      <c r="BS66" s="334"/>
      <c r="BT66" s="334"/>
      <c r="BU66" s="334"/>
      <c r="BV66" s="334"/>
      <c r="BW66" s="334"/>
      <c r="BX66" s="334"/>
      <c r="BY66" s="334"/>
      <c r="BZ66" s="334"/>
      <c r="CA66" s="334"/>
      <c r="CB66" s="330"/>
      <c r="CC66" s="330"/>
      <c r="CD66" s="330"/>
      <c r="CE66" s="330"/>
    </row>
    <row r="67" spans="2:83" s="34" customFormat="1" ht="16.5" customHeight="1">
      <c r="D67" s="685"/>
      <c r="E67" s="336"/>
      <c r="F67" s="345"/>
      <c r="G67" s="347"/>
      <c r="H67" s="347"/>
      <c r="I67" s="347"/>
      <c r="J67" s="347"/>
      <c r="K67" s="347"/>
      <c r="L67" s="347"/>
      <c r="M67" s="347"/>
      <c r="N67" s="347"/>
      <c r="O67" s="347"/>
      <c r="P67" s="347"/>
      <c r="Q67" s="347"/>
      <c r="R67" s="347"/>
      <c r="S67" s="347"/>
      <c r="T67" s="347"/>
      <c r="U67" s="345"/>
      <c r="V67" s="337"/>
      <c r="W67" s="336"/>
      <c r="X67" s="345"/>
      <c r="Y67" s="347"/>
      <c r="Z67" s="347"/>
      <c r="AA67" s="347"/>
      <c r="AB67" s="347"/>
      <c r="AC67" s="347"/>
      <c r="AD67" s="347"/>
      <c r="AE67" s="347"/>
      <c r="AF67" s="347"/>
      <c r="AG67" s="347"/>
      <c r="AH67" s="347"/>
      <c r="AI67" s="347"/>
      <c r="AJ67" s="347"/>
      <c r="AK67" s="347"/>
      <c r="AL67" s="347"/>
      <c r="AM67" s="345"/>
      <c r="AN67" s="337"/>
      <c r="AO67" s="336"/>
      <c r="AP67" s="345"/>
      <c r="AQ67" s="347"/>
      <c r="AR67" s="347"/>
      <c r="AS67" s="347"/>
      <c r="AT67" s="347"/>
      <c r="AU67" s="347"/>
      <c r="AV67" s="347"/>
      <c r="AW67" s="347"/>
      <c r="AX67" s="347"/>
      <c r="AY67" s="347"/>
      <c r="AZ67" s="347"/>
      <c r="BA67" s="347"/>
      <c r="BB67" s="347"/>
      <c r="BC67" s="347"/>
      <c r="BD67" s="347"/>
      <c r="BE67" s="345"/>
      <c r="BF67" s="337"/>
      <c r="BG67" s="37"/>
      <c r="BJ67" s="336"/>
      <c r="BK67" s="342"/>
      <c r="BL67" s="342"/>
      <c r="BM67" s="342"/>
      <c r="BN67" s="342"/>
      <c r="BO67" s="342"/>
      <c r="BP67" s="342"/>
      <c r="BQ67" s="342"/>
      <c r="BR67" s="342"/>
      <c r="BS67" s="342"/>
      <c r="BT67" s="342"/>
      <c r="BU67" s="342"/>
      <c r="BV67" s="342"/>
      <c r="BW67" s="342"/>
      <c r="BX67" s="342"/>
      <c r="BY67" s="342"/>
      <c r="BZ67" s="342"/>
      <c r="CA67" s="342"/>
      <c r="CB67" s="331"/>
      <c r="CC67" s="331"/>
      <c r="CD67" s="331"/>
      <c r="CE67" s="331"/>
    </row>
    <row r="68" spans="2:83" s="35" customFormat="1" ht="16.5" customHeight="1">
      <c r="B68" s="34"/>
      <c r="D68" s="685"/>
      <c r="E68" s="336"/>
      <c r="F68" s="345"/>
      <c r="G68" s="347"/>
      <c r="H68" s="682"/>
      <c r="I68" s="682"/>
      <c r="J68" s="682"/>
      <c r="K68" s="682"/>
      <c r="L68" s="682"/>
      <c r="M68" s="682"/>
      <c r="N68" s="682"/>
      <c r="O68" s="682"/>
      <c r="P68" s="682"/>
      <c r="Q68" s="682"/>
      <c r="R68" s="682"/>
      <c r="S68" s="682"/>
      <c r="T68" s="347"/>
      <c r="U68" s="345"/>
      <c r="V68" s="337"/>
      <c r="W68" s="336"/>
      <c r="X68" s="345"/>
      <c r="Y68" s="347"/>
      <c r="Z68" s="682"/>
      <c r="AA68" s="682"/>
      <c r="AB68" s="682"/>
      <c r="AC68" s="682"/>
      <c r="AD68" s="682"/>
      <c r="AE68" s="682"/>
      <c r="AF68" s="682"/>
      <c r="AG68" s="682"/>
      <c r="AH68" s="682"/>
      <c r="AI68" s="682"/>
      <c r="AJ68" s="682"/>
      <c r="AK68" s="682"/>
      <c r="AL68" s="347"/>
      <c r="AM68" s="345"/>
      <c r="AN68" s="337"/>
      <c r="AO68" s="336"/>
      <c r="AP68" s="345"/>
      <c r="AQ68" s="347"/>
      <c r="AR68" s="682"/>
      <c r="AS68" s="682"/>
      <c r="AT68" s="682"/>
      <c r="AU68" s="682"/>
      <c r="AV68" s="682"/>
      <c r="AW68" s="682"/>
      <c r="AX68" s="682"/>
      <c r="AY68" s="682"/>
      <c r="AZ68" s="682"/>
      <c r="BA68" s="682"/>
      <c r="BB68" s="682"/>
      <c r="BC68" s="682"/>
      <c r="BD68" s="347"/>
      <c r="BE68" s="345"/>
      <c r="BF68" s="337"/>
      <c r="BG68" s="37"/>
      <c r="BJ68" s="336"/>
      <c r="BK68" s="342"/>
      <c r="BL68" s="342"/>
      <c r="BM68" s="342"/>
      <c r="BN68" s="342"/>
      <c r="BO68" s="342"/>
      <c r="BP68" s="342"/>
      <c r="BQ68" s="342"/>
      <c r="BR68" s="342"/>
      <c r="BS68" s="342"/>
      <c r="BT68" s="342"/>
      <c r="BU68" s="342"/>
      <c r="BV68" s="342"/>
      <c r="BW68" s="342"/>
      <c r="BX68" s="342"/>
      <c r="BY68" s="342"/>
      <c r="BZ68" s="342"/>
      <c r="CA68" s="342"/>
      <c r="CB68" s="332"/>
      <c r="CC68" s="332"/>
      <c r="CD68" s="332"/>
      <c r="CE68" s="332"/>
    </row>
    <row r="69" spans="2:83" s="35" customFormat="1" ht="16.5" customHeight="1">
      <c r="B69" s="34"/>
      <c r="D69" s="329"/>
      <c r="E69" s="336"/>
      <c r="F69" s="345"/>
      <c r="G69" s="347"/>
      <c r="H69" s="682"/>
      <c r="I69" s="682"/>
      <c r="J69" s="682"/>
      <c r="K69" s="682"/>
      <c r="L69" s="682"/>
      <c r="M69" s="682"/>
      <c r="N69" s="682"/>
      <c r="O69" s="682"/>
      <c r="P69" s="682"/>
      <c r="Q69" s="682"/>
      <c r="R69" s="682"/>
      <c r="S69" s="682"/>
      <c r="T69" s="347"/>
      <c r="U69" s="345"/>
      <c r="V69" s="337"/>
      <c r="W69" s="336"/>
      <c r="X69" s="345"/>
      <c r="Y69" s="347"/>
      <c r="Z69" s="682"/>
      <c r="AA69" s="682"/>
      <c r="AB69" s="682"/>
      <c r="AC69" s="682"/>
      <c r="AD69" s="682"/>
      <c r="AE69" s="682"/>
      <c r="AF69" s="682"/>
      <c r="AG69" s="682"/>
      <c r="AH69" s="682"/>
      <c r="AI69" s="682"/>
      <c r="AJ69" s="682"/>
      <c r="AK69" s="682"/>
      <c r="AL69" s="347"/>
      <c r="AM69" s="345"/>
      <c r="AN69" s="337"/>
      <c r="AO69" s="336"/>
      <c r="AP69" s="345"/>
      <c r="AQ69" s="347"/>
      <c r="AR69" s="682"/>
      <c r="AS69" s="682"/>
      <c r="AT69" s="682"/>
      <c r="AU69" s="682"/>
      <c r="AV69" s="682"/>
      <c r="AW69" s="682"/>
      <c r="AX69" s="682"/>
      <c r="AY69" s="682"/>
      <c r="AZ69" s="682"/>
      <c r="BA69" s="682"/>
      <c r="BB69" s="682"/>
      <c r="BC69" s="682"/>
      <c r="BD69" s="347"/>
      <c r="BE69" s="345"/>
      <c r="BF69" s="337"/>
      <c r="BG69" s="37"/>
      <c r="BJ69" s="336"/>
      <c r="BK69" s="342"/>
      <c r="BL69" s="342"/>
      <c r="BM69" s="342"/>
      <c r="BN69" s="342"/>
      <c r="BO69" s="342"/>
      <c r="BP69" s="342"/>
      <c r="BQ69" s="342"/>
      <c r="BR69" s="342"/>
      <c r="BS69" s="342"/>
      <c r="BT69" s="342"/>
      <c r="BU69" s="342"/>
      <c r="BV69" s="342"/>
      <c r="BW69" s="342"/>
      <c r="BX69" s="342"/>
      <c r="BY69" s="342"/>
      <c r="BZ69" s="342"/>
      <c r="CA69" s="342"/>
      <c r="CB69" s="332"/>
      <c r="CC69" s="332"/>
      <c r="CD69" s="332"/>
      <c r="CE69" s="332"/>
    </row>
    <row r="70" spans="2:83" ht="16.5" customHeight="1">
      <c r="B70" s="34"/>
      <c r="D70" s="329"/>
      <c r="E70" s="336"/>
      <c r="F70" s="345"/>
      <c r="G70" s="347"/>
      <c r="H70" s="682"/>
      <c r="I70" s="682"/>
      <c r="J70" s="682"/>
      <c r="K70" s="682"/>
      <c r="L70" s="682"/>
      <c r="M70" s="682"/>
      <c r="N70" s="682"/>
      <c r="O70" s="682"/>
      <c r="P70" s="682"/>
      <c r="Q70" s="682"/>
      <c r="R70" s="682"/>
      <c r="S70" s="682"/>
      <c r="T70" s="347"/>
      <c r="U70" s="345"/>
      <c r="V70" s="337"/>
      <c r="W70" s="336"/>
      <c r="X70" s="345"/>
      <c r="Y70" s="347"/>
      <c r="Z70" s="682"/>
      <c r="AA70" s="682"/>
      <c r="AB70" s="682"/>
      <c r="AC70" s="682"/>
      <c r="AD70" s="682"/>
      <c r="AE70" s="682"/>
      <c r="AF70" s="682"/>
      <c r="AG70" s="682"/>
      <c r="AH70" s="682"/>
      <c r="AI70" s="682"/>
      <c r="AJ70" s="682"/>
      <c r="AK70" s="682"/>
      <c r="AL70" s="347"/>
      <c r="AM70" s="345"/>
      <c r="AN70" s="337"/>
      <c r="AO70" s="336"/>
      <c r="AP70" s="345"/>
      <c r="AQ70" s="347"/>
      <c r="AR70" s="682"/>
      <c r="AS70" s="682"/>
      <c r="AT70" s="682"/>
      <c r="AU70" s="682"/>
      <c r="AV70" s="682"/>
      <c r="AW70" s="682"/>
      <c r="AX70" s="682"/>
      <c r="AY70" s="682"/>
      <c r="AZ70" s="682"/>
      <c r="BA70" s="682"/>
      <c r="BB70" s="682"/>
      <c r="BC70" s="682"/>
      <c r="BD70" s="347"/>
      <c r="BE70" s="345"/>
      <c r="BF70" s="337"/>
      <c r="BG70" s="37"/>
      <c r="BJ70" s="336"/>
      <c r="BK70" s="342"/>
      <c r="BL70" s="342"/>
      <c r="BM70" s="342"/>
      <c r="BN70" s="342"/>
      <c r="BO70" s="342"/>
      <c r="BP70" s="342"/>
      <c r="BQ70" s="342"/>
      <c r="BR70" s="342"/>
      <c r="BS70" s="342"/>
      <c r="BT70" s="342"/>
      <c r="BU70" s="342"/>
      <c r="BV70" s="342"/>
      <c r="BW70" s="342"/>
      <c r="BX70" s="342"/>
      <c r="BY70" s="342"/>
      <c r="BZ70" s="342"/>
      <c r="CA70" s="342"/>
      <c r="CB70" s="330"/>
      <c r="CC70" s="330"/>
      <c r="CD70" s="330"/>
      <c r="CE70" s="330"/>
    </row>
    <row r="71" spans="2:83" ht="16.5" customHeight="1">
      <c r="B71" s="34"/>
      <c r="D71" s="45"/>
      <c r="E71" s="338"/>
      <c r="F71" s="681"/>
      <c r="G71" s="681"/>
      <c r="H71" s="681"/>
      <c r="I71" s="681"/>
      <c r="J71" s="681"/>
      <c r="K71" s="681"/>
      <c r="L71" s="683"/>
      <c r="M71" s="681"/>
      <c r="N71" s="681"/>
      <c r="O71" s="681"/>
      <c r="P71" s="681"/>
      <c r="Q71" s="681"/>
      <c r="R71" s="681"/>
      <c r="S71" s="681"/>
      <c r="T71" s="681"/>
      <c r="U71" s="681"/>
      <c r="V71" s="339"/>
      <c r="W71" s="338"/>
      <c r="X71" s="681"/>
      <c r="Y71" s="681"/>
      <c r="Z71" s="681"/>
      <c r="AA71" s="681"/>
      <c r="AB71" s="681"/>
      <c r="AC71" s="681"/>
      <c r="AD71" s="683"/>
      <c r="AE71" s="681"/>
      <c r="AF71" s="681"/>
      <c r="AG71" s="681"/>
      <c r="AH71" s="681"/>
      <c r="AI71" s="681"/>
      <c r="AJ71" s="681"/>
      <c r="AK71" s="681"/>
      <c r="AL71" s="681"/>
      <c r="AM71" s="681"/>
      <c r="AN71" s="339"/>
      <c r="AO71" s="338"/>
      <c r="AP71" s="681"/>
      <c r="AQ71" s="681"/>
      <c r="AR71" s="681"/>
      <c r="AS71" s="681"/>
      <c r="AT71" s="681"/>
      <c r="AU71" s="681"/>
      <c r="AV71" s="683"/>
      <c r="AW71" s="681"/>
      <c r="AX71" s="681"/>
      <c r="AY71" s="681"/>
      <c r="AZ71" s="681"/>
      <c r="BA71" s="681"/>
      <c r="BB71" s="681"/>
      <c r="BC71" s="681"/>
      <c r="BD71" s="681"/>
      <c r="BE71" s="681"/>
      <c r="BF71" s="339"/>
      <c r="BG71" s="38"/>
      <c r="BJ71" s="338"/>
      <c r="BK71" s="343"/>
      <c r="BL71" s="343"/>
      <c r="BM71" s="343"/>
      <c r="BN71" s="343"/>
      <c r="BO71" s="343"/>
      <c r="BP71" s="343"/>
      <c r="BQ71" s="343"/>
      <c r="BR71" s="343"/>
      <c r="BS71" s="343"/>
      <c r="BT71" s="343"/>
      <c r="BU71" s="343"/>
      <c r="BV71" s="343"/>
      <c r="BW71" s="343"/>
      <c r="BX71" s="343"/>
      <c r="BY71" s="343"/>
      <c r="BZ71" s="343"/>
      <c r="CA71" s="343"/>
      <c r="CB71" s="330"/>
      <c r="CC71" s="330"/>
      <c r="CD71" s="330"/>
      <c r="CE71" s="330"/>
    </row>
    <row r="72" spans="2:83" ht="16.5" customHeight="1">
      <c r="B72" s="34"/>
      <c r="D72" s="45"/>
      <c r="E72" s="338"/>
      <c r="F72" s="346"/>
      <c r="G72" s="346"/>
      <c r="H72" s="346"/>
      <c r="I72" s="346"/>
      <c r="J72" s="346"/>
      <c r="K72" s="346"/>
      <c r="L72" s="346"/>
      <c r="M72" s="346"/>
      <c r="N72" s="346"/>
      <c r="O72" s="346"/>
      <c r="P72" s="346"/>
      <c r="Q72" s="346"/>
      <c r="R72" s="346"/>
      <c r="S72" s="346"/>
      <c r="T72" s="346"/>
      <c r="U72" s="346"/>
      <c r="V72" s="339"/>
      <c r="W72" s="338"/>
      <c r="X72" s="346"/>
      <c r="Y72" s="346"/>
      <c r="Z72" s="346"/>
      <c r="AA72" s="346"/>
      <c r="AB72" s="346"/>
      <c r="AC72" s="346"/>
      <c r="AD72" s="346"/>
      <c r="AE72" s="346"/>
      <c r="AF72" s="346"/>
      <c r="AG72" s="346"/>
      <c r="AH72" s="346"/>
      <c r="AI72" s="346"/>
      <c r="AJ72" s="346"/>
      <c r="AK72" s="346"/>
      <c r="AL72" s="346"/>
      <c r="AM72" s="346"/>
      <c r="AN72" s="339"/>
      <c r="AO72" s="338"/>
      <c r="AP72" s="346"/>
      <c r="AQ72" s="346"/>
      <c r="AR72" s="346"/>
      <c r="AS72" s="346"/>
      <c r="AT72" s="346"/>
      <c r="AU72" s="346"/>
      <c r="AV72" s="346"/>
      <c r="AW72" s="346"/>
      <c r="AX72" s="346"/>
      <c r="AY72" s="346"/>
      <c r="AZ72" s="346"/>
      <c r="BA72" s="346"/>
      <c r="BB72" s="346"/>
      <c r="BC72" s="346"/>
      <c r="BD72" s="346"/>
      <c r="BE72" s="346"/>
      <c r="BF72" s="339"/>
      <c r="BG72" s="38"/>
      <c r="BJ72" s="338"/>
      <c r="BK72" s="343"/>
      <c r="BL72" s="343"/>
      <c r="BM72" s="343"/>
      <c r="BN72" s="343"/>
      <c r="BO72" s="343"/>
      <c r="BP72" s="343"/>
      <c r="BQ72" s="343"/>
      <c r="BR72" s="343"/>
      <c r="BS72" s="343"/>
      <c r="BT72" s="343"/>
      <c r="BU72" s="343"/>
      <c r="BV72" s="343"/>
      <c r="BW72" s="343"/>
      <c r="BX72" s="343"/>
      <c r="BY72" s="343"/>
      <c r="BZ72" s="343"/>
      <c r="CA72" s="343"/>
      <c r="CB72" s="330"/>
      <c r="CC72" s="330"/>
      <c r="CD72" s="330"/>
      <c r="CE72" s="330"/>
    </row>
    <row r="73" spans="2:83" s="34" customFormat="1" ht="16.5" customHeight="1">
      <c r="D73" s="46"/>
      <c r="E73" s="340"/>
      <c r="F73" s="344"/>
      <c r="G73" s="344"/>
      <c r="H73" s="344"/>
      <c r="I73" s="344"/>
      <c r="J73" s="344"/>
      <c r="K73" s="344"/>
      <c r="L73" s="344"/>
      <c r="M73" s="344"/>
      <c r="N73" s="344"/>
      <c r="O73" s="344"/>
      <c r="P73" s="344"/>
      <c r="Q73" s="344"/>
      <c r="R73" s="344"/>
      <c r="S73" s="344"/>
      <c r="T73" s="344"/>
      <c r="U73" s="344"/>
      <c r="V73" s="341"/>
      <c r="W73" s="340"/>
      <c r="X73" s="344"/>
      <c r="Y73" s="344"/>
      <c r="Z73" s="344"/>
      <c r="AA73" s="344"/>
      <c r="AB73" s="344"/>
      <c r="AC73" s="344"/>
      <c r="AD73" s="344"/>
      <c r="AE73" s="344"/>
      <c r="AF73" s="344"/>
      <c r="AG73" s="344"/>
      <c r="AH73" s="344"/>
      <c r="AI73" s="344"/>
      <c r="AJ73" s="344"/>
      <c r="AK73" s="344"/>
      <c r="AL73" s="344"/>
      <c r="AM73" s="344"/>
      <c r="AN73" s="341"/>
      <c r="AO73" s="340"/>
      <c r="AP73" s="344"/>
      <c r="AQ73" s="344"/>
      <c r="AR73" s="344"/>
      <c r="AS73" s="344"/>
      <c r="AT73" s="344"/>
      <c r="AU73" s="344"/>
      <c r="AV73" s="344"/>
      <c r="AW73" s="344"/>
      <c r="AX73" s="344"/>
      <c r="AY73" s="344"/>
      <c r="AZ73" s="344"/>
      <c r="BA73" s="344"/>
      <c r="BB73" s="344"/>
      <c r="BC73" s="344"/>
      <c r="BD73" s="344"/>
      <c r="BE73" s="344"/>
      <c r="BF73" s="341"/>
      <c r="BG73" s="42"/>
      <c r="BJ73" s="340"/>
      <c r="BK73" s="344"/>
      <c r="BL73" s="344"/>
      <c r="BM73" s="344"/>
      <c r="BN73" s="344"/>
      <c r="BO73" s="344"/>
      <c r="BP73" s="344"/>
      <c r="BQ73" s="344"/>
      <c r="BR73" s="344"/>
      <c r="BS73" s="344"/>
      <c r="BT73" s="344"/>
      <c r="BU73" s="344"/>
      <c r="BV73" s="344"/>
      <c r="BW73" s="344"/>
      <c r="BX73" s="344"/>
      <c r="BY73" s="344"/>
      <c r="BZ73" s="344"/>
      <c r="CA73" s="344"/>
      <c r="CB73" s="331"/>
      <c r="CC73" s="331"/>
      <c r="CD73" s="331"/>
      <c r="CE73" s="331"/>
    </row>
    <row r="74" spans="2:83" ht="16.5" customHeight="1">
      <c r="B74" s="34"/>
      <c r="D74" s="43"/>
      <c r="E74" s="333"/>
      <c r="F74" s="334"/>
      <c r="G74" s="334"/>
      <c r="H74" s="334"/>
      <c r="I74" s="334"/>
      <c r="J74" s="334"/>
      <c r="K74" s="334"/>
      <c r="L74" s="334"/>
      <c r="M74" s="334"/>
      <c r="N74" s="334"/>
      <c r="O74" s="334"/>
      <c r="P74" s="334"/>
      <c r="Q74" s="334"/>
      <c r="R74" s="334"/>
      <c r="S74" s="334"/>
      <c r="T74" s="334"/>
      <c r="U74" s="334"/>
      <c r="V74" s="335"/>
      <c r="W74" s="333"/>
      <c r="X74" s="334"/>
      <c r="Y74" s="334"/>
      <c r="Z74" s="334"/>
      <c r="AA74" s="334"/>
      <c r="AB74" s="334"/>
      <c r="AC74" s="334"/>
      <c r="AD74" s="334"/>
      <c r="AE74" s="334"/>
      <c r="AF74" s="334"/>
      <c r="AG74" s="334"/>
      <c r="AH74" s="334"/>
      <c r="AI74" s="334"/>
      <c r="AJ74" s="334"/>
      <c r="AK74" s="334"/>
      <c r="AL74" s="334"/>
      <c r="AM74" s="334"/>
      <c r="AN74" s="335"/>
      <c r="AO74" s="333"/>
      <c r="AP74" s="334"/>
      <c r="AQ74" s="334"/>
      <c r="AR74" s="334"/>
      <c r="AS74" s="334"/>
      <c r="AT74" s="334"/>
      <c r="AU74" s="334"/>
      <c r="AV74" s="334"/>
      <c r="AW74" s="334"/>
      <c r="AX74" s="334"/>
      <c r="AY74" s="334"/>
      <c r="AZ74" s="334"/>
      <c r="BA74" s="334"/>
      <c r="BB74" s="334"/>
      <c r="BC74" s="334"/>
      <c r="BD74" s="334"/>
      <c r="BE74" s="334"/>
      <c r="BF74" s="335"/>
      <c r="BG74" s="41"/>
      <c r="BJ74" s="333"/>
      <c r="BK74" s="334"/>
      <c r="BL74" s="334"/>
      <c r="BM74" s="334"/>
      <c r="BN74" s="334"/>
      <c r="BO74" s="334"/>
      <c r="BP74" s="334"/>
      <c r="BQ74" s="334"/>
      <c r="BR74" s="334"/>
      <c r="BS74" s="334"/>
      <c r="BT74" s="334"/>
      <c r="BU74" s="334"/>
      <c r="BV74" s="334"/>
      <c r="BW74" s="334"/>
      <c r="BX74" s="334"/>
      <c r="BY74" s="334"/>
      <c r="BZ74" s="334"/>
      <c r="CA74" s="334"/>
      <c r="CB74" s="330"/>
      <c r="CC74" s="330"/>
      <c r="CD74" s="330"/>
      <c r="CE74" s="330"/>
    </row>
    <row r="75" spans="2:83" s="34" customFormat="1" ht="16.5" customHeight="1">
      <c r="D75" s="685"/>
      <c r="E75" s="336"/>
      <c r="F75" s="345"/>
      <c r="G75" s="347"/>
      <c r="H75" s="347"/>
      <c r="I75" s="347"/>
      <c r="J75" s="347"/>
      <c r="K75" s="347"/>
      <c r="L75" s="347"/>
      <c r="M75" s="347"/>
      <c r="N75" s="347"/>
      <c r="O75" s="347"/>
      <c r="P75" s="347"/>
      <c r="Q75" s="347"/>
      <c r="R75" s="347"/>
      <c r="S75" s="347"/>
      <c r="T75" s="347"/>
      <c r="U75" s="345"/>
      <c r="V75" s="337"/>
      <c r="W75" s="336"/>
      <c r="X75" s="345"/>
      <c r="Y75" s="347"/>
      <c r="Z75" s="347"/>
      <c r="AA75" s="347"/>
      <c r="AB75" s="347"/>
      <c r="AC75" s="347"/>
      <c r="AD75" s="347"/>
      <c r="AE75" s="347"/>
      <c r="AF75" s="347"/>
      <c r="AG75" s="347"/>
      <c r="AH75" s="347"/>
      <c r="AI75" s="347"/>
      <c r="AJ75" s="347"/>
      <c r="AK75" s="347"/>
      <c r="AL75" s="347"/>
      <c r="AM75" s="345"/>
      <c r="AN75" s="337"/>
      <c r="AO75" s="336"/>
      <c r="AP75" s="345"/>
      <c r="AQ75" s="347"/>
      <c r="AR75" s="347"/>
      <c r="AS75" s="347"/>
      <c r="AT75" s="347"/>
      <c r="AU75" s="347"/>
      <c r="AV75" s="347"/>
      <c r="AW75" s="347"/>
      <c r="AX75" s="347"/>
      <c r="AY75" s="347"/>
      <c r="AZ75" s="347"/>
      <c r="BA75" s="347"/>
      <c r="BB75" s="347"/>
      <c r="BC75" s="347"/>
      <c r="BD75" s="347"/>
      <c r="BE75" s="345"/>
      <c r="BF75" s="337"/>
      <c r="BG75" s="37"/>
      <c r="BJ75" s="336"/>
      <c r="BK75" s="342"/>
      <c r="BL75" s="342"/>
      <c r="BM75" s="342"/>
      <c r="BN75" s="342"/>
      <c r="BO75" s="342"/>
      <c r="BP75" s="342"/>
      <c r="BQ75" s="342"/>
      <c r="BR75" s="342"/>
      <c r="BS75" s="342"/>
      <c r="BT75" s="342"/>
      <c r="BU75" s="342"/>
      <c r="BV75" s="342"/>
      <c r="BW75" s="342"/>
      <c r="BX75" s="342"/>
      <c r="BY75" s="342"/>
      <c r="BZ75" s="342"/>
      <c r="CA75" s="342"/>
      <c r="CB75" s="331"/>
      <c r="CC75" s="331"/>
      <c r="CD75" s="331"/>
      <c r="CE75" s="331"/>
    </row>
    <row r="76" spans="2:83" s="35" customFormat="1" ht="16.5" customHeight="1">
      <c r="B76" s="34"/>
      <c r="D76" s="685"/>
      <c r="E76" s="336"/>
      <c r="F76" s="345"/>
      <c r="G76" s="347"/>
      <c r="H76" s="682"/>
      <c r="I76" s="682"/>
      <c r="J76" s="682"/>
      <c r="K76" s="682"/>
      <c r="L76" s="682"/>
      <c r="M76" s="682"/>
      <c r="N76" s="682"/>
      <c r="O76" s="682"/>
      <c r="P76" s="682"/>
      <c r="Q76" s="682"/>
      <c r="R76" s="682"/>
      <c r="S76" s="682"/>
      <c r="T76" s="347"/>
      <c r="U76" s="345"/>
      <c r="V76" s="337"/>
      <c r="W76" s="336"/>
      <c r="X76" s="345"/>
      <c r="Y76" s="347"/>
      <c r="Z76" s="682"/>
      <c r="AA76" s="682"/>
      <c r="AB76" s="682"/>
      <c r="AC76" s="682"/>
      <c r="AD76" s="682"/>
      <c r="AE76" s="682"/>
      <c r="AF76" s="682"/>
      <c r="AG76" s="682"/>
      <c r="AH76" s="682"/>
      <c r="AI76" s="682"/>
      <c r="AJ76" s="682"/>
      <c r="AK76" s="682"/>
      <c r="AL76" s="347"/>
      <c r="AM76" s="345"/>
      <c r="AN76" s="337"/>
      <c r="AO76" s="336"/>
      <c r="AP76" s="345"/>
      <c r="AQ76" s="347"/>
      <c r="AR76" s="682"/>
      <c r="AS76" s="682"/>
      <c r="AT76" s="682"/>
      <c r="AU76" s="682"/>
      <c r="AV76" s="682"/>
      <c r="AW76" s="682"/>
      <c r="AX76" s="682"/>
      <c r="AY76" s="682"/>
      <c r="AZ76" s="682"/>
      <c r="BA76" s="682"/>
      <c r="BB76" s="682"/>
      <c r="BC76" s="682"/>
      <c r="BD76" s="347"/>
      <c r="BE76" s="345"/>
      <c r="BF76" s="337"/>
      <c r="BG76" s="37"/>
      <c r="BJ76" s="336"/>
      <c r="BK76" s="342"/>
      <c r="BL76" s="342"/>
      <c r="BM76" s="342"/>
      <c r="BN76" s="342"/>
      <c r="BO76" s="342"/>
      <c r="BP76" s="342"/>
      <c r="BQ76" s="342"/>
      <c r="BR76" s="342"/>
      <c r="BS76" s="342"/>
      <c r="BT76" s="342"/>
      <c r="BU76" s="342"/>
      <c r="BV76" s="342"/>
      <c r="BW76" s="342"/>
      <c r="BX76" s="342"/>
      <c r="BY76" s="342"/>
      <c r="BZ76" s="342"/>
      <c r="CA76" s="342"/>
      <c r="CB76" s="332"/>
      <c r="CC76" s="332"/>
      <c r="CD76" s="332"/>
      <c r="CE76" s="332"/>
    </row>
    <row r="77" spans="2:83" s="35" customFormat="1" ht="16.5" customHeight="1">
      <c r="B77" s="34"/>
      <c r="D77" s="329"/>
      <c r="E77" s="336"/>
      <c r="F77" s="345"/>
      <c r="G77" s="347"/>
      <c r="H77" s="682"/>
      <c r="I77" s="682"/>
      <c r="J77" s="682"/>
      <c r="K77" s="682"/>
      <c r="L77" s="682"/>
      <c r="M77" s="682"/>
      <c r="N77" s="682"/>
      <c r="O77" s="682"/>
      <c r="P77" s="682"/>
      <c r="Q77" s="682"/>
      <c r="R77" s="682"/>
      <c r="S77" s="682"/>
      <c r="T77" s="347"/>
      <c r="U77" s="345"/>
      <c r="V77" s="337"/>
      <c r="W77" s="336"/>
      <c r="X77" s="345"/>
      <c r="Y77" s="347"/>
      <c r="Z77" s="682"/>
      <c r="AA77" s="682"/>
      <c r="AB77" s="682"/>
      <c r="AC77" s="682"/>
      <c r="AD77" s="682"/>
      <c r="AE77" s="682"/>
      <c r="AF77" s="682"/>
      <c r="AG77" s="682"/>
      <c r="AH77" s="682"/>
      <c r="AI77" s="682"/>
      <c r="AJ77" s="682"/>
      <c r="AK77" s="682"/>
      <c r="AL77" s="347"/>
      <c r="AM77" s="345"/>
      <c r="AN77" s="337"/>
      <c r="AO77" s="336"/>
      <c r="AP77" s="345"/>
      <c r="AQ77" s="347"/>
      <c r="AR77" s="682"/>
      <c r="AS77" s="682"/>
      <c r="AT77" s="682"/>
      <c r="AU77" s="682"/>
      <c r="AV77" s="682"/>
      <c r="AW77" s="682"/>
      <c r="AX77" s="682"/>
      <c r="AY77" s="682"/>
      <c r="AZ77" s="682"/>
      <c r="BA77" s="682"/>
      <c r="BB77" s="682"/>
      <c r="BC77" s="682"/>
      <c r="BD77" s="347"/>
      <c r="BE77" s="345"/>
      <c r="BF77" s="337"/>
      <c r="BG77" s="37"/>
      <c r="BJ77" s="336"/>
      <c r="BK77" s="342"/>
      <c r="BL77" s="342"/>
      <c r="BM77" s="342"/>
      <c r="BN77" s="342"/>
      <c r="BO77" s="342"/>
      <c r="BP77" s="342"/>
      <c r="BQ77" s="342"/>
      <c r="BR77" s="342"/>
      <c r="BS77" s="342"/>
      <c r="BT77" s="342"/>
      <c r="BU77" s="342"/>
      <c r="BV77" s="342"/>
      <c r="BW77" s="342"/>
      <c r="BX77" s="342"/>
      <c r="BY77" s="342"/>
      <c r="BZ77" s="342"/>
      <c r="CA77" s="342"/>
      <c r="CB77" s="332"/>
      <c r="CC77" s="332"/>
      <c r="CD77" s="332"/>
      <c r="CE77" s="332"/>
    </row>
    <row r="78" spans="2:83" ht="16.5" customHeight="1">
      <c r="B78" s="34"/>
      <c r="D78" s="329"/>
      <c r="E78" s="336"/>
      <c r="F78" s="345"/>
      <c r="G78" s="347"/>
      <c r="H78" s="682"/>
      <c r="I78" s="682"/>
      <c r="J78" s="682"/>
      <c r="K78" s="682"/>
      <c r="L78" s="682"/>
      <c r="M78" s="682"/>
      <c r="N78" s="682"/>
      <c r="O78" s="682"/>
      <c r="P78" s="682"/>
      <c r="Q78" s="682"/>
      <c r="R78" s="682"/>
      <c r="S78" s="682"/>
      <c r="T78" s="347"/>
      <c r="U78" s="345"/>
      <c r="V78" s="337"/>
      <c r="W78" s="336"/>
      <c r="X78" s="345"/>
      <c r="Y78" s="347"/>
      <c r="Z78" s="682"/>
      <c r="AA78" s="682"/>
      <c r="AB78" s="682"/>
      <c r="AC78" s="682"/>
      <c r="AD78" s="682"/>
      <c r="AE78" s="682"/>
      <c r="AF78" s="682"/>
      <c r="AG78" s="682"/>
      <c r="AH78" s="682"/>
      <c r="AI78" s="682"/>
      <c r="AJ78" s="682"/>
      <c r="AK78" s="682"/>
      <c r="AL78" s="347"/>
      <c r="AM78" s="345"/>
      <c r="AN78" s="337"/>
      <c r="AO78" s="336"/>
      <c r="AP78" s="345"/>
      <c r="AQ78" s="347"/>
      <c r="AR78" s="682"/>
      <c r="AS78" s="682"/>
      <c r="AT78" s="682"/>
      <c r="AU78" s="682"/>
      <c r="AV78" s="682"/>
      <c r="AW78" s="682"/>
      <c r="AX78" s="682"/>
      <c r="AY78" s="682"/>
      <c r="AZ78" s="682"/>
      <c r="BA78" s="682"/>
      <c r="BB78" s="682"/>
      <c r="BC78" s="682"/>
      <c r="BD78" s="347"/>
      <c r="BE78" s="345"/>
      <c r="BF78" s="337"/>
      <c r="BG78" s="37"/>
      <c r="BJ78" s="336"/>
      <c r="BK78" s="342"/>
      <c r="BL78" s="342"/>
      <c r="BM78" s="342"/>
      <c r="BN78" s="342"/>
      <c r="BO78" s="342"/>
      <c r="BP78" s="342"/>
      <c r="BQ78" s="342"/>
      <c r="BR78" s="342"/>
      <c r="BS78" s="342"/>
      <c r="BT78" s="342"/>
      <c r="BU78" s="342"/>
      <c r="BV78" s="342"/>
      <c r="BW78" s="342"/>
      <c r="BX78" s="342"/>
      <c r="BY78" s="342"/>
      <c r="BZ78" s="342"/>
      <c r="CA78" s="342"/>
      <c r="CB78" s="330"/>
      <c r="CC78" s="330"/>
      <c r="CD78" s="330"/>
      <c r="CE78" s="330"/>
    </row>
    <row r="79" spans="2:83" ht="16.5" customHeight="1">
      <c r="B79" s="34"/>
      <c r="D79" s="45"/>
      <c r="E79" s="338"/>
      <c r="F79" s="681"/>
      <c r="G79" s="681"/>
      <c r="H79" s="681"/>
      <c r="I79" s="681"/>
      <c r="J79" s="681"/>
      <c r="K79" s="681"/>
      <c r="L79" s="683"/>
      <c r="M79" s="681"/>
      <c r="N79" s="681"/>
      <c r="O79" s="681"/>
      <c r="P79" s="681"/>
      <c r="Q79" s="681"/>
      <c r="R79" s="681"/>
      <c r="S79" s="681"/>
      <c r="T79" s="681"/>
      <c r="U79" s="681"/>
      <c r="V79" s="339"/>
      <c r="W79" s="338"/>
      <c r="X79" s="681"/>
      <c r="Y79" s="681"/>
      <c r="Z79" s="681"/>
      <c r="AA79" s="681"/>
      <c r="AB79" s="681"/>
      <c r="AC79" s="681"/>
      <c r="AD79" s="683"/>
      <c r="AE79" s="681"/>
      <c r="AF79" s="681"/>
      <c r="AG79" s="681"/>
      <c r="AH79" s="681"/>
      <c r="AI79" s="681"/>
      <c r="AJ79" s="681"/>
      <c r="AK79" s="681"/>
      <c r="AL79" s="681"/>
      <c r="AM79" s="681"/>
      <c r="AN79" s="339"/>
      <c r="AO79" s="338"/>
      <c r="AP79" s="681"/>
      <c r="AQ79" s="681"/>
      <c r="AR79" s="681"/>
      <c r="AS79" s="681"/>
      <c r="AT79" s="681"/>
      <c r="AU79" s="681"/>
      <c r="AV79" s="683"/>
      <c r="AW79" s="681"/>
      <c r="AX79" s="681"/>
      <c r="AY79" s="681"/>
      <c r="AZ79" s="681"/>
      <c r="BA79" s="681"/>
      <c r="BB79" s="681"/>
      <c r="BC79" s="681"/>
      <c r="BD79" s="681"/>
      <c r="BE79" s="681"/>
      <c r="BF79" s="339"/>
      <c r="BG79" s="38"/>
      <c r="BJ79" s="338"/>
      <c r="BK79" s="343"/>
      <c r="BL79" s="343"/>
      <c r="BM79" s="343"/>
      <c r="BN79" s="343"/>
      <c r="BO79" s="343"/>
      <c r="BP79" s="343"/>
      <c r="BQ79" s="343"/>
      <c r="BR79" s="343"/>
      <c r="BS79" s="343"/>
      <c r="BT79" s="343"/>
      <c r="BU79" s="343"/>
      <c r="BV79" s="343"/>
      <c r="BW79" s="343"/>
      <c r="BX79" s="343"/>
      <c r="BY79" s="343"/>
      <c r="BZ79" s="343"/>
      <c r="CA79" s="343"/>
      <c r="CB79" s="330"/>
      <c r="CC79" s="330"/>
      <c r="CD79" s="330"/>
      <c r="CE79" s="330"/>
    </row>
    <row r="80" spans="2:83" ht="16.5" customHeight="1">
      <c r="B80" s="34"/>
      <c r="D80" s="45"/>
      <c r="E80" s="338"/>
      <c r="F80" s="346"/>
      <c r="G80" s="346"/>
      <c r="H80" s="346"/>
      <c r="I80" s="346"/>
      <c r="J80" s="346"/>
      <c r="K80" s="346"/>
      <c r="L80" s="346"/>
      <c r="M80" s="346"/>
      <c r="N80" s="346"/>
      <c r="O80" s="346"/>
      <c r="P80" s="346"/>
      <c r="Q80" s="346"/>
      <c r="R80" s="346"/>
      <c r="S80" s="346"/>
      <c r="T80" s="346"/>
      <c r="U80" s="346"/>
      <c r="V80" s="339"/>
      <c r="W80" s="338"/>
      <c r="X80" s="346"/>
      <c r="Y80" s="346"/>
      <c r="Z80" s="346"/>
      <c r="AA80" s="346"/>
      <c r="AB80" s="346"/>
      <c r="AC80" s="346"/>
      <c r="AD80" s="346"/>
      <c r="AE80" s="346"/>
      <c r="AF80" s="346"/>
      <c r="AG80" s="346"/>
      <c r="AH80" s="346"/>
      <c r="AI80" s="346"/>
      <c r="AJ80" s="346"/>
      <c r="AK80" s="346"/>
      <c r="AL80" s="346"/>
      <c r="AM80" s="346"/>
      <c r="AN80" s="339"/>
      <c r="AO80" s="338"/>
      <c r="AP80" s="346"/>
      <c r="AQ80" s="346"/>
      <c r="AR80" s="346"/>
      <c r="AS80" s="346"/>
      <c r="AT80" s="346"/>
      <c r="AU80" s="346"/>
      <c r="AV80" s="346"/>
      <c r="AW80" s="346"/>
      <c r="AX80" s="346"/>
      <c r="AY80" s="346"/>
      <c r="AZ80" s="346"/>
      <c r="BA80" s="346"/>
      <c r="BB80" s="346"/>
      <c r="BC80" s="346"/>
      <c r="BD80" s="346"/>
      <c r="BE80" s="346"/>
      <c r="BF80" s="339"/>
      <c r="BG80" s="38"/>
      <c r="BJ80" s="338"/>
      <c r="BK80" s="343"/>
      <c r="BL80" s="343"/>
      <c r="BM80" s="343"/>
      <c r="BN80" s="343"/>
      <c r="BO80" s="343"/>
      <c r="BP80" s="343"/>
      <c r="BQ80" s="343"/>
      <c r="BR80" s="343"/>
      <c r="BS80" s="343"/>
      <c r="BT80" s="343"/>
      <c r="BU80" s="343"/>
      <c r="BV80" s="343"/>
      <c r="BW80" s="343"/>
      <c r="BX80" s="343"/>
      <c r="BY80" s="343"/>
      <c r="BZ80" s="343"/>
      <c r="CA80" s="343"/>
      <c r="CB80" s="330"/>
      <c r="CC80" s="330"/>
      <c r="CD80" s="330"/>
      <c r="CE80" s="330"/>
    </row>
    <row r="81" spans="2:83" s="34" customFormat="1" ht="16.5" customHeight="1">
      <c r="D81" s="46"/>
      <c r="E81" s="340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344"/>
      <c r="T81" s="344"/>
      <c r="U81" s="344"/>
      <c r="V81" s="341"/>
      <c r="W81" s="340"/>
      <c r="X81" s="344"/>
      <c r="Y81" s="344"/>
      <c r="Z81" s="344"/>
      <c r="AA81" s="344"/>
      <c r="AB81" s="344"/>
      <c r="AC81" s="344"/>
      <c r="AD81" s="344"/>
      <c r="AE81" s="344"/>
      <c r="AF81" s="344"/>
      <c r="AG81" s="344"/>
      <c r="AH81" s="344"/>
      <c r="AI81" s="344"/>
      <c r="AJ81" s="344"/>
      <c r="AK81" s="344"/>
      <c r="AL81" s="344"/>
      <c r="AM81" s="344"/>
      <c r="AN81" s="341"/>
      <c r="AO81" s="340"/>
      <c r="AP81" s="344"/>
      <c r="AQ81" s="344"/>
      <c r="AR81" s="344"/>
      <c r="AS81" s="344"/>
      <c r="AT81" s="344"/>
      <c r="AU81" s="344"/>
      <c r="AV81" s="344"/>
      <c r="AW81" s="344"/>
      <c r="AX81" s="344"/>
      <c r="AY81" s="344"/>
      <c r="AZ81" s="344"/>
      <c r="BA81" s="344"/>
      <c r="BB81" s="344"/>
      <c r="BC81" s="344"/>
      <c r="BD81" s="344"/>
      <c r="BE81" s="344"/>
      <c r="BF81" s="341"/>
      <c r="BG81" s="42"/>
      <c r="BJ81" s="340"/>
      <c r="BK81" s="344"/>
      <c r="BL81" s="344"/>
      <c r="BM81" s="344"/>
      <c r="BN81" s="344"/>
      <c r="BO81" s="344"/>
      <c r="BP81" s="344"/>
      <c r="BQ81" s="344"/>
      <c r="BR81" s="344"/>
      <c r="BS81" s="344"/>
      <c r="BT81" s="344"/>
      <c r="BU81" s="344"/>
      <c r="BV81" s="344"/>
      <c r="BW81" s="344"/>
      <c r="BX81" s="344"/>
      <c r="BY81" s="344"/>
      <c r="BZ81" s="344"/>
      <c r="CA81" s="344"/>
      <c r="CB81" s="331"/>
      <c r="CC81" s="331"/>
      <c r="CD81" s="331"/>
      <c r="CE81" s="331"/>
    </row>
    <row r="82" spans="2:83" ht="16.5" customHeight="1">
      <c r="B82" s="34"/>
      <c r="D82" s="43"/>
      <c r="E82" s="333"/>
      <c r="F82" s="334"/>
      <c r="G82" s="334"/>
      <c r="H82" s="334"/>
      <c r="I82" s="334"/>
      <c r="J82" s="334"/>
      <c r="K82" s="334"/>
      <c r="L82" s="334"/>
      <c r="M82" s="334"/>
      <c r="N82" s="334"/>
      <c r="O82" s="334"/>
      <c r="P82" s="334"/>
      <c r="Q82" s="334"/>
      <c r="R82" s="334"/>
      <c r="S82" s="334"/>
      <c r="T82" s="334"/>
      <c r="U82" s="334"/>
      <c r="V82" s="335"/>
      <c r="W82" s="333"/>
      <c r="X82" s="334"/>
      <c r="Y82" s="334"/>
      <c r="Z82" s="334"/>
      <c r="AA82" s="334"/>
      <c r="AB82" s="334"/>
      <c r="AC82" s="334"/>
      <c r="AD82" s="334"/>
      <c r="AE82" s="334"/>
      <c r="AF82" s="334"/>
      <c r="AG82" s="334"/>
      <c r="AH82" s="334"/>
      <c r="AI82" s="334"/>
      <c r="AJ82" s="334"/>
      <c r="AK82" s="334"/>
      <c r="AL82" s="334"/>
      <c r="AM82" s="334"/>
      <c r="AN82" s="335"/>
      <c r="AO82" s="333"/>
      <c r="AP82" s="334"/>
      <c r="AQ82" s="334"/>
      <c r="AR82" s="334"/>
      <c r="AS82" s="334"/>
      <c r="AT82" s="334"/>
      <c r="AU82" s="334"/>
      <c r="AV82" s="334"/>
      <c r="AW82" s="334"/>
      <c r="AX82" s="334"/>
      <c r="AY82" s="334"/>
      <c r="AZ82" s="334"/>
      <c r="BA82" s="334"/>
      <c r="BB82" s="334"/>
      <c r="BC82" s="334"/>
      <c r="BD82" s="334"/>
      <c r="BE82" s="334"/>
      <c r="BF82" s="335"/>
      <c r="BG82" s="41"/>
      <c r="BJ82" s="333"/>
      <c r="BK82" s="334"/>
      <c r="BL82" s="334"/>
      <c r="BM82" s="334"/>
      <c r="BN82" s="334"/>
      <c r="BO82" s="334"/>
      <c r="BP82" s="334"/>
      <c r="BQ82" s="334"/>
      <c r="BR82" s="334"/>
      <c r="BS82" s="334"/>
      <c r="BT82" s="334"/>
      <c r="BU82" s="334"/>
      <c r="BV82" s="334"/>
      <c r="BW82" s="334"/>
      <c r="BX82" s="334"/>
      <c r="BY82" s="334"/>
      <c r="BZ82" s="334"/>
      <c r="CA82" s="334"/>
      <c r="CB82" s="330"/>
      <c r="CC82" s="330"/>
      <c r="CD82" s="330"/>
      <c r="CE82" s="330"/>
    </row>
    <row r="83" spans="2:83" s="34" customFormat="1" ht="16.5" customHeight="1">
      <c r="D83" s="685"/>
      <c r="E83" s="336"/>
      <c r="F83" s="345"/>
      <c r="G83" s="347"/>
      <c r="H83" s="347"/>
      <c r="I83" s="347"/>
      <c r="J83" s="347"/>
      <c r="K83" s="347"/>
      <c r="L83" s="347"/>
      <c r="M83" s="347"/>
      <c r="N83" s="347"/>
      <c r="O83" s="347"/>
      <c r="P83" s="347"/>
      <c r="Q83" s="347"/>
      <c r="R83" s="347"/>
      <c r="S83" s="347"/>
      <c r="T83" s="347"/>
      <c r="U83" s="345"/>
      <c r="V83" s="337"/>
      <c r="W83" s="336"/>
      <c r="X83" s="345"/>
      <c r="Y83" s="347"/>
      <c r="Z83" s="347"/>
      <c r="AA83" s="347"/>
      <c r="AB83" s="347"/>
      <c r="AC83" s="347"/>
      <c r="AD83" s="347"/>
      <c r="AE83" s="347"/>
      <c r="AF83" s="347"/>
      <c r="AG83" s="347"/>
      <c r="AH83" s="347"/>
      <c r="AI83" s="347"/>
      <c r="AJ83" s="347"/>
      <c r="AK83" s="347"/>
      <c r="AL83" s="347"/>
      <c r="AM83" s="345"/>
      <c r="AN83" s="337"/>
      <c r="AO83" s="336"/>
      <c r="AP83" s="345"/>
      <c r="AQ83" s="347"/>
      <c r="AR83" s="347"/>
      <c r="AS83" s="347"/>
      <c r="AT83" s="347"/>
      <c r="AU83" s="347"/>
      <c r="AV83" s="347"/>
      <c r="AW83" s="347"/>
      <c r="AX83" s="347"/>
      <c r="AY83" s="347"/>
      <c r="AZ83" s="347"/>
      <c r="BA83" s="347"/>
      <c r="BB83" s="347"/>
      <c r="BC83" s="347"/>
      <c r="BD83" s="347"/>
      <c r="BE83" s="345"/>
      <c r="BF83" s="337"/>
      <c r="BG83" s="37"/>
      <c r="BJ83" s="336"/>
      <c r="BK83" s="342"/>
      <c r="BL83" s="342"/>
      <c r="BM83" s="342"/>
      <c r="BN83" s="342"/>
      <c r="BO83" s="342"/>
      <c r="BP83" s="342"/>
      <c r="BQ83" s="342"/>
      <c r="BR83" s="342"/>
      <c r="BS83" s="342"/>
      <c r="BT83" s="342"/>
      <c r="BU83" s="342"/>
      <c r="BV83" s="342"/>
      <c r="BW83" s="342"/>
      <c r="BX83" s="342"/>
      <c r="BY83" s="342"/>
      <c r="BZ83" s="342"/>
      <c r="CA83" s="342"/>
      <c r="CB83" s="331"/>
      <c r="CC83" s="331"/>
      <c r="CD83" s="331"/>
      <c r="CE83" s="331"/>
    </row>
    <row r="84" spans="2:83" s="35" customFormat="1" ht="16.5" customHeight="1">
      <c r="B84" s="34"/>
      <c r="D84" s="685"/>
      <c r="E84" s="336"/>
      <c r="F84" s="345"/>
      <c r="G84" s="347"/>
      <c r="H84" s="682"/>
      <c r="I84" s="682"/>
      <c r="J84" s="682"/>
      <c r="K84" s="682"/>
      <c r="L84" s="682"/>
      <c r="M84" s="682"/>
      <c r="N84" s="682"/>
      <c r="O84" s="682"/>
      <c r="P84" s="682"/>
      <c r="Q84" s="682"/>
      <c r="R84" s="682"/>
      <c r="S84" s="682"/>
      <c r="T84" s="347"/>
      <c r="U84" s="345"/>
      <c r="V84" s="337"/>
      <c r="W84" s="336"/>
      <c r="X84" s="345"/>
      <c r="Y84" s="347"/>
      <c r="Z84" s="682"/>
      <c r="AA84" s="682"/>
      <c r="AB84" s="682"/>
      <c r="AC84" s="682"/>
      <c r="AD84" s="682"/>
      <c r="AE84" s="682"/>
      <c r="AF84" s="682"/>
      <c r="AG84" s="682"/>
      <c r="AH84" s="682"/>
      <c r="AI84" s="682"/>
      <c r="AJ84" s="682"/>
      <c r="AK84" s="682"/>
      <c r="AL84" s="347"/>
      <c r="AM84" s="345"/>
      <c r="AN84" s="337"/>
      <c r="AO84" s="336"/>
      <c r="AP84" s="345"/>
      <c r="AQ84" s="347"/>
      <c r="AR84" s="682"/>
      <c r="AS84" s="682"/>
      <c r="AT84" s="682"/>
      <c r="AU84" s="682"/>
      <c r="AV84" s="682"/>
      <c r="AW84" s="682"/>
      <c r="AX84" s="682"/>
      <c r="AY84" s="682"/>
      <c r="AZ84" s="682"/>
      <c r="BA84" s="682"/>
      <c r="BB84" s="682"/>
      <c r="BC84" s="682"/>
      <c r="BD84" s="347"/>
      <c r="BE84" s="345"/>
      <c r="BF84" s="337"/>
      <c r="BG84" s="37"/>
      <c r="BJ84" s="336"/>
      <c r="BK84" s="342"/>
      <c r="BL84" s="342"/>
      <c r="BM84" s="342"/>
      <c r="BN84" s="342"/>
      <c r="BO84" s="342"/>
      <c r="BP84" s="342"/>
      <c r="BQ84" s="342"/>
      <c r="BR84" s="342"/>
      <c r="BS84" s="342"/>
      <c r="BT84" s="342"/>
      <c r="BU84" s="342"/>
      <c r="BV84" s="342"/>
      <c r="BW84" s="342"/>
      <c r="BX84" s="342"/>
      <c r="BY84" s="342"/>
      <c r="BZ84" s="342"/>
      <c r="CA84" s="342"/>
      <c r="CB84" s="332"/>
      <c r="CC84" s="332"/>
      <c r="CD84" s="332"/>
      <c r="CE84" s="332"/>
    </row>
    <row r="85" spans="2:83" s="35" customFormat="1" ht="16.5" customHeight="1">
      <c r="B85" s="34"/>
      <c r="D85" s="329"/>
      <c r="E85" s="336"/>
      <c r="F85" s="345"/>
      <c r="G85" s="347"/>
      <c r="H85" s="682"/>
      <c r="I85" s="682"/>
      <c r="J85" s="682"/>
      <c r="K85" s="682"/>
      <c r="L85" s="682"/>
      <c r="M85" s="682"/>
      <c r="N85" s="682"/>
      <c r="O85" s="682"/>
      <c r="P85" s="682"/>
      <c r="Q85" s="682"/>
      <c r="R85" s="682"/>
      <c r="S85" s="682"/>
      <c r="T85" s="347"/>
      <c r="U85" s="345"/>
      <c r="V85" s="337"/>
      <c r="W85" s="336"/>
      <c r="X85" s="345"/>
      <c r="Y85" s="347"/>
      <c r="Z85" s="682"/>
      <c r="AA85" s="682"/>
      <c r="AB85" s="682"/>
      <c r="AC85" s="682"/>
      <c r="AD85" s="682"/>
      <c r="AE85" s="682"/>
      <c r="AF85" s="682"/>
      <c r="AG85" s="682"/>
      <c r="AH85" s="682"/>
      <c r="AI85" s="682"/>
      <c r="AJ85" s="682"/>
      <c r="AK85" s="682"/>
      <c r="AL85" s="347"/>
      <c r="AM85" s="345"/>
      <c r="AN85" s="337"/>
      <c r="AO85" s="336"/>
      <c r="AP85" s="345"/>
      <c r="AQ85" s="347"/>
      <c r="AR85" s="682"/>
      <c r="AS85" s="682"/>
      <c r="AT85" s="682"/>
      <c r="AU85" s="682"/>
      <c r="AV85" s="682"/>
      <c r="AW85" s="682"/>
      <c r="AX85" s="682"/>
      <c r="AY85" s="682"/>
      <c r="AZ85" s="682"/>
      <c r="BA85" s="682"/>
      <c r="BB85" s="682"/>
      <c r="BC85" s="682"/>
      <c r="BD85" s="347"/>
      <c r="BE85" s="345"/>
      <c r="BF85" s="337"/>
      <c r="BG85" s="37"/>
      <c r="BJ85" s="336"/>
      <c r="BK85" s="342"/>
      <c r="BL85" s="342"/>
      <c r="BM85" s="342"/>
      <c r="BN85" s="342"/>
      <c r="BO85" s="342"/>
      <c r="BP85" s="342"/>
      <c r="BQ85" s="342"/>
      <c r="BR85" s="342"/>
      <c r="BS85" s="342"/>
      <c r="BT85" s="342"/>
      <c r="BU85" s="342"/>
      <c r="BV85" s="342"/>
      <c r="BW85" s="342"/>
      <c r="BX85" s="342"/>
      <c r="BY85" s="342"/>
      <c r="BZ85" s="342"/>
      <c r="CA85" s="342"/>
      <c r="CB85" s="332"/>
      <c r="CC85" s="332"/>
      <c r="CD85" s="332"/>
      <c r="CE85" s="332"/>
    </row>
    <row r="86" spans="2:83" ht="16.5" customHeight="1">
      <c r="B86" s="34"/>
      <c r="D86" s="329"/>
      <c r="E86" s="336"/>
      <c r="F86" s="345"/>
      <c r="G86" s="347"/>
      <c r="H86" s="682"/>
      <c r="I86" s="682"/>
      <c r="J86" s="682"/>
      <c r="K86" s="682"/>
      <c r="L86" s="682"/>
      <c r="M86" s="682"/>
      <c r="N86" s="682"/>
      <c r="O86" s="682"/>
      <c r="P86" s="682"/>
      <c r="Q86" s="682"/>
      <c r="R86" s="682"/>
      <c r="S86" s="682"/>
      <c r="T86" s="347"/>
      <c r="U86" s="345"/>
      <c r="V86" s="337"/>
      <c r="W86" s="336"/>
      <c r="X86" s="345"/>
      <c r="Y86" s="347"/>
      <c r="Z86" s="682"/>
      <c r="AA86" s="682"/>
      <c r="AB86" s="682"/>
      <c r="AC86" s="682"/>
      <c r="AD86" s="682"/>
      <c r="AE86" s="682"/>
      <c r="AF86" s="682"/>
      <c r="AG86" s="682"/>
      <c r="AH86" s="682"/>
      <c r="AI86" s="682"/>
      <c r="AJ86" s="682"/>
      <c r="AK86" s="682"/>
      <c r="AL86" s="347"/>
      <c r="AM86" s="345"/>
      <c r="AN86" s="337"/>
      <c r="AO86" s="336"/>
      <c r="AP86" s="345"/>
      <c r="AQ86" s="347"/>
      <c r="AR86" s="682"/>
      <c r="AS86" s="682"/>
      <c r="AT86" s="682"/>
      <c r="AU86" s="682"/>
      <c r="AV86" s="682"/>
      <c r="AW86" s="682"/>
      <c r="AX86" s="682"/>
      <c r="AY86" s="682"/>
      <c r="AZ86" s="682"/>
      <c r="BA86" s="682"/>
      <c r="BB86" s="682"/>
      <c r="BC86" s="682"/>
      <c r="BD86" s="347"/>
      <c r="BE86" s="345"/>
      <c r="BF86" s="337"/>
      <c r="BG86" s="37"/>
      <c r="BJ86" s="336"/>
      <c r="BK86" s="342"/>
      <c r="BL86" s="342"/>
      <c r="BM86" s="342"/>
      <c r="BN86" s="342"/>
      <c r="BO86" s="342"/>
      <c r="BP86" s="342"/>
      <c r="BQ86" s="342"/>
      <c r="BR86" s="342"/>
      <c r="BS86" s="342"/>
      <c r="BT86" s="342"/>
      <c r="BU86" s="342"/>
      <c r="BV86" s="342"/>
      <c r="BW86" s="342"/>
      <c r="BX86" s="342"/>
      <c r="BY86" s="342"/>
      <c r="BZ86" s="342"/>
      <c r="CA86" s="342"/>
      <c r="CB86" s="330"/>
      <c r="CC86" s="330"/>
      <c r="CD86" s="330"/>
      <c r="CE86" s="330"/>
    </row>
    <row r="87" spans="2:83" ht="16.5" customHeight="1">
      <c r="B87" s="34"/>
      <c r="D87" s="45"/>
      <c r="E87" s="338"/>
      <c r="F87" s="681"/>
      <c r="G87" s="681"/>
      <c r="H87" s="681"/>
      <c r="I87" s="681"/>
      <c r="J87" s="681"/>
      <c r="K87" s="681"/>
      <c r="L87" s="683"/>
      <c r="M87" s="681"/>
      <c r="N87" s="681"/>
      <c r="O87" s="681"/>
      <c r="P87" s="681"/>
      <c r="Q87" s="681"/>
      <c r="R87" s="681"/>
      <c r="S87" s="681"/>
      <c r="T87" s="681"/>
      <c r="U87" s="681"/>
      <c r="V87" s="339"/>
      <c r="W87" s="338"/>
      <c r="X87" s="681"/>
      <c r="Y87" s="681"/>
      <c r="Z87" s="681"/>
      <c r="AA87" s="681"/>
      <c r="AB87" s="681"/>
      <c r="AC87" s="681"/>
      <c r="AD87" s="683"/>
      <c r="AE87" s="681"/>
      <c r="AF87" s="681"/>
      <c r="AG87" s="681"/>
      <c r="AH87" s="681"/>
      <c r="AI87" s="681"/>
      <c r="AJ87" s="681"/>
      <c r="AK87" s="681"/>
      <c r="AL87" s="681"/>
      <c r="AM87" s="681"/>
      <c r="AN87" s="339"/>
      <c r="AO87" s="338"/>
      <c r="AP87" s="681"/>
      <c r="AQ87" s="681"/>
      <c r="AR87" s="681"/>
      <c r="AS87" s="681"/>
      <c r="AT87" s="681"/>
      <c r="AU87" s="681"/>
      <c r="AV87" s="683"/>
      <c r="AW87" s="681"/>
      <c r="AX87" s="681"/>
      <c r="AY87" s="681"/>
      <c r="AZ87" s="681"/>
      <c r="BA87" s="681"/>
      <c r="BB87" s="681"/>
      <c r="BC87" s="681"/>
      <c r="BD87" s="681"/>
      <c r="BE87" s="681"/>
      <c r="BF87" s="339"/>
      <c r="BG87" s="38"/>
      <c r="BJ87" s="338"/>
      <c r="BK87" s="343"/>
      <c r="BL87" s="343"/>
      <c r="BM87" s="343"/>
      <c r="BN87" s="343"/>
      <c r="BO87" s="343"/>
      <c r="BP87" s="343"/>
      <c r="BQ87" s="343"/>
      <c r="BR87" s="343"/>
      <c r="BS87" s="343"/>
      <c r="BT87" s="343"/>
      <c r="BU87" s="343"/>
      <c r="BV87" s="343"/>
      <c r="BW87" s="343"/>
      <c r="BX87" s="343"/>
      <c r="BY87" s="343"/>
      <c r="BZ87" s="343"/>
      <c r="CA87" s="343"/>
      <c r="CB87" s="330"/>
      <c r="CC87" s="330"/>
      <c r="CD87" s="330"/>
      <c r="CE87" s="330"/>
    </row>
    <row r="88" spans="2:83" ht="16.5" customHeight="1">
      <c r="B88" s="34"/>
      <c r="D88" s="45"/>
      <c r="E88" s="338"/>
      <c r="F88" s="346"/>
      <c r="G88" s="346"/>
      <c r="H88" s="346"/>
      <c r="I88" s="346"/>
      <c r="J88" s="346"/>
      <c r="K88" s="346"/>
      <c r="L88" s="346"/>
      <c r="M88" s="346"/>
      <c r="N88" s="346"/>
      <c r="O88" s="346"/>
      <c r="P88" s="346"/>
      <c r="Q88" s="346"/>
      <c r="R88" s="346"/>
      <c r="S88" s="346"/>
      <c r="T88" s="346"/>
      <c r="U88" s="346"/>
      <c r="V88" s="339"/>
      <c r="W88" s="338"/>
      <c r="X88" s="346"/>
      <c r="Y88" s="346"/>
      <c r="Z88" s="346"/>
      <c r="AA88" s="346"/>
      <c r="AB88" s="346"/>
      <c r="AC88" s="346"/>
      <c r="AD88" s="346"/>
      <c r="AE88" s="346"/>
      <c r="AF88" s="346"/>
      <c r="AG88" s="346"/>
      <c r="AH88" s="346"/>
      <c r="AI88" s="346"/>
      <c r="AJ88" s="346"/>
      <c r="AK88" s="346"/>
      <c r="AL88" s="346"/>
      <c r="AM88" s="346"/>
      <c r="AN88" s="339"/>
      <c r="AO88" s="338"/>
      <c r="AP88" s="346"/>
      <c r="AQ88" s="346"/>
      <c r="AR88" s="346"/>
      <c r="AS88" s="346"/>
      <c r="AT88" s="346"/>
      <c r="AU88" s="346"/>
      <c r="AV88" s="346"/>
      <c r="AW88" s="346"/>
      <c r="AX88" s="346"/>
      <c r="AY88" s="346"/>
      <c r="AZ88" s="346"/>
      <c r="BA88" s="346"/>
      <c r="BB88" s="346"/>
      <c r="BC88" s="346"/>
      <c r="BD88" s="346"/>
      <c r="BE88" s="346"/>
      <c r="BF88" s="339"/>
      <c r="BG88" s="38"/>
      <c r="BJ88" s="338"/>
      <c r="BK88" s="343"/>
      <c r="BL88" s="343"/>
      <c r="BM88" s="343"/>
      <c r="BN88" s="343"/>
      <c r="BO88" s="343"/>
      <c r="BP88" s="343"/>
      <c r="BQ88" s="343"/>
      <c r="BR88" s="343"/>
      <c r="BS88" s="343"/>
      <c r="BT88" s="343"/>
      <c r="BU88" s="343"/>
      <c r="BV88" s="343"/>
      <c r="BW88" s="343"/>
      <c r="BX88" s="343"/>
      <c r="BY88" s="343"/>
      <c r="BZ88" s="343"/>
      <c r="CA88" s="343"/>
      <c r="CB88" s="330"/>
      <c r="CC88" s="330"/>
      <c r="CD88" s="330"/>
      <c r="CE88" s="330"/>
    </row>
    <row r="89" spans="2:83" s="34" customFormat="1" ht="16.5" customHeight="1">
      <c r="D89" s="46"/>
      <c r="E89" s="340"/>
      <c r="F89" s="344"/>
      <c r="G89" s="344"/>
      <c r="H89" s="344"/>
      <c r="I89" s="344"/>
      <c r="J89" s="344"/>
      <c r="K89" s="344"/>
      <c r="L89" s="344"/>
      <c r="M89" s="344"/>
      <c r="N89" s="344"/>
      <c r="O89" s="344"/>
      <c r="P89" s="344"/>
      <c r="Q89" s="344"/>
      <c r="R89" s="344"/>
      <c r="S89" s="344"/>
      <c r="T89" s="344"/>
      <c r="U89" s="344"/>
      <c r="V89" s="341"/>
      <c r="W89" s="340"/>
      <c r="X89" s="344"/>
      <c r="Y89" s="344"/>
      <c r="Z89" s="344"/>
      <c r="AA89" s="344"/>
      <c r="AB89" s="344"/>
      <c r="AC89" s="344"/>
      <c r="AD89" s="344"/>
      <c r="AE89" s="344"/>
      <c r="AF89" s="344"/>
      <c r="AG89" s="344"/>
      <c r="AH89" s="344"/>
      <c r="AI89" s="344"/>
      <c r="AJ89" s="344"/>
      <c r="AK89" s="344"/>
      <c r="AL89" s="344"/>
      <c r="AM89" s="344"/>
      <c r="AN89" s="341"/>
      <c r="AO89" s="340"/>
      <c r="AP89" s="344"/>
      <c r="AQ89" s="344"/>
      <c r="AR89" s="344"/>
      <c r="AS89" s="344"/>
      <c r="AT89" s="344"/>
      <c r="AU89" s="344"/>
      <c r="AV89" s="344"/>
      <c r="AW89" s="344"/>
      <c r="AX89" s="344"/>
      <c r="AY89" s="344"/>
      <c r="AZ89" s="344"/>
      <c r="BA89" s="344"/>
      <c r="BB89" s="344"/>
      <c r="BC89" s="344"/>
      <c r="BD89" s="344"/>
      <c r="BE89" s="344"/>
      <c r="BF89" s="341"/>
      <c r="BG89" s="42"/>
      <c r="BJ89" s="340"/>
      <c r="BK89" s="344"/>
      <c r="BL89" s="344"/>
      <c r="BM89" s="344"/>
      <c r="BN89" s="344"/>
      <c r="BO89" s="344"/>
      <c r="BP89" s="344"/>
      <c r="BQ89" s="344"/>
      <c r="BR89" s="344"/>
      <c r="BS89" s="344"/>
      <c r="BT89" s="344"/>
      <c r="BU89" s="344"/>
      <c r="BV89" s="344"/>
      <c r="BW89" s="344"/>
      <c r="BX89" s="344"/>
      <c r="BY89" s="344"/>
      <c r="BZ89" s="344"/>
      <c r="CA89" s="344"/>
      <c r="CB89" s="331"/>
      <c r="CC89" s="331"/>
      <c r="CD89" s="331"/>
      <c r="CE89" s="331"/>
    </row>
    <row r="90" spans="2:83" ht="16.5" customHeight="1">
      <c r="B90" s="34"/>
      <c r="D90" s="43"/>
      <c r="E90" s="333"/>
      <c r="F90" s="334"/>
      <c r="G90" s="334"/>
      <c r="H90" s="334"/>
      <c r="I90" s="334"/>
      <c r="J90" s="334"/>
      <c r="K90" s="334"/>
      <c r="L90" s="334"/>
      <c r="M90" s="334"/>
      <c r="N90" s="334"/>
      <c r="O90" s="334"/>
      <c r="P90" s="334"/>
      <c r="Q90" s="334"/>
      <c r="R90" s="334"/>
      <c r="S90" s="334"/>
      <c r="T90" s="334"/>
      <c r="U90" s="334"/>
      <c r="V90" s="335"/>
      <c r="W90" s="333"/>
      <c r="X90" s="334"/>
      <c r="Y90" s="334"/>
      <c r="Z90" s="334"/>
      <c r="AA90" s="334"/>
      <c r="AB90" s="334"/>
      <c r="AC90" s="334"/>
      <c r="AD90" s="334"/>
      <c r="AE90" s="334"/>
      <c r="AF90" s="334"/>
      <c r="AG90" s="334"/>
      <c r="AH90" s="334"/>
      <c r="AI90" s="334"/>
      <c r="AJ90" s="334"/>
      <c r="AK90" s="334"/>
      <c r="AL90" s="334"/>
      <c r="AM90" s="334"/>
      <c r="AN90" s="335"/>
      <c r="AO90" s="333"/>
      <c r="AP90" s="334"/>
      <c r="AQ90" s="334"/>
      <c r="AR90" s="334"/>
      <c r="AS90" s="334"/>
      <c r="AT90" s="334"/>
      <c r="AU90" s="334"/>
      <c r="AV90" s="334"/>
      <c r="AW90" s="334"/>
      <c r="AX90" s="334"/>
      <c r="AY90" s="334"/>
      <c r="AZ90" s="334"/>
      <c r="BA90" s="334"/>
      <c r="BB90" s="334"/>
      <c r="BC90" s="334"/>
      <c r="BD90" s="334"/>
      <c r="BE90" s="334"/>
      <c r="BF90" s="335"/>
      <c r="BG90" s="41"/>
      <c r="BJ90" s="333"/>
      <c r="BK90" s="334"/>
      <c r="BL90" s="334"/>
      <c r="BM90" s="334"/>
      <c r="BN90" s="334"/>
      <c r="BO90" s="334"/>
      <c r="BP90" s="334"/>
      <c r="BQ90" s="334"/>
      <c r="BR90" s="334"/>
      <c r="BS90" s="334"/>
      <c r="BT90" s="334"/>
      <c r="BU90" s="334"/>
      <c r="BV90" s="334"/>
      <c r="BW90" s="334"/>
      <c r="BX90" s="334"/>
      <c r="BY90" s="334"/>
      <c r="BZ90" s="334"/>
      <c r="CA90" s="334"/>
      <c r="CB90" s="330"/>
      <c r="CC90" s="330"/>
      <c r="CD90" s="330"/>
      <c r="CE90" s="330"/>
    </row>
    <row r="91" spans="2:83" s="34" customFormat="1" ht="16.5" customHeight="1">
      <c r="D91" s="685"/>
      <c r="E91" s="336"/>
      <c r="F91" s="345"/>
      <c r="G91" s="347"/>
      <c r="H91" s="347"/>
      <c r="I91" s="347"/>
      <c r="J91" s="347"/>
      <c r="K91" s="347"/>
      <c r="L91" s="347"/>
      <c r="M91" s="347"/>
      <c r="N91" s="347"/>
      <c r="O91" s="347"/>
      <c r="P91" s="347"/>
      <c r="Q91" s="347"/>
      <c r="R91" s="347"/>
      <c r="S91" s="347"/>
      <c r="T91" s="347"/>
      <c r="U91" s="345"/>
      <c r="V91" s="337"/>
      <c r="W91" s="336"/>
      <c r="X91" s="345"/>
      <c r="Y91" s="347"/>
      <c r="Z91" s="347"/>
      <c r="AA91" s="347"/>
      <c r="AB91" s="347"/>
      <c r="AC91" s="347"/>
      <c r="AD91" s="347"/>
      <c r="AE91" s="347"/>
      <c r="AF91" s="347"/>
      <c r="AG91" s="347"/>
      <c r="AH91" s="347"/>
      <c r="AI91" s="347"/>
      <c r="AJ91" s="347"/>
      <c r="AK91" s="347"/>
      <c r="AL91" s="347"/>
      <c r="AM91" s="345"/>
      <c r="AN91" s="337"/>
      <c r="AO91" s="336"/>
      <c r="AP91" s="345"/>
      <c r="AQ91" s="347"/>
      <c r="AR91" s="347"/>
      <c r="AS91" s="347"/>
      <c r="AT91" s="347"/>
      <c r="AU91" s="347"/>
      <c r="AV91" s="347"/>
      <c r="AW91" s="347"/>
      <c r="AX91" s="347"/>
      <c r="AY91" s="347"/>
      <c r="AZ91" s="347"/>
      <c r="BA91" s="347"/>
      <c r="BB91" s="347"/>
      <c r="BC91" s="347"/>
      <c r="BD91" s="347"/>
      <c r="BE91" s="345"/>
      <c r="BF91" s="337"/>
      <c r="BG91" s="37"/>
      <c r="BJ91" s="336"/>
      <c r="BK91" s="342"/>
      <c r="BL91" s="342"/>
      <c r="BM91" s="342"/>
      <c r="BN91" s="342"/>
      <c r="BO91" s="342"/>
      <c r="BP91" s="342"/>
      <c r="BQ91" s="342"/>
      <c r="BR91" s="342"/>
      <c r="BS91" s="342"/>
      <c r="BT91" s="342"/>
      <c r="BU91" s="342"/>
      <c r="BV91" s="342"/>
      <c r="BW91" s="342"/>
      <c r="BX91" s="342"/>
      <c r="BY91" s="342"/>
      <c r="BZ91" s="342"/>
      <c r="CA91" s="342"/>
      <c r="CB91" s="331"/>
      <c r="CC91" s="331"/>
      <c r="CD91" s="331"/>
      <c r="CE91" s="331"/>
    </row>
    <row r="92" spans="2:83" s="35" customFormat="1" ht="16.5" customHeight="1">
      <c r="B92" s="34"/>
      <c r="D92" s="685"/>
      <c r="E92" s="336"/>
      <c r="F92" s="345"/>
      <c r="G92" s="347"/>
      <c r="H92" s="682"/>
      <c r="I92" s="682"/>
      <c r="J92" s="682"/>
      <c r="K92" s="682"/>
      <c r="L92" s="682"/>
      <c r="M92" s="682"/>
      <c r="N92" s="682"/>
      <c r="O92" s="682"/>
      <c r="P92" s="682"/>
      <c r="Q92" s="682"/>
      <c r="R92" s="682"/>
      <c r="S92" s="682"/>
      <c r="T92" s="347"/>
      <c r="U92" s="345"/>
      <c r="V92" s="337"/>
      <c r="W92" s="336"/>
      <c r="X92" s="345"/>
      <c r="Y92" s="347"/>
      <c r="Z92" s="682"/>
      <c r="AA92" s="682"/>
      <c r="AB92" s="682"/>
      <c r="AC92" s="682"/>
      <c r="AD92" s="682"/>
      <c r="AE92" s="682"/>
      <c r="AF92" s="682"/>
      <c r="AG92" s="682"/>
      <c r="AH92" s="682"/>
      <c r="AI92" s="682"/>
      <c r="AJ92" s="682"/>
      <c r="AK92" s="682"/>
      <c r="AL92" s="347"/>
      <c r="AM92" s="345"/>
      <c r="AN92" s="337"/>
      <c r="AO92" s="336"/>
      <c r="AP92" s="345"/>
      <c r="AQ92" s="347"/>
      <c r="AR92" s="682"/>
      <c r="AS92" s="682"/>
      <c r="AT92" s="682"/>
      <c r="AU92" s="682"/>
      <c r="AV92" s="682"/>
      <c r="AW92" s="682"/>
      <c r="AX92" s="682"/>
      <c r="AY92" s="682"/>
      <c r="AZ92" s="682"/>
      <c r="BA92" s="682"/>
      <c r="BB92" s="682"/>
      <c r="BC92" s="682"/>
      <c r="BD92" s="347"/>
      <c r="BE92" s="345"/>
      <c r="BF92" s="337"/>
      <c r="BG92" s="37"/>
      <c r="BJ92" s="336"/>
      <c r="BK92" s="342"/>
      <c r="BL92" s="342"/>
      <c r="BM92" s="342"/>
      <c r="BN92" s="342"/>
      <c r="BO92" s="342"/>
      <c r="BP92" s="342"/>
      <c r="BQ92" s="342"/>
      <c r="BR92" s="342"/>
      <c r="BS92" s="342"/>
      <c r="BT92" s="342"/>
      <c r="BU92" s="342"/>
      <c r="BV92" s="342"/>
      <c r="BW92" s="342"/>
      <c r="BX92" s="342"/>
      <c r="BY92" s="342"/>
      <c r="BZ92" s="342"/>
      <c r="CA92" s="342"/>
      <c r="CB92" s="332"/>
      <c r="CC92" s="332"/>
      <c r="CD92" s="332"/>
      <c r="CE92" s="332"/>
    </row>
    <row r="93" spans="2:83" s="35" customFormat="1" ht="16.5" customHeight="1">
      <c r="B93" s="34"/>
      <c r="D93" s="329"/>
      <c r="E93" s="336"/>
      <c r="F93" s="345"/>
      <c r="G93" s="347"/>
      <c r="H93" s="682"/>
      <c r="I93" s="682"/>
      <c r="J93" s="682"/>
      <c r="K93" s="682"/>
      <c r="L93" s="682"/>
      <c r="M93" s="682"/>
      <c r="N93" s="682"/>
      <c r="O93" s="682"/>
      <c r="P93" s="682"/>
      <c r="Q93" s="682"/>
      <c r="R93" s="682"/>
      <c r="S93" s="682"/>
      <c r="T93" s="347"/>
      <c r="U93" s="345"/>
      <c r="V93" s="337"/>
      <c r="W93" s="336"/>
      <c r="X93" s="345"/>
      <c r="Y93" s="347"/>
      <c r="Z93" s="682"/>
      <c r="AA93" s="682"/>
      <c r="AB93" s="682"/>
      <c r="AC93" s="682"/>
      <c r="AD93" s="682"/>
      <c r="AE93" s="682"/>
      <c r="AF93" s="682"/>
      <c r="AG93" s="682"/>
      <c r="AH93" s="682"/>
      <c r="AI93" s="682"/>
      <c r="AJ93" s="682"/>
      <c r="AK93" s="682"/>
      <c r="AL93" s="347"/>
      <c r="AM93" s="345"/>
      <c r="AN93" s="337"/>
      <c r="AO93" s="336"/>
      <c r="AP93" s="345"/>
      <c r="AQ93" s="347"/>
      <c r="AR93" s="682"/>
      <c r="AS93" s="682"/>
      <c r="AT93" s="682"/>
      <c r="AU93" s="682"/>
      <c r="AV93" s="682"/>
      <c r="AW93" s="682"/>
      <c r="AX93" s="682"/>
      <c r="AY93" s="682"/>
      <c r="AZ93" s="682"/>
      <c r="BA93" s="682"/>
      <c r="BB93" s="682"/>
      <c r="BC93" s="682"/>
      <c r="BD93" s="347"/>
      <c r="BE93" s="345"/>
      <c r="BF93" s="337"/>
      <c r="BG93" s="37"/>
      <c r="BJ93" s="336"/>
      <c r="BK93" s="342"/>
      <c r="BL93" s="342"/>
      <c r="BM93" s="342"/>
      <c r="BN93" s="342"/>
      <c r="BO93" s="342"/>
      <c r="BP93" s="342"/>
      <c r="BQ93" s="342"/>
      <c r="BR93" s="342"/>
      <c r="BS93" s="342"/>
      <c r="BT93" s="342"/>
      <c r="BU93" s="342"/>
      <c r="BV93" s="342"/>
      <c r="BW93" s="342"/>
      <c r="BX93" s="342"/>
      <c r="BY93" s="342"/>
      <c r="BZ93" s="342"/>
      <c r="CA93" s="342"/>
      <c r="CB93" s="332"/>
      <c r="CC93" s="332"/>
      <c r="CD93" s="332"/>
      <c r="CE93" s="332"/>
    </row>
    <row r="94" spans="2:83" ht="16.5" customHeight="1">
      <c r="B94" s="34"/>
      <c r="D94" s="329"/>
      <c r="E94" s="336"/>
      <c r="F94" s="345"/>
      <c r="G94" s="347"/>
      <c r="H94" s="682"/>
      <c r="I94" s="682"/>
      <c r="J94" s="682"/>
      <c r="K94" s="682"/>
      <c r="L94" s="682"/>
      <c r="M94" s="682"/>
      <c r="N94" s="682"/>
      <c r="O94" s="682"/>
      <c r="P94" s="682"/>
      <c r="Q94" s="682"/>
      <c r="R94" s="682"/>
      <c r="S94" s="682"/>
      <c r="T94" s="347"/>
      <c r="U94" s="345"/>
      <c r="V94" s="337"/>
      <c r="W94" s="336"/>
      <c r="X94" s="345"/>
      <c r="Y94" s="347"/>
      <c r="Z94" s="682"/>
      <c r="AA94" s="682"/>
      <c r="AB94" s="682"/>
      <c r="AC94" s="682"/>
      <c r="AD94" s="682"/>
      <c r="AE94" s="682"/>
      <c r="AF94" s="682"/>
      <c r="AG94" s="682"/>
      <c r="AH94" s="682"/>
      <c r="AI94" s="682"/>
      <c r="AJ94" s="682"/>
      <c r="AK94" s="682"/>
      <c r="AL94" s="347"/>
      <c r="AM94" s="345"/>
      <c r="AN94" s="337"/>
      <c r="AO94" s="336"/>
      <c r="AP94" s="345"/>
      <c r="AQ94" s="347"/>
      <c r="AR94" s="682"/>
      <c r="AS94" s="682"/>
      <c r="AT94" s="682"/>
      <c r="AU94" s="682"/>
      <c r="AV94" s="682"/>
      <c r="AW94" s="682"/>
      <c r="AX94" s="682"/>
      <c r="AY94" s="682"/>
      <c r="AZ94" s="682"/>
      <c r="BA94" s="682"/>
      <c r="BB94" s="682"/>
      <c r="BC94" s="682"/>
      <c r="BD94" s="347"/>
      <c r="BE94" s="345"/>
      <c r="BF94" s="337"/>
      <c r="BG94" s="37"/>
      <c r="BJ94" s="336"/>
      <c r="BK94" s="342"/>
      <c r="BL94" s="342"/>
      <c r="BM94" s="342"/>
      <c r="BN94" s="342"/>
      <c r="BO94" s="342"/>
      <c r="BP94" s="342"/>
      <c r="BQ94" s="342"/>
      <c r="BR94" s="342"/>
      <c r="BS94" s="342"/>
      <c r="BT94" s="342"/>
      <c r="BU94" s="342"/>
      <c r="BV94" s="342"/>
      <c r="BW94" s="342"/>
      <c r="BX94" s="342"/>
      <c r="BY94" s="342"/>
      <c r="BZ94" s="342"/>
      <c r="CA94" s="342"/>
      <c r="CB94" s="330"/>
      <c r="CC94" s="330"/>
      <c r="CD94" s="330"/>
      <c r="CE94" s="330"/>
    </row>
    <row r="95" spans="2:83" ht="16.5" customHeight="1">
      <c r="B95" s="34"/>
      <c r="D95" s="45"/>
      <c r="E95" s="338"/>
      <c r="F95" s="681"/>
      <c r="G95" s="681"/>
      <c r="H95" s="681"/>
      <c r="I95" s="681"/>
      <c r="J95" s="681"/>
      <c r="K95" s="681"/>
      <c r="L95" s="683"/>
      <c r="M95" s="681"/>
      <c r="N95" s="681"/>
      <c r="O95" s="681"/>
      <c r="P95" s="681"/>
      <c r="Q95" s="681"/>
      <c r="R95" s="681"/>
      <c r="S95" s="681"/>
      <c r="T95" s="681"/>
      <c r="U95" s="681"/>
      <c r="V95" s="339"/>
      <c r="W95" s="338"/>
      <c r="X95" s="681"/>
      <c r="Y95" s="681"/>
      <c r="Z95" s="681"/>
      <c r="AA95" s="681"/>
      <c r="AB95" s="681"/>
      <c r="AC95" s="681"/>
      <c r="AD95" s="683"/>
      <c r="AE95" s="681"/>
      <c r="AF95" s="681"/>
      <c r="AG95" s="681"/>
      <c r="AH95" s="681"/>
      <c r="AI95" s="681"/>
      <c r="AJ95" s="681"/>
      <c r="AK95" s="681"/>
      <c r="AL95" s="681"/>
      <c r="AM95" s="681"/>
      <c r="AN95" s="339"/>
      <c r="AO95" s="338"/>
      <c r="AP95" s="681"/>
      <c r="AQ95" s="681"/>
      <c r="AR95" s="681"/>
      <c r="AS95" s="681"/>
      <c r="AT95" s="681"/>
      <c r="AU95" s="681"/>
      <c r="AV95" s="683"/>
      <c r="AW95" s="681"/>
      <c r="AX95" s="681"/>
      <c r="AY95" s="681"/>
      <c r="AZ95" s="681"/>
      <c r="BA95" s="681"/>
      <c r="BB95" s="681"/>
      <c r="BC95" s="681"/>
      <c r="BD95" s="681"/>
      <c r="BE95" s="681"/>
      <c r="BF95" s="339"/>
      <c r="BG95" s="38"/>
      <c r="BJ95" s="338"/>
      <c r="BK95" s="343"/>
      <c r="BL95" s="343"/>
      <c r="BM95" s="343"/>
      <c r="BN95" s="343"/>
      <c r="BO95" s="343"/>
      <c r="BP95" s="343"/>
      <c r="BQ95" s="343"/>
      <c r="BR95" s="343"/>
      <c r="BS95" s="343"/>
      <c r="BT95" s="343"/>
      <c r="BU95" s="343"/>
      <c r="BV95" s="343"/>
      <c r="BW95" s="343"/>
      <c r="BX95" s="343"/>
      <c r="BY95" s="343"/>
      <c r="BZ95" s="343"/>
      <c r="CA95" s="343"/>
      <c r="CB95" s="330"/>
      <c r="CC95" s="330"/>
      <c r="CD95" s="330"/>
      <c r="CE95" s="330"/>
    </row>
    <row r="96" spans="2:83" ht="16.5" customHeight="1">
      <c r="B96" s="34"/>
      <c r="D96" s="45"/>
      <c r="E96" s="338"/>
      <c r="F96" s="346"/>
      <c r="G96" s="346"/>
      <c r="H96" s="346"/>
      <c r="I96" s="346"/>
      <c r="J96" s="346"/>
      <c r="K96" s="346"/>
      <c r="L96" s="346"/>
      <c r="M96" s="346"/>
      <c r="N96" s="346"/>
      <c r="O96" s="346"/>
      <c r="P96" s="346"/>
      <c r="Q96" s="346"/>
      <c r="R96" s="346"/>
      <c r="S96" s="346"/>
      <c r="T96" s="346"/>
      <c r="U96" s="346"/>
      <c r="V96" s="339"/>
      <c r="W96" s="338"/>
      <c r="X96" s="346"/>
      <c r="Y96" s="346"/>
      <c r="Z96" s="346"/>
      <c r="AA96" s="346"/>
      <c r="AB96" s="346"/>
      <c r="AC96" s="346"/>
      <c r="AD96" s="346"/>
      <c r="AE96" s="346"/>
      <c r="AF96" s="346"/>
      <c r="AG96" s="346"/>
      <c r="AH96" s="346"/>
      <c r="AI96" s="346"/>
      <c r="AJ96" s="346"/>
      <c r="AK96" s="346"/>
      <c r="AL96" s="346"/>
      <c r="AM96" s="346"/>
      <c r="AN96" s="339"/>
      <c r="AO96" s="338"/>
      <c r="AP96" s="346"/>
      <c r="AQ96" s="346"/>
      <c r="AR96" s="346"/>
      <c r="AS96" s="346"/>
      <c r="AT96" s="346"/>
      <c r="AU96" s="346"/>
      <c r="AV96" s="346"/>
      <c r="AW96" s="346"/>
      <c r="AX96" s="346"/>
      <c r="AY96" s="346"/>
      <c r="AZ96" s="346"/>
      <c r="BA96" s="346"/>
      <c r="BB96" s="346"/>
      <c r="BC96" s="346"/>
      <c r="BD96" s="346"/>
      <c r="BE96" s="346"/>
      <c r="BF96" s="339"/>
      <c r="BG96" s="38"/>
      <c r="BJ96" s="338"/>
      <c r="BK96" s="343"/>
      <c r="BL96" s="343"/>
      <c r="BM96" s="343"/>
      <c r="BN96" s="343"/>
      <c r="BO96" s="343"/>
      <c r="BP96" s="343"/>
      <c r="BQ96" s="343"/>
      <c r="BR96" s="343"/>
      <c r="BS96" s="343"/>
      <c r="BT96" s="343"/>
      <c r="BU96" s="343"/>
      <c r="BV96" s="343"/>
      <c r="BW96" s="343"/>
      <c r="BX96" s="343"/>
      <c r="BY96" s="343"/>
      <c r="BZ96" s="343"/>
      <c r="CA96" s="343"/>
      <c r="CB96" s="330"/>
      <c r="CC96" s="330"/>
      <c r="CD96" s="330"/>
      <c r="CE96" s="330"/>
    </row>
    <row r="97" spans="2:83" s="34" customFormat="1" ht="16.5" customHeight="1">
      <c r="D97" s="46"/>
      <c r="E97" s="340"/>
      <c r="F97" s="344"/>
      <c r="G97" s="344"/>
      <c r="H97" s="344"/>
      <c r="I97" s="344"/>
      <c r="J97" s="344"/>
      <c r="K97" s="344"/>
      <c r="L97" s="344"/>
      <c r="M97" s="344"/>
      <c r="N97" s="344"/>
      <c r="O97" s="344"/>
      <c r="P97" s="344"/>
      <c r="Q97" s="344"/>
      <c r="R97" s="344"/>
      <c r="S97" s="344"/>
      <c r="T97" s="344"/>
      <c r="U97" s="344"/>
      <c r="V97" s="341"/>
      <c r="W97" s="340"/>
      <c r="X97" s="344"/>
      <c r="Y97" s="344"/>
      <c r="Z97" s="344"/>
      <c r="AA97" s="344"/>
      <c r="AB97" s="344"/>
      <c r="AC97" s="344"/>
      <c r="AD97" s="344"/>
      <c r="AE97" s="344"/>
      <c r="AF97" s="344"/>
      <c r="AG97" s="344"/>
      <c r="AH97" s="344"/>
      <c r="AI97" s="344"/>
      <c r="AJ97" s="344"/>
      <c r="AK97" s="344"/>
      <c r="AL97" s="344"/>
      <c r="AM97" s="344"/>
      <c r="AN97" s="341"/>
      <c r="AO97" s="340"/>
      <c r="AP97" s="344"/>
      <c r="AQ97" s="344"/>
      <c r="AR97" s="344"/>
      <c r="AS97" s="344"/>
      <c r="AT97" s="344"/>
      <c r="AU97" s="344"/>
      <c r="AV97" s="344"/>
      <c r="AW97" s="344"/>
      <c r="AX97" s="344"/>
      <c r="AY97" s="344"/>
      <c r="AZ97" s="344"/>
      <c r="BA97" s="344"/>
      <c r="BB97" s="344"/>
      <c r="BC97" s="344"/>
      <c r="BD97" s="344"/>
      <c r="BE97" s="344"/>
      <c r="BF97" s="341"/>
      <c r="BG97" s="42"/>
      <c r="BJ97" s="340"/>
      <c r="BK97" s="344"/>
      <c r="BL97" s="344"/>
      <c r="BM97" s="344"/>
      <c r="BN97" s="344"/>
      <c r="BO97" s="344"/>
      <c r="BP97" s="344"/>
      <c r="BQ97" s="344"/>
      <c r="BR97" s="344"/>
      <c r="BS97" s="344"/>
      <c r="BT97" s="344"/>
      <c r="BU97" s="344"/>
      <c r="BV97" s="344"/>
      <c r="BW97" s="344"/>
      <c r="BX97" s="344"/>
      <c r="BY97" s="344"/>
      <c r="BZ97" s="344"/>
      <c r="CA97" s="344"/>
      <c r="CB97" s="331"/>
      <c r="CC97" s="331"/>
      <c r="CD97" s="331"/>
      <c r="CE97" s="331"/>
    </row>
    <row r="98" spans="2:83" ht="16.5" customHeight="1">
      <c r="B98" s="34"/>
      <c r="D98" s="43"/>
      <c r="E98" s="333"/>
      <c r="F98" s="334"/>
      <c r="G98" s="334"/>
      <c r="H98" s="334"/>
      <c r="I98" s="334"/>
      <c r="J98" s="334"/>
      <c r="K98" s="334"/>
      <c r="L98" s="334"/>
      <c r="M98" s="334"/>
      <c r="N98" s="334"/>
      <c r="O98" s="334"/>
      <c r="P98" s="334"/>
      <c r="Q98" s="334"/>
      <c r="R98" s="334"/>
      <c r="S98" s="334"/>
      <c r="T98" s="334"/>
      <c r="U98" s="334"/>
      <c r="V98" s="335"/>
      <c r="W98" s="333"/>
      <c r="X98" s="334"/>
      <c r="Y98" s="334"/>
      <c r="Z98" s="334"/>
      <c r="AA98" s="334"/>
      <c r="AB98" s="334"/>
      <c r="AC98" s="334"/>
      <c r="AD98" s="334"/>
      <c r="AE98" s="334"/>
      <c r="AF98" s="334"/>
      <c r="AG98" s="334"/>
      <c r="AH98" s="334"/>
      <c r="AI98" s="334"/>
      <c r="AJ98" s="334"/>
      <c r="AK98" s="334"/>
      <c r="AL98" s="334"/>
      <c r="AM98" s="334"/>
      <c r="AN98" s="335"/>
      <c r="AO98" s="333"/>
      <c r="AP98" s="334"/>
      <c r="AQ98" s="334"/>
      <c r="AR98" s="334"/>
      <c r="AS98" s="334"/>
      <c r="AT98" s="334"/>
      <c r="AU98" s="334"/>
      <c r="AV98" s="334"/>
      <c r="AW98" s="334"/>
      <c r="AX98" s="334"/>
      <c r="AY98" s="334"/>
      <c r="AZ98" s="334"/>
      <c r="BA98" s="334"/>
      <c r="BB98" s="334"/>
      <c r="BC98" s="334"/>
      <c r="BD98" s="334"/>
      <c r="BE98" s="334"/>
      <c r="BF98" s="335"/>
      <c r="BG98" s="41"/>
      <c r="BJ98" s="333"/>
      <c r="BK98" s="334"/>
      <c r="BL98" s="334"/>
      <c r="BM98" s="334"/>
      <c r="BN98" s="334"/>
      <c r="BO98" s="334"/>
      <c r="BP98" s="334"/>
      <c r="BQ98" s="334"/>
      <c r="BR98" s="334"/>
      <c r="BS98" s="334"/>
      <c r="BT98" s="334"/>
      <c r="BU98" s="334"/>
      <c r="BV98" s="334"/>
      <c r="BW98" s="334"/>
      <c r="BX98" s="334"/>
      <c r="BY98" s="334"/>
      <c r="BZ98" s="334"/>
      <c r="CA98" s="334"/>
      <c r="CB98" s="330"/>
      <c r="CC98" s="330"/>
      <c r="CD98" s="330"/>
      <c r="CE98" s="330"/>
    </row>
    <row r="99" spans="2:83" s="34" customFormat="1" ht="16.5" customHeight="1">
      <c r="D99" s="685"/>
      <c r="E99" s="336"/>
      <c r="F99" s="345"/>
      <c r="G99" s="347"/>
      <c r="H99" s="347"/>
      <c r="I99" s="347"/>
      <c r="J99" s="347"/>
      <c r="K99" s="347"/>
      <c r="L99" s="347"/>
      <c r="M99" s="347"/>
      <c r="N99" s="347"/>
      <c r="O99" s="347"/>
      <c r="P99" s="347"/>
      <c r="Q99" s="347"/>
      <c r="R99" s="347"/>
      <c r="S99" s="347"/>
      <c r="T99" s="347"/>
      <c r="U99" s="345"/>
      <c r="V99" s="337"/>
      <c r="W99" s="336"/>
      <c r="X99" s="345"/>
      <c r="Y99" s="347"/>
      <c r="Z99" s="347"/>
      <c r="AA99" s="347"/>
      <c r="AB99" s="347"/>
      <c r="AC99" s="347"/>
      <c r="AD99" s="347"/>
      <c r="AE99" s="347"/>
      <c r="AF99" s="347"/>
      <c r="AG99" s="347"/>
      <c r="AH99" s="347"/>
      <c r="AI99" s="347"/>
      <c r="AJ99" s="347"/>
      <c r="AK99" s="347"/>
      <c r="AL99" s="347"/>
      <c r="AM99" s="345"/>
      <c r="AN99" s="337"/>
      <c r="AO99" s="336"/>
      <c r="AP99" s="345"/>
      <c r="AQ99" s="347"/>
      <c r="AR99" s="347"/>
      <c r="AS99" s="347"/>
      <c r="AT99" s="347"/>
      <c r="AU99" s="347"/>
      <c r="AV99" s="347"/>
      <c r="AW99" s="347"/>
      <c r="AX99" s="347"/>
      <c r="AY99" s="347"/>
      <c r="AZ99" s="347"/>
      <c r="BA99" s="347"/>
      <c r="BB99" s="347"/>
      <c r="BC99" s="347"/>
      <c r="BD99" s="347"/>
      <c r="BE99" s="345"/>
      <c r="BF99" s="337"/>
      <c r="BG99" s="37"/>
      <c r="BJ99" s="336"/>
      <c r="BK99" s="342"/>
      <c r="BL99" s="342"/>
      <c r="BM99" s="342"/>
      <c r="BN99" s="342"/>
      <c r="BO99" s="342"/>
      <c r="BP99" s="342"/>
      <c r="BQ99" s="342"/>
      <c r="BR99" s="342"/>
      <c r="BS99" s="342"/>
      <c r="BT99" s="342"/>
      <c r="BU99" s="342"/>
      <c r="BV99" s="342"/>
      <c r="BW99" s="342"/>
      <c r="BX99" s="342"/>
      <c r="BY99" s="342"/>
      <c r="BZ99" s="342"/>
      <c r="CA99" s="342"/>
      <c r="CB99" s="331"/>
      <c r="CC99" s="331"/>
      <c r="CD99" s="331"/>
      <c r="CE99" s="331"/>
    </row>
    <row r="100" spans="2:83" s="35" customFormat="1" ht="16.5" customHeight="1">
      <c r="B100" s="34"/>
      <c r="D100" s="685"/>
      <c r="E100" s="336"/>
      <c r="F100" s="345"/>
      <c r="G100" s="347"/>
      <c r="H100" s="682"/>
      <c r="I100" s="682"/>
      <c r="J100" s="682"/>
      <c r="K100" s="682"/>
      <c r="L100" s="682"/>
      <c r="M100" s="682"/>
      <c r="N100" s="682"/>
      <c r="O100" s="682"/>
      <c r="P100" s="682"/>
      <c r="Q100" s="682"/>
      <c r="R100" s="682"/>
      <c r="S100" s="682"/>
      <c r="T100" s="347"/>
      <c r="U100" s="345"/>
      <c r="V100" s="337"/>
      <c r="W100" s="336"/>
      <c r="X100" s="345"/>
      <c r="Y100" s="347"/>
      <c r="Z100" s="682"/>
      <c r="AA100" s="682"/>
      <c r="AB100" s="682"/>
      <c r="AC100" s="682"/>
      <c r="AD100" s="682"/>
      <c r="AE100" s="682"/>
      <c r="AF100" s="682"/>
      <c r="AG100" s="682"/>
      <c r="AH100" s="682"/>
      <c r="AI100" s="682"/>
      <c r="AJ100" s="682"/>
      <c r="AK100" s="682"/>
      <c r="AL100" s="347"/>
      <c r="AM100" s="345"/>
      <c r="AN100" s="337"/>
      <c r="AO100" s="336"/>
      <c r="AP100" s="345"/>
      <c r="AQ100" s="347"/>
      <c r="AR100" s="682"/>
      <c r="AS100" s="682"/>
      <c r="AT100" s="682"/>
      <c r="AU100" s="682"/>
      <c r="AV100" s="682"/>
      <c r="AW100" s="682"/>
      <c r="AX100" s="682"/>
      <c r="AY100" s="682"/>
      <c r="AZ100" s="682"/>
      <c r="BA100" s="682"/>
      <c r="BB100" s="682"/>
      <c r="BC100" s="682"/>
      <c r="BD100" s="347"/>
      <c r="BE100" s="345"/>
      <c r="BF100" s="337"/>
      <c r="BG100" s="37"/>
      <c r="BJ100" s="336"/>
      <c r="BK100" s="342"/>
      <c r="BL100" s="342"/>
      <c r="BM100" s="342"/>
      <c r="BN100" s="342"/>
      <c r="BO100" s="342"/>
      <c r="BP100" s="342"/>
      <c r="BQ100" s="342"/>
      <c r="BR100" s="342"/>
      <c r="BS100" s="342"/>
      <c r="BT100" s="342"/>
      <c r="BU100" s="342"/>
      <c r="BV100" s="342"/>
      <c r="BW100" s="342"/>
      <c r="BX100" s="342"/>
      <c r="BY100" s="342"/>
      <c r="BZ100" s="342"/>
      <c r="CA100" s="342"/>
      <c r="CB100" s="332"/>
      <c r="CC100" s="332"/>
      <c r="CD100" s="332"/>
      <c r="CE100" s="332"/>
    </row>
    <row r="101" spans="2:83" s="35" customFormat="1" ht="16.5" customHeight="1">
      <c r="B101" s="34"/>
      <c r="D101" s="329"/>
      <c r="E101" s="336"/>
      <c r="F101" s="345"/>
      <c r="G101" s="347"/>
      <c r="H101" s="682"/>
      <c r="I101" s="682"/>
      <c r="J101" s="682"/>
      <c r="K101" s="682"/>
      <c r="L101" s="682"/>
      <c r="M101" s="682"/>
      <c r="N101" s="682"/>
      <c r="O101" s="682"/>
      <c r="P101" s="682"/>
      <c r="Q101" s="682"/>
      <c r="R101" s="682"/>
      <c r="S101" s="682"/>
      <c r="T101" s="347"/>
      <c r="U101" s="345"/>
      <c r="V101" s="337"/>
      <c r="W101" s="336"/>
      <c r="X101" s="345"/>
      <c r="Y101" s="347"/>
      <c r="Z101" s="682"/>
      <c r="AA101" s="682"/>
      <c r="AB101" s="682"/>
      <c r="AC101" s="682"/>
      <c r="AD101" s="682"/>
      <c r="AE101" s="682"/>
      <c r="AF101" s="682"/>
      <c r="AG101" s="682"/>
      <c r="AH101" s="682"/>
      <c r="AI101" s="682"/>
      <c r="AJ101" s="682"/>
      <c r="AK101" s="682"/>
      <c r="AL101" s="347"/>
      <c r="AM101" s="345"/>
      <c r="AN101" s="337"/>
      <c r="AO101" s="336"/>
      <c r="AP101" s="345"/>
      <c r="AQ101" s="347"/>
      <c r="AR101" s="682"/>
      <c r="AS101" s="682"/>
      <c r="AT101" s="682"/>
      <c r="AU101" s="682"/>
      <c r="AV101" s="682"/>
      <c r="AW101" s="682"/>
      <c r="AX101" s="682"/>
      <c r="AY101" s="682"/>
      <c r="AZ101" s="682"/>
      <c r="BA101" s="682"/>
      <c r="BB101" s="682"/>
      <c r="BC101" s="682"/>
      <c r="BD101" s="347"/>
      <c r="BE101" s="345"/>
      <c r="BF101" s="337"/>
      <c r="BG101" s="37"/>
      <c r="BJ101" s="336"/>
      <c r="BK101" s="342"/>
      <c r="BL101" s="342"/>
      <c r="BM101" s="342"/>
      <c r="BN101" s="342"/>
      <c r="BO101" s="342"/>
      <c r="BP101" s="342"/>
      <c r="BQ101" s="342"/>
      <c r="BR101" s="342"/>
      <c r="BS101" s="342"/>
      <c r="BT101" s="342"/>
      <c r="BU101" s="342"/>
      <c r="BV101" s="342"/>
      <c r="BW101" s="342"/>
      <c r="BX101" s="342"/>
      <c r="BY101" s="342"/>
      <c r="BZ101" s="342"/>
      <c r="CA101" s="342"/>
      <c r="CB101" s="332"/>
      <c r="CC101" s="332"/>
      <c r="CD101" s="332"/>
      <c r="CE101" s="332"/>
    </row>
    <row r="102" spans="2:83" ht="16.5" customHeight="1">
      <c r="B102" s="34"/>
      <c r="D102" s="329"/>
      <c r="E102" s="336"/>
      <c r="F102" s="345"/>
      <c r="G102" s="347"/>
      <c r="H102" s="682"/>
      <c r="I102" s="682"/>
      <c r="J102" s="682"/>
      <c r="K102" s="682"/>
      <c r="L102" s="682"/>
      <c r="M102" s="682"/>
      <c r="N102" s="682"/>
      <c r="O102" s="682"/>
      <c r="P102" s="682"/>
      <c r="Q102" s="682"/>
      <c r="R102" s="682"/>
      <c r="S102" s="682"/>
      <c r="T102" s="347"/>
      <c r="U102" s="345"/>
      <c r="V102" s="337"/>
      <c r="W102" s="336"/>
      <c r="X102" s="345"/>
      <c r="Y102" s="347"/>
      <c r="Z102" s="682"/>
      <c r="AA102" s="682"/>
      <c r="AB102" s="682"/>
      <c r="AC102" s="682"/>
      <c r="AD102" s="682"/>
      <c r="AE102" s="682"/>
      <c r="AF102" s="682"/>
      <c r="AG102" s="682"/>
      <c r="AH102" s="682"/>
      <c r="AI102" s="682"/>
      <c r="AJ102" s="682"/>
      <c r="AK102" s="682"/>
      <c r="AL102" s="347"/>
      <c r="AM102" s="345"/>
      <c r="AN102" s="337"/>
      <c r="AO102" s="336"/>
      <c r="AP102" s="345"/>
      <c r="AQ102" s="347"/>
      <c r="AR102" s="682"/>
      <c r="AS102" s="682"/>
      <c r="AT102" s="682"/>
      <c r="AU102" s="682"/>
      <c r="AV102" s="682"/>
      <c r="AW102" s="682"/>
      <c r="AX102" s="682"/>
      <c r="AY102" s="682"/>
      <c r="AZ102" s="682"/>
      <c r="BA102" s="682"/>
      <c r="BB102" s="682"/>
      <c r="BC102" s="682"/>
      <c r="BD102" s="347"/>
      <c r="BE102" s="345"/>
      <c r="BF102" s="337"/>
      <c r="BG102" s="37"/>
      <c r="BJ102" s="336"/>
      <c r="BK102" s="342"/>
      <c r="BL102" s="342"/>
      <c r="BM102" s="342"/>
      <c r="BN102" s="342"/>
      <c r="BO102" s="342"/>
      <c r="BP102" s="342"/>
      <c r="BQ102" s="342"/>
      <c r="BR102" s="342"/>
      <c r="BS102" s="342"/>
      <c r="BT102" s="342"/>
      <c r="BU102" s="342"/>
      <c r="BV102" s="342"/>
      <c r="BW102" s="342"/>
      <c r="BX102" s="342"/>
      <c r="BY102" s="342"/>
      <c r="BZ102" s="342"/>
      <c r="CA102" s="342"/>
      <c r="CB102" s="330"/>
      <c r="CC102" s="330"/>
      <c r="CD102" s="330"/>
      <c r="CE102" s="330"/>
    </row>
    <row r="103" spans="2:83" ht="16.5" customHeight="1">
      <c r="B103" s="34"/>
      <c r="D103" s="45"/>
      <c r="E103" s="338"/>
      <c r="F103" s="681"/>
      <c r="G103" s="681"/>
      <c r="H103" s="681"/>
      <c r="I103" s="681"/>
      <c r="J103" s="681"/>
      <c r="K103" s="681"/>
      <c r="L103" s="683"/>
      <c r="M103" s="681"/>
      <c r="N103" s="681"/>
      <c r="O103" s="681"/>
      <c r="P103" s="681"/>
      <c r="Q103" s="681"/>
      <c r="R103" s="681"/>
      <c r="S103" s="681"/>
      <c r="T103" s="681"/>
      <c r="U103" s="681"/>
      <c r="V103" s="339"/>
      <c r="W103" s="338"/>
      <c r="X103" s="681"/>
      <c r="Y103" s="681"/>
      <c r="Z103" s="681"/>
      <c r="AA103" s="681"/>
      <c r="AB103" s="681"/>
      <c r="AC103" s="681"/>
      <c r="AD103" s="683"/>
      <c r="AE103" s="681"/>
      <c r="AF103" s="681"/>
      <c r="AG103" s="681"/>
      <c r="AH103" s="681"/>
      <c r="AI103" s="681"/>
      <c r="AJ103" s="681"/>
      <c r="AK103" s="681"/>
      <c r="AL103" s="681"/>
      <c r="AM103" s="681"/>
      <c r="AN103" s="339"/>
      <c r="AO103" s="338"/>
      <c r="AP103" s="681"/>
      <c r="AQ103" s="681"/>
      <c r="AR103" s="681"/>
      <c r="AS103" s="681"/>
      <c r="AT103" s="681"/>
      <c r="AU103" s="681"/>
      <c r="AV103" s="683"/>
      <c r="AW103" s="681"/>
      <c r="AX103" s="681"/>
      <c r="AY103" s="681"/>
      <c r="AZ103" s="681"/>
      <c r="BA103" s="681"/>
      <c r="BB103" s="681"/>
      <c r="BC103" s="681"/>
      <c r="BD103" s="681"/>
      <c r="BE103" s="681"/>
      <c r="BF103" s="339"/>
      <c r="BG103" s="38"/>
      <c r="BJ103" s="338"/>
      <c r="BK103" s="343"/>
      <c r="BL103" s="343"/>
      <c r="BM103" s="343"/>
      <c r="BN103" s="343"/>
      <c r="BO103" s="343"/>
      <c r="BP103" s="343"/>
      <c r="BQ103" s="343"/>
      <c r="BR103" s="343"/>
      <c r="BS103" s="343"/>
      <c r="BT103" s="343"/>
      <c r="BU103" s="343"/>
      <c r="BV103" s="343"/>
      <c r="BW103" s="343"/>
      <c r="BX103" s="343"/>
      <c r="BY103" s="343"/>
      <c r="BZ103" s="343"/>
      <c r="CA103" s="343"/>
      <c r="CB103" s="330"/>
      <c r="CC103" s="330"/>
      <c r="CD103" s="330"/>
      <c r="CE103" s="330"/>
    </row>
    <row r="104" spans="2:83" ht="16.5" customHeight="1">
      <c r="B104" s="34"/>
      <c r="D104" s="45"/>
      <c r="E104" s="338"/>
      <c r="F104" s="346"/>
      <c r="G104" s="346"/>
      <c r="H104" s="346"/>
      <c r="I104" s="346"/>
      <c r="J104" s="346"/>
      <c r="K104" s="346"/>
      <c r="L104" s="346"/>
      <c r="M104" s="346"/>
      <c r="N104" s="346"/>
      <c r="O104" s="346"/>
      <c r="P104" s="346"/>
      <c r="Q104" s="346"/>
      <c r="R104" s="346"/>
      <c r="S104" s="346"/>
      <c r="T104" s="346"/>
      <c r="U104" s="346"/>
      <c r="V104" s="339"/>
      <c r="W104" s="338"/>
      <c r="X104" s="346"/>
      <c r="Y104" s="346"/>
      <c r="Z104" s="346"/>
      <c r="AA104" s="346"/>
      <c r="AB104" s="346"/>
      <c r="AC104" s="346"/>
      <c r="AD104" s="346"/>
      <c r="AE104" s="346"/>
      <c r="AF104" s="346"/>
      <c r="AG104" s="346"/>
      <c r="AH104" s="346"/>
      <c r="AI104" s="346"/>
      <c r="AJ104" s="346"/>
      <c r="AK104" s="346"/>
      <c r="AL104" s="346"/>
      <c r="AM104" s="346"/>
      <c r="AN104" s="339"/>
      <c r="AO104" s="338"/>
      <c r="AP104" s="346"/>
      <c r="AQ104" s="346"/>
      <c r="AR104" s="346"/>
      <c r="AS104" s="346"/>
      <c r="AT104" s="346"/>
      <c r="AU104" s="346"/>
      <c r="AV104" s="346"/>
      <c r="AW104" s="346"/>
      <c r="AX104" s="346"/>
      <c r="AY104" s="346"/>
      <c r="AZ104" s="346"/>
      <c r="BA104" s="346"/>
      <c r="BB104" s="346"/>
      <c r="BC104" s="346"/>
      <c r="BD104" s="346"/>
      <c r="BE104" s="346"/>
      <c r="BF104" s="339"/>
      <c r="BG104" s="38"/>
      <c r="BJ104" s="338"/>
      <c r="BK104" s="343"/>
      <c r="BL104" s="343"/>
      <c r="BM104" s="343"/>
      <c r="BN104" s="343"/>
      <c r="BO104" s="343"/>
      <c r="BP104" s="343"/>
      <c r="BQ104" s="343"/>
      <c r="BR104" s="343"/>
      <c r="BS104" s="343"/>
      <c r="BT104" s="343"/>
      <c r="BU104" s="343"/>
      <c r="BV104" s="343"/>
      <c r="BW104" s="343"/>
      <c r="BX104" s="343"/>
      <c r="BY104" s="343"/>
      <c r="BZ104" s="343"/>
      <c r="CA104" s="343"/>
      <c r="CB104" s="330"/>
      <c r="CC104" s="330"/>
      <c r="CD104" s="330"/>
      <c r="CE104" s="330"/>
    </row>
    <row r="105" spans="2:83" s="34" customFormat="1" ht="16.5" customHeight="1">
      <c r="D105" s="46"/>
      <c r="E105" s="340"/>
      <c r="F105" s="344"/>
      <c r="G105" s="344"/>
      <c r="H105" s="344"/>
      <c r="I105" s="344"/>
      <c r="J105" s="344"/>
      <c r="K105" s="344"/>
      <c r="L105" s="344"/>
      <c r="M105" s="344"/>
      <c r="N105" s="344"/>
      <c r="O105" s="344"/>
      <c r="P105" s="344"/>
      <c r="Q105" s="344"/>
      <c r="R105" s="344"/>
      <c r="S105" s="344"/>
      <c r="T105" s="344"/>
      <c r="U105" s="344"/>
      <c r="V105" s="341"/>
      <c r="W105" s="340"/>
      <c r="X105" s="344"/>
      <c r="Y105" s="344"/>
      <c r="Z105" s="344"/>
      <c r="AA105" s="344"/>
      <c r="AB105" s="344"/>
      <c r="AC105" s="344"/>
      <c r="AD105" s="344"/>
      <c r="AE105" s="344"/>
      <c r="AF105" s="344"/>
      <c r="AG105" s="344"/>
      <c r="AH105" s="344"/>
      <c r="AI105" s="344"/>
      <c r="AJ105" s="344"/>
      <c r="AK105" s="344"/>
      <c r="AL105" s="344"/>
      <c r="AM105" s="344"/>
      <c r="AN105" s="341"/>
      <c r="AO105" s="340"/>
      <c r="AP105" s="344"/>
      <c r="AQ105" s="344"/>
      <c r="AR105" s="344"/>
      <c r="AS105" s="344"/>
      <c r="AT105" s="344"/>
      <c r="AU105" s="344"/>
      <c r="AV105" s="344"/>
      <c r="AW105" s="344"/>
      <c r="AX105" s="344"/>
      <c r="AY105" s="344"/>
      <c r="AZ105" s="344"/>
      <c r="BA105" s="344"/>
      <c r="BB105" s="344"/>
      <c r="BC105" s="344"/>
      <c r="BD105" s="344"/>
      <c r="BE105" s="344"/>
      <c r="BF105" s="341"/>
      <c r="BG105" s="42"/>
      <c r="BJ105" s="340"/>
      <c r="BK105" s="344"/>
      <c r="BL105" s="344"/>
      <c r="BM105" s="344"/>
      <c r="BN105" s="344"/>
      <c r="BO105" s="344"/>
      <c r="BP105" s="344"/>
      <c r="BQ105" s="344"/>
      <c r="BR105" s="344"/>
      <c r="BS105" s="344"/>
      <c r="BT105" s="344"/>
      <c r="BU105" s="344"/>
      <c r="BV105" s="344"/>
      <c r="BW105" s="344"/>
      <c r="BX105" s="344"/>
      <c r="BY105" s="344"/>
      <c r="BZ105" s="344"/>
      <c r="CA105" s="344"/>
      <c r="CB105" s="331"/>
      <c r="CC105" s="331"/>
      <c r="CD105" s="331"/>
      <c r="CE105" s="331"/>
    </row>
    <row r="106" spans="2:83" ht="16.5" customHeight="1">
      <c r="B106" s="34"/>
      <c r="D106" s="43"/>
      <c r="E106" s="333"/>
      <c r="F106" s="334"/>
      <c r="G106" s="334"/>
      <c r="H106" s="334"/>
      <c r="I106" s="334"/>
      <c r="J106" s="334"/>
      <c r="K106" s="334"/>
      <c r="L106" s="334"/>
      <c r="M106" s="334"/>
      <c r="N106" s="334"/>
      <c r="O106" s="334"/>
      <c r="P106" s="334"/>
      <c r="Q106" s="334"/>
      <c r="R106" s="334"/>
      <c r="S106" s="334"/>
      <c r="T106" s="334"/>
      <c r="U106" s="334"/>
      <c r="V106" s="335"/>
      <c r="W106" s="333"/>
      <c r="X106" s="334"/>
      <c r="Y106" s="334"/>
      <c r="Z106" s="334"/>
      <c r="AA106" s="334"/>
      <c r="AB106" s="334"/>
      <c r="AC106" s="334"/>
      <c r="AD106" s="334"/>
      <c r="AE106" s="334"/>
      <c r="AF106" s="334"/>
      <c r="AG106" s="334"/>
      <c r="AH106" s="334"/>
      <c r="AI106" s="334"/>
      <c r="AJ106" s="334"/>
      <c r="AK106" s="334"/>
      <c r="AL106" s="334"/>
      <c r="AM106" s="334"/>
      <c r="AN106" s="335"/>
      <c r="AO106" s="333"/>
      <c r="AP106" s="334"/>
      <c r="AQ106" s="334"/>
      <c r="AR106" s="334"/>
      <c r="AS106" s="334"/>
      <c r="AT106" s="334"/>
      <c r="AU106" s="334"/>
      <c r="AV106" s="334"/>
      <c r="AW106" s="334"/>
      <c r="AX106" s="334"/>
      <c r="AY106" s="334"/>
      <c r="AZ106" s="334"/>
      <c r="BA106" s="334"/>
      <c r="BB106" s="334"/>
      <c r="BC106" s="334"/>
      <c r="BD106" s="334"/>
      <c r="BE106" s="334"/>
      <c r="BF106" s="335"/>
      <c r="BG106" s="41"/>
      <c r="BJ106" s="333"/>
      <c r="BK106" s="334"/>
      <c r="BL106" s="334"/>
      <c r="BM106" s="334"/>
      <c r="BN106" s="334"/>
      <c r="BO106" s="334"/>
      <c r="BP106" s="334"/>
      <c r="BQ106" s="334"/>
      <c r="BR106" s="334"/>
      <c r="BS106" s="334"/>
      <c r="BT106" s="334"/>
      <c r="BU106" s="334"/>
      <c r="BV106" s="334"/>
      <c r="BW106" s="334"/>
      <c r="BX106" s="334"/>
      <c r="BY106" s="334"/>
      <c r="BZ106" s="334"/>
      <c r="CA106" s="334"/>
      <c r="CB106" s="330"/>
      <c r="CC106" s="330"/>
      <c r="CD106" s="330"/>
      <c r="CE106" s="330"/>
    </row>
    <row r="107" spans="2:83" s="34" customFormat="1" ht="16.5" customHeight="1">
      <c r="D107" s="685"/>
      <c r="E107" s="336"/>
      <c r="F107" s="345"/>
      <c r="G107" s="347"/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  <c r="R107" s="347"/>
      <c r="S107" s="347"/>
      <c r="T107" s="347"/>
      <c r="U107" s="345"/>
      <c r="V107" s="337"/>
      <c r="W107" s="336"/>
      <c r="X107" s="345"/>
      <c r="Y107" s="347"/>
      <c r="Z107" s="347"/>
      <c r="AA107" s="347"/>
      <c r="AB107" s="347"/>
      <c r="AC107" s="347"/>
      <c r="AD107" s="347"/>
      <c r="AE107" s="347"/>
      <c r="AF107" s="347"/>
      <c r="AG107" s="347"/>
      <c r="AH107" s="347"/>
      <c r="AI107" s="347"/>
      <c r="AJ107" s="347"/>
      <c r="AK107" s="347"/>
      <c r="AL107" s="347"/>
      <c r="AM107" s="345"/>
      <c r="AN107" s="337"/>
      <c r="AO107" s="336"/>
      <c r="AP107" s="345"/>
      <c r="AQ107" s="347"/>
      <c r="AR107" s="347"/>
      <c r="AS107" s="347"/>
      <c r="AT107" s="347"/>
      <c r="AU107" s="347"/>
      <c r="AV107" s="347"/>
      <c r="AW107" s="347"/>
      <c r="AX107" s="347"/>
      <c r="AY107" s="347"/>
      <c r="AZ107" s="347"/>
      <c r="BA107" s="347"/>
      <c r="BB107" s="347"/>
      <c r="BC107" s="347"/>
      <c r="BD107" s="347"/>
      <c r="BE107" s="345"/>
      <c r="BF107" s="337"/>
      <c r="BG107" s="37"/>
      <c r="BJ107" s="336"/>
      <c r="BK107" s="342"/>
      <c r="BL107" s="342"/>
      <c r="BM107" s="342"/>
      <c r="BN107" s="342"/>
      <c r="BO107" s="342"/>
      <c r="BP107" s="342"/>
      <c r="BQ107" s="342"/>
      <c r="BR107" s="342"/>
      <c r="BS107" s="342"/>
      <c r="BT107" s="342"/>
      <c r="BU107" s="342"/>
      <c r="BV107" s="342"/>
      <c r="BW107" s="342"/>
      <c r="BX107" s="342"/>
      <c r="BY107" s="342"/>
      <c r="BZ107" s="342"/>
      <c r="CA107" s="342"/>
      <c r="CB107" s="331"/>
      <c r="CC107" s="331"/>
      <c r="CD107" s="331"/>
      <c r="CE107" s="331"/>
    </row>
    <row r="108" spans="2:83" s="35" customFormat="1" ht="16.5" customHeight="1">
      <c r="B108" s="34"/>
      <c r="D108" s="685"/>
      <c r="E108" s="336"/>
      <c r="F108" s="345"/>
      <c r="G108" s="347"/>
      <c r="H108" s="682"/>
      <c r="I108" s="682"/>
      <c r="J108" s="682"/>
      <c r="K108" s="682"/>
      <c r="L108" s="682"/>
      <c r="M108" s="682"/>
      <c r="N108" s="682"/>
      <c r="O108" s="682"/>
      <c r="P108" s="682"/>
      <c r="Q108" s="682"/>
      <c r="R108" s="682"/>
      <c r="S108" s="682"/>
      <c r="T108" s="347"/>
      <c r="U108" s="345"/>
      <c r="V108" s="337"/>
      <c r="W108" s="336"/>
      <c r="X108" s="345"/>
      <c r="Y108" s="347"/>
      <c r="Z108" s="682"/>
      <c r="AA108" s="682"/>
      <c r="AB108" s="682"/>
      <c r="AC108" s="682"/>
      <c r="AD108" s="682"/>
      <c r="AE108" s="682"/>
      <c r="AF108" s="682"/>
      <c r="AG108" s="682"/>
      <c r="AH108" s="682"/>
      <c r="AI108" s="682"/>
      <c r="AJ108" s="682"/>
      <c r="AK108" s="682"/>
      <c r="AL108" s="347"/>
      <c r="AM108" s="345"/>
      <c r="AN108" s="337"/>
      <c r="AO108" s="336"/>
      <c r="AP108" s="345"/>
      <c r="AQ108" s="347"/>
      <c r="AR108" s="682"/>
      <c r="AS108" s="682"/>
      <c r="AT108" s="682"/>
      <c r="AU108" s="682"/>
      <c r="AV108" s="682"/>
      <c r="AW108" s="682"/>
      <c r="AX108" s="682"/>
      <c r="AY108" s="682"/>
      <c r="AZ108" s="682"/>
      <c r="BA108" s="682"/>
      <c r="BB108" s="682"/>
      <c r="BC108" s="682"/>
      <c r="BD108" s="347"/>
      <c r="BE108" s="345"/>
      <c r="BF108" s="337"/>
      <c r="BG108" s="37"/>
      <c r="BJ108" s="336"/>
      <c r="BK108" s="342"/>
      <c r="BL108" s="342"/>
      <c r="BM108" s="342"/>
      <c r="BN108" s="342"/>
      <c r="BO108" s="342"/>
      <c r="BP108" s="342"/>
      <c r="BQ108" s="342"/>
      <c r="BR108" s="342"/>
      <c r="BS108" s="342"/>
      <c r="BT108" s="342"/>
      <c r="BU108" s="342"/>
      <c r="BV108" s="342"/>
      <c r="BW108" s="342"/>
      <c r="BX108" s="342"/>
      <c r="BY108" s="342"/>
      <c r="BZ108" s="342"/>
      <c r="CA108" s="342"/>
      <c r="CB108" s="332"/>
      <c r="CC108" s="332"/>
      <c r="CD108" s="332"/>
      <c r="CE108" s="332"/>
    </row>
    <row r="109" spans="2:83" s="35" customFormat="1" ht="16.5" customHeight="1">
      <c r="B109" s="34"/>
      <c r="D109" s="329"/>
      <c r="E109" s="336"/>
      <c r="F109" s="345"/>
      <c r="G109" s="347"/>
      <c r="H109" s="682"/>
      <c r="I109" s="682"/>
      <c r="J109" s="682"/>
      <c r="K109" s="682"/>
      <c r="L109" s="682"/>
      <c r="M109" s="682"/>
      <c r="N109" s="682"/>
      <c r="O109" s="682"/>
      <c r="P109" s="682"/>
      <c r="Q109" s="682"/>
      <c r="R109" s="682"/>
      <c r="S109" s="682"/>
      <c r="T109" s="347"/>
      <c r="U109" s="345"/>
      <c r="V109" s="337"/>
      <c r="W109" s="336"/>
      <c r="X109" s="345"/>
      <c r="Y109" s="347"/>
      <c r="Z109" s="682"/>
      <c r="AA109" s="682"/>
      <c r="AB109" s="682"/>
      <c r="AC109" s="682"/>
      <c r="AD109" s="682"/>
      <c r="AE109" s="682"/>
      <c r="AF109" s="682"/>
      <c r="AG109" s="682"/>
      <c r="AH109" s="682"/>
      <c r="AI109" s="682"/>
      <c r="AJ109" s="682"/>
      <c r="AK109" s="682"/>
      <c r="AL109" s="347"/>
      <c r="AM109" s="345"/>
      <c r="AN109" s="337"/>
      <c r="AO109" s="336"/>
      <c r="AP109" s="345"/>
      <c r="AQ109" s="347"/>
      <c r="AR109" s="682"/>
      <c r="AS109" s="682"/>
      <c r="AT109" s="682"/>
      <c r="AU109" s="682"/>
      <c r="AV109" s="682"/>
      <c r="AW109" s="682"/>
      <c r="AX109" s="682"/>
      <c r="AY109" s="682"/>
      <c r="AZ109" s="682"/>
      <c r="BA109" s="682"/>
      <c r="BB109" s="682"/>
      <c r="BC109" s="682"/>
      <c r="BD109" s="347"/>
      <c r="BE109" s="345"/>
      <c r="BF109" s="337"/>
      <c r="BG109" s="37"/>
      <c r="BJ109" s="336"/>
      <c r="BK109" s="342"/>
      <c r="BL109" s="342"/>
      <c r="BM109" s="342"/>
      <c r="BN109" s="342"/>
      <c r="BO109" s="342"/>
      <c r="BP109" s="342"/>
      <c r="BQ109" s="342"/>
      <c r="BR109" s="342"/>
      <c r="BS109" s="342"/>
      <c r="BT109" s="342"/>
      <c r="BU109" s="342"/>
      <c r="BV109" s="342"/>
      <c r="BW109" s="342"/>
      <c r="BX109" s="342"/>
      <c r="BY109" s="342"/>
      <c r="BZ109" s="342"/>
      <c r="CA109" s="342"/>
      <c r="CB109" s="332"/>
      <c r="CC109" s="332"/>
      <c r="CD109" s="332"/>
      <c r="CE109" s="332"/>
    </row>
    <row r="110" spans="2:83" ht="16.5" customHeight="1">
      <c r="B110" s="34"/>
      <c r="D110" s="329"/>
      <c r="E110" s="336"/>
      <c r="F110" s="345"/>
      <c r="G110" s="347"/>
      <c r="H110" s="682"/>
      <c r="I110" s="682"/>
      <c r="J110" s="682"/>
      <c r="K110" s="682"/>
      <c r="L110" s="682"/>
      <c r="M110" s="682"/>
      <c r="N110" s="682"/>
      <c r="O110" s="682"/>
      <c r="P110" s="682"/>
      <c r="Q110" s="682"/>
      <c r="R110" s="682"/>
      <c r="S110" s="682"/>
      <c r="T110" s="347"/>
      <c r="U110" s="345"/>
      <c r="V110" s="337"/>
      <c r="W110" s="336"/>
      <c r="X110" s="345"/>
      <c r="Y110" s="347"/>
      <c r="Z110" s="682"/>
      <c r="AA110" s="682"/>
      <c r="AB110" s="682"/>
      <c r="AC110" s="682"/>
      <c r="AD110" s="682"/>
      <c r="AE110" s="682"/>
      <c r="AF110" s="682"/>
      <c r="AG110" s="682"/>
      <c r="AH110" s="682"/>
      <c r="AI110" s="682"/>
      <c r="AJ110" s="682"/>
      <c r="AK110" s="682"/>
      <c r="AL110" s="347"/>
      <c r="AM110" s="345"/>
      <c r="AN110" s="337"/>
      <c r="AO110" s="336"/>
      <c r="AP110" s="345"/>
      <c r="AQ110" s="347"/>
      <c r="AR110" s="682"/>
      <c r="AS110" s="682"/>
      <c r="AT110" s="682"/>
      <c r="AU110" s="682"/>
      <c r="AV110" s="682"/>
      <c r="AW110" s="682"/>
      <c r="AX110" s="682"/>
      <c r="AY110" s="682"/>
      <c r="AZ110" s="682"/>
      <c r="BA110" s="682"/>
      <c r="BB110" s="682"/>
      <c r="BC110" s="682"/>
      <c r="BD110" s="347"/>
      <c r="BE110" s="345"/>
      <c r="BF110" s="337"/>
      <c r="BG110" s="37"/>
      <c r="BJ110" s="336"/>
      <c r="BK110" s="342"/>
      <c r="BL110" s="342"/>
      <c r="BM110" s="342"/>
      <c r="BN110" s="342"/>
      <c r="BO110" s="342"/>
      <c r="BP110" s="342"/>
      <c r="BQ110" s="342"/>
      <c r="BR110" s="342"/>
      <c r="BS110" s="342"/>
      <c r="BT110" s="342"/>
      <c r="BU110" s="342"/>
      <c r="BV110" s="342"/>
      <c r="BW110" s="342"/>
      <c r="BX110" s="342"/>
      <c r="BY110" s="342"/>
      <c r="BZ110" s="342"/>
      <c r="CA110" s="342"/>
      <c r="CB110" s="330"/>
      <c r="CC110" s="330"/>
      <c r="CD110" s="330"/>
      <c r="CE110" s="330"/>
    </row>
    <row r="111" spans="2:83" ht="16.5" customHeight="1">
      <c r="B111" s="34"/>
      <c r="D111" s="45"/>
      <c r="E111" s="338"/>
      <c r="F111" s="681"/>
      <c r="G111" s="681"/>
      <c r="H111" s="681"/>
      <c r="I111" s="681"/>
      <c r="J111" s="681"/>
      <c r="K111" s="681"/>
      <c r="L111" s="683"/>
      <c r="M111" s="681"/>
      <c r="N111" s="681"/>
      <c r="O111" s="681"/>
      <c r="P111" s="681"/>
      <c r="Q111" s="681"/>
      <c r="R111" s="681"/>
      <c r="S111" s="681"/>
      <c r="T111" s="681"/>
      <c r="U111" s="681"/>
      <c r="V111" s="339"/>
      <c r="W111" s="338"/>
      <c r="X111" s="681"/>
      <c r="Y111" s="681"/>
      <c r="Z111" s="681"/>
      <c r="AA111" s="681"/>
      <c r="AB111" s="681"/>
      <c r="AC111" s="681"/>
      <c r="AD111" s="683"/>
      <c r="AE111" s="681"/>
      <c r="AF111" s="681"/>
      <c r="AG111" s="681"/>
      <c r="AH111" s="681"/>
      <c r="AI111" s="681"/>
      <c r="AJ111" s="681"/>
      <c r="AK111" s="681"/>
      <c r="AL111" s="681"/>
      <c r="AM111" s="681"/>
      <c r="AN111" s="339"/>
      <c r="AO111" s="338"/>
      <c r="AP111" s="681"/>
      <c r="AQ111" s="681"/>
      <c r="AR111" s="681"/>
      <c r="AS111" s="681"/>
      <c r="AT111" s="681"/>
      <c r="AU111" s="681"/>
      <c r="AV111" s="683"/>
      <c r="AW111" s="681"/>
      <c r="AX111" s="681"/>
      <c r="AY111" s="681"/>
      <c r="AZ111" s="681"/>
      <c r="BA111" s="681"/>
      <c r="BB111" s="681"/>
      <c r="BC111" s="681"/>
      <c r="BD111" s="681"/>
      <c r="BE111" s="681"/>
      <c r="BF111" s="339"/>
      <c r="BG111" s="38"/>
      <c r="BJ111" s="338"/>
      <c r="BK111" s="343"/>
      <c r="BL111" s="343"/>
      <c r="BM111" s="343"/>
      <c r="BN111" s="343"/>
      <c r="BO111" s="343"/>
      <c r="BP111" s="343"/>
      <c r="BQ111" s="343"/>
      <c r="BR111" s="343"/>
      <c r="BS111" s="343"/>
      <c r="BT111" s="343"/>
      <c r="BU111" s="343"/>
      <c r="BV111" s="343"/>
      <c r="BW111" s="343"/>
      <c r="BX111" s="343"/>
      <c r="BY111" s="343"/>
      <c r="BZ111" s="343"/>
      <c r="CA111" s="343"/>
      <c r="CB111" s="330"/>
      <c r="CC111" s="330"/>
      <c r="CD111" s="330"/>
      <c r="CE111" s="330"/>
    </row>
    <row r="112" spans="2:83" ht="16.5" customHeight="1">
      <c r="B112" s="34"/>
      <c r="D112" s="45"/>
      <c r="E112" s="338"/>
      <c r="F112" s="346"/>
      <c r="G112" s="346"/>
      <c r="H112" s="346"/>
      <c r="I112" s="346"/>
      <c r="J112" s="346"/>
      <c r="K112" s="346"/>
      <c r="L112" s="346"/>
      <c r="M112" s="346"/>
      <c r="N112" s="346"/>
      <c r="O112" s="346"/>
      <c r="P112" s="346"/>
      <c r="Q112" s="346"/>
      <c r="R112" s="346"/>
      <c r="S112" s="346"/>
      <c r="T112" s="346"/>
      <c r="U112" s="346"/>
      <c r="V112" s="339"/>
      <c r="W112" s="338"/>
      <c r="X112" s="346"/>
      <c r="Y112" s="346"/>
      <c r="Z112" s="346"/>
      <c r="AA112" s="346"/>
      <c r="AB112" s="346"/>
      <c r="AC112" s="346"/>
      <c r="AD112" s="346"/>
      <c r="AE112" s="346"/>
      <c r="AF112" s="346"/>
      <c r="AG112" s="346"/>
      <c r="AH112" s="346"/>
      <c r="AI112" s="346"/>
      <c r="AJ112" s="346"/>
      <c r="AK112" s="346"/>
      <c r="AL112" s="346"/>
      <c r="AM112" s="346"/>
      <c r="AN112" s="339"/>
      <c r="AO112" s="338"/>
      <c r="AP112" s="346"/>
      <c r="AQ112" s="346"/>
      <c r="AR112" s="346"/>
      <c r="AS112" s="346"/>
      <c r="AT112" s="346"/>
      <c r="AU112" s="346"/>
      <c r="AV112" s="346"/>
      <c r="AW112" s="346"/>
      <c r="AX112" s="346"/>
      <c r="AY112" s="346"/>
      <c r="AZ112" s="346"/>
      <c r="BA112" s="346"/>
      <c r="BB112" s="346"/>
      <c r="BC112" s="346"/>
      <c r="BD112" s="346"/>
      <c r="BE112" s="346"/>
      <c r="BF112" s="339"/>
      <c r="BG112" s="38"/>
      <c r="BJ112" s="338"/>
      <c r="BK112" s="343"/>
      <c r="BL112" s="343"/>
      <c r="BM112" s="343"/>
      <c r="BN112" s="343"/>
      <c r="BO112" s="343"/>
      <c r="BP112" s="343"/>
      <c r="BQ112" s="343"/>
      <c r="BR112" s="343"/>
      <c r="BS112" s="343"/>
      <c r="BT112" s="343"/>
      <c r="BU112" s="343"/>
      <c r="BV112" s="343"/>
      <c r="BW112" s="343"/>
      <c r="BX112" s="343"/>
      <c r="BY112" s="343"/>
      <c r="BZ112" s="343"/>
      <c r="CA112" s="343"/>
      <c r="CB112" s="330"/>
      <c r="CC112" s="330"/>
      <c r="CD112" s="330"/>
      <c r="CE112" s="330"/>
    </row>
    <row r="113" spans="2:83" s="34" customFormat="1" ht="16.5" customHeight="1">
      <c r="D113" s="46"/>
      <c r="E113" s="340"/>
      <c r="F113" s="344"/>
      <c r="G113" s="344"/>
      <c r="H113" s="344"/>
      <c r="I113" s="344"/>
      <c r="J113" s="344"/>
      <c r="K113" s="344"/>
      <c r="L113" s="344"/>
      <c r="M113" s="344"/>
      <c r="N113" s="344"/>
      <c r="O113" s="344"/>
      <c r="P113" s="344"/>
      <c r="Q113" s="344"/>
      <c r="R113" s="344"/>
      <c r="S113" s="344"/>
      <c r="T113" s="344"/>
      <c r="U113" s="344"/>
      <c r="V113" s="341"/>
      <c r="W113" s="340"/>
      <c r="X113" s="344"/>
      <c r="Y113" s="344"/>
      <c r="Z113" s="344"/>
      <c r="AA113" s="344"/>
      <c r="AB113" s="344"/>
      <c r="AC113" s="344"/>
      <c r="AD113" s="344"/>
      <c r="AE113" s="344"/>
      <c r="AF113" s="344"/>
      <c r="AG113" s="344"/>
      <c r="AH113" s="344"/>
      <c r="AI113" s="344"/>
      <c r="AJ113" s="344"/>
      <c r="AK113" s="344"/>
      <c r="AL113" s="344"/>
      <c r="AM113" s="344"/>
      <c r="AN113" s="341"/>
      <c r="AO113" s="340"/>
      <c r="AP113" s="344"/>
      <c r="AQ113" s="344"/>
      <c r="AR113" s="344"/>
      <c r="AS113" s="344"/>
      <c r="AT113" s="344"/>
      <c r="AU113" s="344"/>
      <c r="AV113" s="344"/>
      <c r="AW113" s="344"/>
      <c r="AX113" s="344"/>
      <c r="AY113" s="344"/>
      <c r="AZ113" s="344"/>
      <c r="BA113" s="344"/>
      <c r="BB113" s="344"/>
      <c r="BC113" s="344"/>
      <c r="BD113" s="344"/>
      <c r="BE113" s="344"/>
      <c r="BF113" s="341"/>
      <c r="BG113" s="42"/>
      <c r="BJ113" s="340"/>
      <c r="BK113" s="344"/>
      <c r="BL113" s="344"/>
      <c r="BM113" s="344"/>
      <c r="BN113" s="344"/>
      <c r="BO113" s="344"/>
      <c r="BP113" s="344"/>
      <c r="BQ113" s="344"/>
      <c r="BR113" s="344"/>
      <c r="BS113" s="344"/>
      <c r="BT113" s="344"/>
      <c r="BU113" s="344"/>
      <c r="BV113" s="344"/>
      <c r="BW113" s="344"/>
      <c r="BX113" s="344"/>
      <c r="BY113" s="344"/>
      <c r="BZ113" s="344"/>
      <c r="CA113" s="344"/>
      <c r="CB113" s="331"/>
      <c r="CC113" s="331"/>
      <c r="CD113" s="331"/>
      <c r="CE113" s="331"/>
    </row>
    <row r="114" spans="2:83" ht="16.5" customHeight="1">
      <c r="B114" s="34"/>
      <c r="D114" s="43"/>
      <c r="E114" s="333"/>
      <c r="F114" s="334"/>
      <c r="G114" s="334"/>
      <c r="H114" s="334"/>
      <c r="I114" s="334"/>
      <c r="J114" s="334"/>
      <c r="K114" s="334"/>
      <c r="L114" s="334"/>
      <c r="M114" s="334"/>
      <c r="N114" s="334"/>
      <c r="O114" s="334"/>
      <c r="P114" s="334"/>
      <c r="Q114" s="334"/>
      <c r="R114" s="334"/>
      <c r="S114" s="334"/>
      <c r="T114" s="334"/>
      <c r="U114" s="334"/>
      <c r="V114" s="335"/>
      <c r="W114" s="333"/>
      <c r="X114" s="334"/>
      <c r="Y114" s="334"/>
      <c r="Z114" s="334"/>
      <c r="AA114" s="334"/>
      <c r="AB114" s="334"/>
      <c r="AC114" s="334"/>
      <c r="AD114" s="334"/>
      <c r="AE114" s="334"/>
      <c r="AF114" s="334"/>
      <c r="AG114" s="334"/>
      <c r="AH114" s="334"/>
      <c r="AI114" s="334"/>
      <c r="AJ114" s="334"/>
      <c r="AK114" s="334"/>
      <c r="AL114" s="334"/>
      <c r="AM114" s="334"/>
      <c r="AN114" s="335"/>
      <c r="AO114" s="333"/>
      <c r="AP114" s="334"/>
      <c r="AQ114" s="334"/>
      <c r="AR114" s="334"/>
      <c r="AS114" s="334"/>
      <c r="AT114" s="334"/>
      <c r="AU114" s="334"/>
      <c r="AV114" s="334"/>
      <c r="AW114" s="334"/>
      <c r="AX114" s="334"/>
      <c r="AY114" s="334"/>
      <c r="AZ114" s="334"/>
      <c r="BA114" s="334"/>
      <c r="BB114" s="334"/>
      <c r="BC114" s="334"/>
      <c r="BD114" s="334"/>
      <c r="BE114" s="334"/>
      <c r="BF114" s="335"/>
      <c r="BG114" s="41"/>
      <c r="BJ114" s="333"/>
      <c r="BK114" s="334"/>
      <c r="BL114" s="334"/>
      <c r="BM114" s="334"/>
      <c r="BN114" s="334"/>
      <c r="BO114" s="334"/>
      <c r="BP114" s="334"/>
      <c r="BQ114" s="334"/>
      <c r="BR114" s="334"/>
      <c r="BS114" s="334"/>
      <c r="BT114" s="334"/>
      <c r="BU114" s="334"/>
      <c r="BV114" s="334"/>
      <c r="BW114" s="334"/>
      <c r="BX114" s="334"/>
      <c r="BY114" s="334"/>
      <c r="BZ114" s="334"/>
      <c r="CA114" s="334"/>
      <c r="CB114" s="330"/>
      <c r="CC114" s="330"/>
      <c r="CD114" s="330"/>
      <c r="CE114" s="330"/>
    </row>
    <row r="115" spans="2:83" s="34" customFormat="1" ht="16.5" customHeight="1">
      <c r="D115" s="685"/>
      <c r="E115" s="336"/>
      <c r="F115" s="345"/>
      <c r="G115" s="347"/>
      <c r="H115" s="347"/>
      <c r="I115" s="347"/>
      <c r="J115" s="347"/>
      <c r="K115" s="347"/>
      <c r="L115" s="347"/>
      <c r="M115" s="347"/>
      <c r="N115" s="347"/>
      <c r="O115" s="347"/>
      <c r="P115" s="347"/>
      <c r="Q115" s="347"/>
      <c r="R115" s="347"/>
      <c r="S115" s="347"/>
      <c r="T115" s="347"/>
      <c r="U115" s="345"/>
      <c r="V115" s="337"/>
      <c r="W115" s="336"/>
      <c r="X115" s="345"/>
      <c r="Y115" s="347"/>
      <c r="Z115" s="347"/>
      <c r="AA115" s="347"/>
      <c r="AB115" s="347"/>
      <c r="AC115" s="347"/>
      <c r="AD115" s="347"/>
      <c r="AE115" s="347"/>
      <c r="AF115" s="347"/>
      <c r="AG115" s="347"/>
      <c r="AH115" s="347"/>
      <c r="AI115" s="347"/>
      <c r="AJ115" s="347"/>
      <c r="AK115" s="347"/>
      <c r="AL115" s="347"/>
      <c r="AM115" s="345"/>
      <c r="AN115" s="337"/>
      <c r="AO115" s="336"/>
      <c r="AP115" s="345"/>
      <c r="AQ115" s="347"/>
      <c r="AR115" s="347"/>
      <c r="AS115" s="347"/>
      <c r="AT115" s="347"/>
      <c r="AU115" s="347"/>
      <c r="AV115" s="347"/>
      <c r="AW115" s="347"/>
      <c r="AX115" s="347"/>
      <c r="AY115" s="347"/>
      <c r="AZ115" s="347"/>
      <c r="BA115" s="347"/>
      <c r="BB115" s="347"/>
      <c r="BC115" s="347"/>
      <c r="BD115" s="347"/>
      <c r="BE115" s="345"/>
      <c r="BF115" s="337"/>
      <c r="BG115" s="37"/>
      <c r="BJ115" s="336"/>
      <c r="BK115" s="342"/>
      <c r="BL115" s="342"/>
      <c r="BM115" s="342"/>
      <c r="BN115" s="342"/>
      <c r="BO115" s="342"/>
      <c r="BP115" s="342"/>
      <c r="BQ115" s="342"/>
      <c r="BR115" s="342"/>
      <c r="BS115" s="342"/>
      <c r="BT115" s="342"/>
      <c r="BU115" s="342"/>
      <c r="BV115" s="342"/>
      <c r="BW115" s="342"/>
      <c r="BX115" s="342"/>
      <c r="BY115" s="342"/>
      <c r="BZ115" s="342"/>
      <c r="CA115" s="342"/>
      <c r="CB115" s="331"/>
      <c r="CC115" s="331"/>
      <c r="CD115" s="331"/>
      <c r="CE115" s="331"/>
    </row>
    <row r="116" spans="2:83" s="35" customFormat="1" ht="16.5" customHeight="1">
      <c r="B116" s="34"/>
      <c r="D116" s="685"/>
      <c r="E116" s="336"/>
      <c r="F116" s="345"/>
      <c r="G116" s="347"/>
      <c r="H116" s="682"/>
      <c r="I116" s="682"/>
      <c r="J116" s="682"/>
      <c r="K116" s="682"/>
      <c r="L116" s="682"/>
      <c r="M116" s="682"/>
      <c r="N116" s="682"/>
      <c r="O116" s="682"/>
      <c r="P116" s="682"/>
      <c r="Q116" s="682"/>
      <c r="R116" s="682"/>
      <c r="S116" s="682"/>
      <c r="T116" s="347"/>
      <c r="U116" s="345"/>
      <c r="V116" s="337"/>
      <c r="W116" s="336"/>
      <c r="X116" s="345"/>
      <c r="Y116" s="347"/>
      <c r="Z116" s="682"/>
      <c r="AA116" s="682"/>
      <c r="AB116" s="682"/>
      <c r="AC116" s="682"/>
      <c r="AD116" s="682"/>
      <c r="AE116" s="682"/>
      <c r="AF116" s="682"/>
      <c r="AG116" s="682"/>
      <c r="AH116" s="682"/>
      <c r="AI116" s="682"/>
      <c r="AJ116" s="682"/>
      <c r="AK116" s="682"/>
      <c r="AL116" s="347"/>
      <c r="AM116" s="345"/>
      <c r="AN116" s="337"/>
      <c r="AO116" s="336"/>
      <c r="AP116" s="345"/>
      <c r="AQ116" s="347"/>
      <c r="AR116" s="682"/>
      <c r="AS116" s="682"/>
      <c r="AT116" s="682"/>
      <c r="AU116" s="682"/>
      <c r="AV116" s="682"/>
      <c r="AW116" s="682"/>
      <c r="AX116" s="682"/>
      <c r="AY116" s="682"/>
      <c r="AZ116" s="682"/>
      <c r="BA116" s="682"/>
      <c r="BB116" s="682"/>
      <c r="BC116" s="682"/>
      <c r="BD116" s="347"/>
      <c r="BE116" s="345"/>
      <c r="BF116" s="337"/>
      <c r="BG116" s="37"/>
      <c r="BJ116" s="336"/>
      <c r="BK116" s="342"/>
      <c r="BL116" s="342"/>
      <c r="BM116" s="342"/>
      <c r="BN116" s="342"/>
      <c r="BO116" s="342"/>
      <c r="BP116" s="342"/>
      <c r="BQ116" s="342"/>
      <c r="BR116" s="342"/>
      <c r="BS116" s="342"/>
      <c r="BT116" s="342"/>
      <c r="BU116" s="342"/>
      <c r="BV116" s="342"/>
      <c r="BW116" s="342"/>
      <c r="BX116" s="342"/>
      <c r="BY116" s="342"/>
      <c r="BZ116" s="342"/>
      <c r="CA116" s="342"/>
      <c r="CB116" s="332"/>
      <c r="CC116" s="332"/>
      <c r="CD116" s="332"/>
      <c r="CE116" s="332"/>
    </row>
    <row r="117" spans="2:83" s="35" customFormat="1" ht="16.5" customHeight="1">
      <c r="B117" s="34"/>
      <c r="D117" s="329"/>
      <c r="E117" s="336"/>
      <c r="F117" s="345"/>
      <c r="G117" s="347"/>
      <c r="H117" s="682"/>
      <c r="I117" s="682"/>
      <c r="J117" s="682"/>
      <c r="K117" s="682"/>
      <c r="L117" s="682"/>
      <c r="M117" s="682"/>
      <c r="N117" s="682"/>
      <c r="O117" s="682"/>
      <c r="P117" s="682"/>
      <c r="Q117" s="682"/>
      <c r="R117" s="682"/>
      <c r="S117" s="682"/>
      <c r="T117" s="347"/>
      <c r="U117" s="345"/>
      <c r="V117" s="337"/>
      <c r="W117" s="336"/>
      <c r="X117" s="345"/>
      <c r="Y117" s="347"/>
      <c r="Z117" s="682"/>
      <c r="AA117" s="682"/>
      <c r="AB117" s="682"/>
      <c r="AC117" s="682"/>
      <c r="AD117" s="682"/>
      <c r="AE117" s="682"/>
      <c r="AF117" s="682"/>
      <c r="AG117" s="682"/>
      <c r="AH117" s="682"/>
      <c r="AI117" s="682"/>
      <c r="AJ117" s="682"/>
      <c r="AK117" s="682"/>
      <c r="AL117" s="347"/>
      <c r="AM117" s="345"/>
      <c r="AN117" s="337"/>
      <c r="AO117" s="336"/>
      <c r="AP117" s="345"/>
      <c r="AQ117" s="347"/>
      <c r="AR117" s="682"/>
      <c r="AS117" s="682"/>
      <c r="AT117" s="682"/>
      <c r="AU117" s="682"/>
      <c r="AV117" s="682"/>
      <c r="AW117" s="682"/>
      <c r="AX117" s="682"/>
      <c r="AY117" s="682"/>
      <c r="AZ117" s="682"/>
      <c r="BA117" s="682"/>
      <c r="BB117" s="682"/>
      <c r="BC117" s="682"/>
      <c r="BD117" s="347"/>
      <c r="BE117" s="345"/>
      <c r="BF117" s="337"/>
      <c r="BG117" s="37"/>
      <c r="BJ117" s="336"/>
      <c r="BK117" s="342"/>
      <c r="BL117" s="342"/>
      <c r="BM117" s="342"/>
      <c r="BN117" s="342"/>
      <c r="BO117" s="342"/>
      <c r="BP117" s="342"/>
      <c r="BQ117" s="342"/>
      <c r="BR117" s="342"/>
      <c r="BS117" s="342"/>
      <c r="BT117" s="342"/>
      <c r="BU117" s="342"/>
      <c r="BV117" s="342"/>
      <c r="BW117" s="342"/>
      <c r="BX117" s="342"/>
      <c r="BY117" s="342"/>
      <c r="BZ117" s="342"/>
      <c r="CA117" s="342"/>
      <c r="CB117" s="332"/>
      <c r="CC117" s="332"/>
      <c r="CD117" s="332"/>
      <c r="CE117" s="332"/>
    </row>
    <row r="118" spans="2:83" ht="16.5" customHeight="1">
      <c r="B118" s="34"/>
      <c r="D118" s="329"/>
      <c r="E118" s="336"/>
      <c r="F118" s="345"/>
      <c r="G118" s="347"/>
      <c r="H118" s="682"/>
      <c r="I118" s="682"/>
      <c r="J118" s="682"/>
      <c r="K118" s="682"/>
      <c r="L118" s="682"/>
      <c r="M118" s="682"/>
      <c r="N118" s="682"/>
      <c r="O118" s="682"/>
      <c r="P118" s="682"/>
      <c r="Q118" s="682"/>
      <c r="R118" s="682"/>
      <c r="S118" s="682"/>
      <c r="T118" s="347"/>
      <c r="U118" s="345"/>
      <c r="V118" s="337"/>
      <c r="W118" s="336"/>
      <c r="X118" s="345"/>
      <c r="Y118" s="347"/>
      <c r="Z118" s="682"/>
      <c r="AA118" s="682"/>
      <c r="AB118" s="682"/>
      <c r="AC118" s="682"/>
      <c r="AD118" s="682"/>
      <c r="AE118" s="682"/>
      <c r="AF118" s="682"/>
      <c r="AG118" s="682"/>
      <c r="AH118" s="682"/>
      <c r="AI118" s="682"/>
      <c r="AJ118" s="682"/>
      <c r="AK118" s="682"/>
      <c r="AL118" s="347"/>
      <c r="AM118" s="345"/>
      <c r="AN118" s="337"/>
      <c r="AO118" s="336"/>
      <c r="AP118" s="345"/>
      <c r="AQ118" s="347"/>
      <c r="AR118" s="682"/>
      <c r="AS118" s="682"/>
      <c r="AT118" s="682"/>
      <c r="AU118" s="682"/>
      <c r="AV118" s="682"/>
      <c r="AW118" s="682"/>
      <c r="AX118" s="682"/>
      <c r="AY118" s="682"/>
      <c r="AZ118" s="682"/>
      <c r="BA118" s="682"/>
      <c r="BB118" s="682"/>
      <c r="BC118" s="682"/>
      <c r="BD118" s="347"/>
      <c r="BE118" s="345"/>
      <c r="BF118" s="337"/>
      <c r="BG118" s="37"/>
      <c r="BJ118" s="336"/>
      <c r="BK118" s="342"/>
      <c r="BL118" s="342"/>
      <c r="BM118" s="342"/>
      <c r="BN118" s="342"/>
      <c r="BO118" s="342"/>
      <c r="BP118" s="342"/>
      <c r="BQ118" s="342"/>
      <c r="BR118" s="342"/>
      <c r="BS118" s="342"/>
      <c r="BT118" s="342"/>
      <c r="BU118" s="342"/>
      <c r="BV118" s="342"/>
      <c r="BW118" s="342"/>
      <c r="BX118" s="342"/>
      <c r="BY118" s="342"/>
      <c r="BZ118" s="342"/>
      <c r="CA118" s="342"/>
      <c r="CB118" s="330"/>
      <c r="CC118" s="330"/>
      <c r="CD118" s="330"/>
      <c r="CE118" s="330"/>
    </row>
    <row r="119" spans="2:83" ht="16.5" customHeight="1">
      <c r="B119" s="34"/>
      <c r="D119" s="45"/>
      <c r="E119" s="338"/>
      <c r="F119" s="681"/>
      <c r="G119" s="681"/>
      <c r="H119" s="681"/>
      <c r="I119" s="681"/>
      <c r="J119" s="681"/>
      <c r="K119" s="681"/>
      <c r="L119" s="683"/>
      <c r="M119" s="681"/>
      <c r="N119" s="681"/>
      <c r="O119" s="681"/>
      <c r="P119" s="681"/>
      <c r="Q119" s="681"/>
      <c r="R119" s="681"/>
      <c r="S119" s="681"/>
      <c r="T119" s="681"/>
      <c r="U119" s="681"/>
      <c r="V119" s="339"/>
      <c r="W119" s="338"/>
      <c r="X119" s="681"/>
      <c r="Y119" s="681"/>
      <c r="Z119" s="681"/>
      <c r="AA119" s="681"/>
      <c r="AB119" s="681"/>
      <c r="AC119" s="681"/>
      <c r="AD119" s="683"/>
      <c r="AE119" s="681"/>
      <c r="AF119" s="681"/>
      <c r="AG119" s="681"/>
      <c r="AH119" s="681"/>
      <c r="AI119" s="681"/>
      <c r="AJ119" s="681"/>
      <c r="AK119" s="681"/>
      <c r="AL119" s="681"/>
      <c r="AM119" s="681"/>
      <c r="AN119" s="339"/>
      <c r="AO119" s="338"/>
      <c r="AP119" s="681"/>
      <c r="AQ119" s="681"/>
      <c r="AR119" s="681"/>
      <c r="AS119" s="681"/>
      <c r="AT119" s="681"/>
      <c r="AU119" s="681"/>
      <c r="AV119" s="683"/>
      <c r="AW119" s="681"/>
      <c r="AX119" s="681"/>
      <c r="AY119" s="681"/>
      <c r="AZ119" s="681"/>
      <c r="BA119" s="681"/>
      <c r="BB119" s="681"/>
      <c r="BC119" s="681"/>
      <c r="BD119" s="681"/>
      <c r="BE119" s="681"/>
      <c r="BF119" s="339"/>
      <c r="BG119" s="38"/>
      <c r="BJ119" s="338"/>
      <c r="BK119" s="343"/>
      <c r="BL119" s="343"/>
      <c r="BM119" s="343"/>
      <c r="BN119" s="343"/>
      <c r="BO119" s="343"/>
      <c r="BP119" s="343"/>
      <c r="BQ119" s="343"/>
      <c r="BR119" s="343"/>
      <c r="BS119" s="343"/>
      <c r="BT119" s="343"/>
      <c r="BU119" s="343"/>
      <c r="BV119" s="343"/>
      <c r="BW119" s="343"/>
      <c r="BX119" s="343"/>
      <c r="BY119" s="343"/>
      <c r="BZ119" s="343"/>
      <c r="CA119" s="343"/>
      <c r="CB119" s="330"/>
      <c r="CC119" s="330"/>
      <c r="CD119" s="330"/>
      <c r="CE119" s="330"/>
    </row>
    <row r="120" spans="2:83" ht="16.5" customHeight="1">
      <c r="B120" s="34"/>
      <c r="D120" s="45"/>
      <c r="E120" s="338"/>
      <c r="F120" s="346"/>
      <c r="G120" s="346"/>
      <c r="H120" s="346"/>
      <c r="I120" s="346"/>
      <c r="J120" s="346"/>
      <c r="K120" s="346"/>
      <c r="L120" s="346"/>
      <c r="M120" s="346"/>
      <c r="N120" s="346"/>
      <c r="O120" s="346"/>
      <c r="P120" s="346"/>
      <c r="Q120" s="346"/>
      <c r="R120" s="346"/>
      <c r="S120" s="346"/>
      <c r="T120" s="346"/>
      <c r="U120" s="346"/>
      <c r="V120" s="339"/>
      <c r="W120" s="338"/>
      <c r="X120" s="346"/>
      <c r="Y120" s="346"/>
      <c r="Z120" s="346"/>
      <c r="AA120" s="346"/>
      <c r="AB120" s="346"/>
      <c r="AC120" s="346"/>
      <c r="AD120" s="346"/>
      <c r="AE120" s="346"/>
      <c r="AF120" s="346"/>
      <c r="AG120" s="346"/>
      <c r="AH120" s="346"/>
      <c r="AI120" s="346"/>
      <c r="AJ120" s="346"/>
      <c r="AK120" s="346"/>
      <c r="AL120" s="346"/>
      <c r="AM120" s="346"/>
      <c r="AN120" s="339"/>
      <c r="AO120" s="338"/>
      <c r="AP120" s="346"/>
      <c r="AQ120" s="346"/>
      <c r="AR120" s="346"/>
      <c r="AS120" s="346"/>
      <c r="AT120" s="346"/>
      <c r="AU120" s="346"/>
      <c r="AV120" s="346"/>
      <c r="AW120" s="346"/>
      <c r="AX120" s="346"/>
      <c r="AY120" s="346"/>
      <c r="AZ120" s="346"/>
      <c r="BA120" s="346"/>
      <c r="BB120" s="346"/>
      <c r="BC120" s="346"/>
      <c r="BD120" s="346"/>
      <c r="BE120" s="346"/>
      <c r="BF120" s="339"/>
      <c r="BG120" s="38"/>
      <c r="BJ120" s="338"/>
      <c r="BK120" s="343"/>
      <c r="BL120" s="343"/>
      <c r="BM120" s="343"/>
      <c r="BN120" s="343"/>
      <c r="BO120" s="343"/>
      <c r="BP120" s="343"/>
      <c r="BQ120" s="343"/>
      <c r="BR120" s="343"/>
      <c r="BS120" s="343"/>
      <c r="BT120" s="343"/>
      <c r="BU120" s="343"/>
      <c r="BV120" s="343"/>
      <c r="BW120" s="343"/>
      <c r="BX120" s="343"/>
      <c r="BY120" s="343"/>
      <c r="BZ120" s="343"/>
      <c r="CA120" s="343"/>
      <c r="CB120" s="330"/>
      <c r="CC120" s="330"/>
      <c r="CD120" s="330"/>
      <c r="CE120" s="330"/>
    </row>
    <row r="121" spans="2:83" s="34" customFormat="1" ht="16.5" customHeight="1">
      <c r="D121" s="46"/>
      <c r="E121" s="340"/>
      <c r="F121" s="344"/>
      <c r="G121" s="344"/>
      <c r="H121" s="344"/>
      <c r="I121" s="344"/>
      <c r="J121" s="344"/>
      <c r="K121" s="344"/>
      <c r="L121" s="344"/>
      <c r="M121" s="344"/>
      <c r="N121" s="344"/>
      <c r="O121" s="344"/>
      <c r="P121" s="344"/>
      <c r="Q121" s="344"/>
      <c r="R121" s="344"/>
      <c r="S121" s="344"/>
      <c r="T121" s="344"/>
      <c r="U121" s="344"/>
      <c r="V121" s="341"/>
      <c r="W121" s="340"/>
      <c r="X121" s="344"/>
      <c r="Y121" s="344"/>
      <c r="Z121" s="344"/>
      <c r="AA121" s="344"/>
      <c r="AB121" s="344"/>
      <c r="AC121" s="344"/>
      <c r="AD121" s="344"/>
      <c r="AE121" s="344"/>
      <c r="AF121" s="344"/>
      <c r="AG121" s="344"/>
      <c r="AH121" s="344"/>
      <c r="AI121" s="344"/>
      <c r="AJ121" s="344"/>
      <c r="AK121" s="344"/>
      <c r="AL121" s="344"/>
      <c r="AM121" s="344"/>
      <c r="AN121" s="341"/>
      <c r="AO121" s="340"/>
      <c r="AP121" s="344"/>
      <c r="AQ121" s="344"/>
      <c r="AR121" s="344"/>
      <c r="AS121" s="344"/>
      <c r="AT121" s="344"/>
      <c r="AU121" s="344"/>
      <c r="AV121" s="344"/>
      <c r="AW121" s="344"/>
      <c r="AX121" s="344"/>
      <c r="AY121" s="344"/>
      <c r="AZ121" s="344"/>
      <c r="BA121" s="344"/>
      <c r="BB121" s="344"/>
      <c r="BC121" s="344"/>
      <c r="BD121" s="344"/>
      <c r="BE121" s="344"/>
      <c r="BF121" s="341"/>
      <c r="BG121" s="42"/>
      <c r="BJ121" s="340"/>
      <c r="BK121" s="344"/>
      <c r="BL121" s="344"/>
      <c r="BM121" s="344"/>
      <c r="BN121" s="344"/>
      <c r="BO121" s="344"/>
      <c r="BP121" s="344"/>
      <c r="BQ121" s="344"/>
      <c r="BR121" s="344"/>
      <c r="BS121" s="344"/>
      <c r="BT121" s="344"/>
      <c r="BU121" s="344"/>
      <c r="BV121" s="344"/>
      <c r="BW121" s="344"/>
      <c r="BX121" s="344"/>
      <c r="BY121" s="344"/>
      <c r="BZ121" s="344"/>
      <c r="CA121" s="344"/>
      <c r="CB121" s="331"/>
      <c r="CC121" s="331"/>
      <c r="CD121" s="331"/>
      <c r="CE121" s="331"/>
    </row>
    <row r="122" spans="2:83" ht="16.5" customHeight="1">
      <c r="B122" s="34"/>
      <c r="D122" s="43"/>
      <c r="E122" s="333"/>
      <c r="F122" s="334"/>
      <c r="G122" s="334"/>
      <c r="H122" s="334"/>
      <c r="I122" s="334"/>
      <c r="J122" s="334"/>
      <c r="K122" s="334"/>
      <c r="L122" s="334"/>
      <c r="M122" s="334"/>
      <c r="N122" s="334"/>
      <c r="O122" s="334"/>
      <c r="P122" s="334"/>
      <c r="Q122" s="334"/>
      <c r="R122" s="334"/>
      <c r="S122" s="334"/>
      <c r="T122" s="334"/>
      <c r="U122" s="334"/>
      <c r="V122" s="335"/>
      <c r="W122" s="333"/>
      <c r="X122" s="334"/>
      <c r="Y122" s="334"/>
      <c r="Z122" s="334"/>
      <c r="AA122" s="334"/>
      <c r="AB122" s="334"/>
      <c r="AC122" s="334"/>
      <c r="AD122" s="334"/>
      <c r="AE122" s="334"/>
      <c r="AF122" s="334"/>
      <c r="AG122" s="334"/>
      <c r="AH122" s="334"/>
      <c r="AI122" s="334"/>
      <c r="AJ122" s="334"/>
      <c r="AK122" s="334"/>
      <c r="AL122" s="334"/>
      <c r="AM122" s="334"/>
      <c r="AN122" s="335"/>
      <c r="AO122" s="333"/>
      <c r="AP122" s="334"/>
      <c r="AQ122" s="334"/>
      <c r="AR122" s="334"/>
      <c r="AS122" s="334"/>
      <c r="AT122" s="334"/>
      <c r="AU122" s="334"/>
      <c r="AV122" s="334"/>
      <c r="AW122" s="334"/>
      <c r="AX122" s="334"/>
      <c r="AY122" s="334"/>
      <c r="AZ122" s="334"/>
      <c r="BA122" s="334"/>
      <c r="BB122" s="334"/>
      <c r="BC122" s="334"/>
      <c r="BD122" s="334"/>
      <c r="BE122" s="334"/>
      <c r="BF122" s="335"/>
      <c r="BG122" s="41"/>
      <c r="BJ122" s="333"/>
      <c r="BK122" s="334"/>
      <c r="BL122" s="334"/>
      <c r="BM122" s="334"/>
      <c r="BN122" s="334"/>
      <c r="BO122" s="334"/>
      <c r="BP122" s="334"/>
      <c r="BQ122" s="334"/>
      <c r="BR122" s="334"/>
      <c r="BS122" s="334"/>
      <c r="BT122" s="334"/>
      <c r="BU122" s="334"/>
      <c r="BV122" s="334"/>
      <c r="BW122" s="334"/>
      <c r="BX122" s="334"/>
      <c r="BY122" s="334"/>
      <c r="BZ122" s="334"/>
      <c r="CA122" s="334"/>
      <c r="CB122" s="330"/>
      <c r="CC122" s="330"/>
      <c r="CD122" s="330"/>
      <c r="CE122" s="330"/>
    </row>
    <row r="123" spans="2:83" s="34" customFormat="1" ht="16.5" customHeight="1">
      <c r="D123" s="685"/>
      <c r="E123" s="336"/>
      <c r="F123" s="345"/>
      <c r="G123" s="347"/>
      <c r="H123" s="347"/>
      <c r="I123" s="347"/>
      <c r="J123" s="347"/>
      <c r="K123" s="347"/>
      <c r="L123" s="347"/>
      <c r="M123" s="347"/>
      <c r="N123" s="347"/>
      <c r="O123" s="347"/>
      <c r="P123" s="347"/>
      <c r="Q123" s="347"/>
      <c r="R123" s="347"/>
      <c r="S123" s="347"/>
      <c r="T123" s="347"/>
      <c r="U123" s="345"/>
      <c r="V123" s="337"/>
      <c r="W123" s="336"/>
      <c r="X123" s="345"/>
      <c r="Y123" s="347"/>
      <c r="Z123" s="347"/>
      <c r="AA123" s="347"/>
      <c r="AB123" s="347"/>
      <c r="AC123" s="347"/>
      <c r="AD123" s="347"/>
      <c r="AE123" s="347"/>
      <c r="AF123" s="347"/>
      <c r="AG123" s="347"/>
      <c r="AH123" s="347"/>
      <c r="AI123" s="347"/>
      <c r="AJ123" s="347"/>
      <c r="AK123" s="347"/>
      <c r="AL123" s="347"/>
      <c r="AM123" s="345"/>
      <c r="AN123" s="337"/>
      <c r="AO123" s="336"/>
      <c r="AP123" s="345"/>
      <c r="AQ123" s="347"/>
      <c r="AR123" s="347"/>
      <c r="AS123" s="347"/>
      <c r="AT123" s="347"/>
      <c r="AU123" s="347"/>
      <c r="AV123" s="347"/>
      <c r="AW123" s="347"/>
      <c r="AX123" s="347"/>
      <c r="AY123" s="347"/>
      <c r="AZ123" s="347"/>
      <c r="BA123" s="347"/>
      <c r="BB123" s="347"/>
      <c r="BC123" s="347"/>
      <c r="BD123" s="347"/>
      <c r="BE123" s="345"/>
      <c r="BF123" s="337"/>
      <c r="BG123" s="37"/>
      <c r="BJ123" s="336"/>
      <c r="BK123" s="342"/>
      <c r="BL123" s="342"/>
      <c r="BM123" s="342"/>
      <c r="BN123" s="342"/>
      <c r="BO123" s="342"/>
      <c r="BP123" s="342"/>
      <c r="BQ123" s="342"/>
      <c r="BR123" s="342"/>
      <c r="BS123" s="342"/>
      <c r="BT123" s="342"/>
      <c r="BU123" s="342"/>
      <c r="BV123" s="342"/>
      <c r="BW123" s="342"/>
      <c r="BX123" s="342"/>
      <c r="BY123" s="342"/>
      <c r="BZ123" s="342"/>
      <c r="CA123" s="342"/>
      <c r="CB123" s="331"/>
      <c r="CC123" s="331"/>
      <c r="CD123" s="331"/>
      <c r="CE123" s="331"/>
    </row>
    <row r="124" spans="2:83" s="35" customFormat="1" ht="16.5" customHeight="1">
      <c r="B124" s="34"/>
      <c r="D124" s="685"/>
      <c r="E124" s="336"/>
      <c r="F124" s="345"/>
      <c r="G124" s="347"/>
      <c r="H124" s="682"/>
      <c r="I124" s="682"/>
      <c r="J124" s="682"/>
      <c r="K124" s="682"/>
      <c r="L124" s="682"/>
      <c r="M124" s="682"/>
      <c r="N124" s="682"/>
      <c r="O124" s="682"/>
      <c r="P124" s="682"/>
      <c r="Q124" s="682"/>
      <c r="R124" s="682"/>
      <c r="S124" s="682"/>
      <c r="T124" s="347"/>
      <c r="U124" s="345"/>
      <c r="V124" s="337"/>
      <c r="W124" s="336"/>
      <c r="X124" s="345"/>
      <c r="Y124" s="347"/>
      <c r="Z124" s="682"/>
      <c r="AA124" s="682"/>
      <c r="AB124" s="682"/>
      <c r="AC124" s="682"/>
      <c r="AD124" s="682"/>
      <c r="AE124" s="682"/>
      <c r="AF124" s="682"/>
      <c r="AG124" s="682"/>
      <c r="AH124" s="682"/>
      <c r="AI124" s="682"/>
      <c r="AJ124" s="682"/>
      <c r="AK124" s="682"/>
      <c r="AL124" s="347"/>
      <c r="AM124" s="345"/>
      <c r="AN124" s="337"/>
      <c r="AO124" s="336"/>
      <c r="AP124" s="345"/>
      <c r="AQ124" s="347"/>
      <c r="AR124" s="682"/>
      <c r="AS124" s="682"/>
      <c r="AT124" s="682"/>
      <c r="AU124" s="682"/>
      <c r="AV124" s="682"/>
      <c r="AW124" s="682"/>
      <c r="AX124" s="682"/>
      <c r="AY124" s="682"/>
      <c r="AZ124" s="682"/>
      <c r="BA124" s="682"/>
      <c r="BB124" s="682"/>
      <c r="BC124" s="682"/>
      <c r="BD124" s="347"/>
      <c r="BE124" s="345"/>
      <c r="BF124" s="337"/>
      <c r="BG124" s="37"/>
      <c r="BJ124" s="336"/>
      <c r="BK124" s="342"/>
      <c r="BL124" s="342"/>
      <c r="BM124" s="342"/>
      <c r="BN124" s="342"/>
      <c r="BO124" s="342"/>
      <c r="BP124" s="342"/>
      <c r="BQ124" s="342"/>
      <c r="BR124" s="342"/>
      <c r="BS124" s="342"/>
      <c r="BT124" s="342"/>
      <c r="BU124" s="342"/>
      <c r="BV124" s="342"/>
      <c r="BW124" s="342"/>
      <c r="BX124" s="342"/>
      <c r="BY124" s="342"/>
      <c r="BZ124" s="342"/>
      <c r="CA124" s="342"/>
      <c r="CB124" s="332"/>
      <c r="CC124" s="332"/>
      <c r="CD124" s="332"/>
      <c r="CE124" s="332"/>
    </row>
    <row r="125" spans="2:83" s="35" customFormat="1" ht="16.5" customHeight="1">
      <c r="B125" s="34"/>
      <c r="D125" s="329"/>
      <c r="E125" s="336"/>
      <c r="F125" s="345"/>
      <c r="G125" s="347"/>
      <c r="H125" s="682"/>
      <c r="I125" s="682"/>
      <c r="J125" s="682"/>
      <c r="K125" s="682"/>
      <c r="L125" s="682"/>
      <c r="M125" s="682"/>
      <c r="N125" s="682"/>
      <c r="O125" s="682"/>
      <c r="P125" s="682"/>
      <c r="Q125" s="682"/>
      <c r="R125" s="682"/>
      <c r="S125" s="682"/>
      <c r="T125" s="347"/>
      <c r="U125" s="345"/>
      <c r="V125" s="337"/>
      <c r="W125" s="336"/>
      <c r="X125" s="345"/>
      <c r="Y125" s="347"/>
      <c r="Z125" s="682"/>
      <c r="AA125" s="682"/>
      <c r="AB125" s="682"/>
      <c r="AC125" s="682"/>
      <c r="AD125" s="682"/>
      <c r="AE125" s="682"/>
      <c r="AF125" s="682"/>
      <c r="AG125" s="682"/>
      <c r="AH125" s="682"/>
      <c r="AI125" s="682"/>
      <c r="AJ125" s="682"/>
      <c r="AK125" s="682"/>
      <c r="AL125" s="347"/>
      <c r="AM125" s="345"/>
      <c r="AN125" s="337"/>
      <c r="AO125" s="336"/>
      <c r="AP125" s="345"/>
      <c r="AQ125" s="347"/>
      <c r="AR125" s="682"/>
      <c r="AS125" s="682"/>
      <c r="AT125" s="682"/>
      <c r="AU125" s="682"/>
      <c r="AV125" s="682"/>
      <c r="AW125" s="682"/>
      <c r="AX125" s="682"/>
      <c r="AY125" s="682"/>
      <c r="AZ125" s="682"/>
      <c r="BA125" s="682"/>
      <c r="BB125" s="682"/>
      <c r="BC125" s="682"/>
      <c r="BD125" s="347"/>
      <c r="BE125" s="345"/>
      <c r="BF125" s="337"/>
      <c r="BG125" s="37"/>
      <c r="BJ125" s="336"/>
      <c r="BK125" s="342"/>
      <c r="BL125" s="342"/>
      <c r="BM125" s="342"/>
      <c r="BN125" s="342"/>
      <c r="BO125" s="342"/>
      <c r="BP125" s="342"/>
      <c r="BQ125" s="342"/>
      <c r="BR125" s="342"/>
      <c r="BS125" s="342"/>
      <c r="BT125" s="342"/>
      <c r="BU125" s="342"/>
      <c r="BV125" s="342"/>
      <c r="BW125" s="342"/>
      <c r="BX125" s="342"/>
      <c r="BY125" s="342"/>
      <c r="BZ125" s="342"/>
      <c r="CA125" s="342"/>
      <c r="CB125" s="332"/>
      <c r="CC125" s="332"/>
      <c r="CD125" s="332"/>
      <c r="CE125" s="332"/>
    </row>
    <row r="126" spans="2:83" ht="16.5" customHeight="1">
      <c r="B126" s="34"/>
      <c r="D126" s="329"/>
      <c r="E126" s="336"/>
      <c r="F126" s="345"/>
      <c r="G126" s="347"/>
      <c r="H126" s="682"/>
      <c r="I126" s="682"/>
      <c r="J126" s="682"/>
      <c r="K126" s="682"/>
      <c r="L126" s="682"/>
      <c r="M126" s="682"/>
      <c r="N126" s="682"/>
      <c r="O126" s="682"/>
      <c r="P126" s="682"/>
      <c r="Q126" s="682"/>
      <c r="R126" s="682"/>
      <c r="S126" s="682"/>
      <c r="T126" s="347"/>
      <c r="U126" s="345"/>
      <c r="V126" s="337"/>
      <c r="W126" s="336"/>
      <c r="X126" s="345"/>
      <c r="Y126" s="347"/>
      <c r="Z126" s="682"/>
      <c r="AA126" s="682"/>
      <c r="AB126" s="682"/>
      <c r="AC126" s="682"/>
      <c r="AD126" s="682"/>
      <c r="AE126" s="682"/>
      <c r="AF126" s="682"/>
      <c r="AG126" s="682"/>
      <c r="AH126" s="682"/>
      <c r="AI126" s="682"/>
      <c r="AJ126" s="682"/>
      <c r="AK126" s="682"/>
      <c r="AL126" s="347"/>
      <c r="AM126" s="345"/>
      <c r="AN126" s="337"/>
      <c r="AO126" s="336"/>
      <c r="AP126" s="345"/>
      <c r="AQ126" s="347"/>
      <c r="AR126" s="682"/>
      <c r="AS126" s="682"/>
      <c r="AT126" s="682"/>
      <c r="AU126" s="682"/>
      <c r="AV126" s="682"/>
      <c r="AW126" s="682"/>
      <c r="AX126" s="682"/>
      <c r="AY126" s="682"/>
      <c r="AZ126" s="682"/>
      <c r="BA126" s="682"/>
      <c r="BB126" s="682"/>
      <c r="BC126" s="682"/>
      <c r="BD126" s="347"/>
      <c r="BE126" s="345"/>
      <c r="BF126" s="337"/>
      <c r="BG126" s="37"/>
      <c r="BJ126" s="336"/>
      <c r="BK126" s="342"/>
      <c r="BL126" s="342"/>
      <c r="BM126" s="342"/>
      <c r="BN126" s="342"/>
      <c r="BO126" s="342"/>
      <c r="BP126" s="342"/>
      <c r="BQ126" s="342"/>
      <c r="BR126" s="342"/>
      <c r="BS126" s="342"/>
      <c r="BT126" s="342"/>
      <c r="BU126" s="342"/>
      <c r="BV126" s="342"/>
      <c r="BW126" s="342"/>
      <c r="BX126" s="342"/>
      <c r="BY126" s="342"/>
      <c r="BZ126" s="342"/>
      <c r="CA126" s="342"/>
      <c r="CB126" s="330"/>
      <c r="CC126" s="330"/>
      <c r="CD126" s="330"/>
      <c r="CE126" s="330"/>
    </row>
    <row r="127" spans="2:83" ht="16.5" customHeight="1">
      <c r="B127" s="34"/>
      <c r="D127" s="45"/>
      <c r="E127" s="338"/>
      <c r="F127" s="681"/>
      <c r="G127" s="681"/>
      <c r="H127" s="681"/>
      <c r="I127" s="681"/>
      <c r="J127" s="681"/>
      <c r="K127" s="681"/>
      <c r="L127" s="683"/>
      <c r="M127" s="681"/>
      <c r="N127" s="681"/>
      <c r="O127" s="681"/>
      <c r="P127" s="681"/>
      <c r="Q127" s="681"/>
      <c r="R127" s="681"/>
      <c r="S127" s="681"/>
      <c r="T127" s="681"/>
      <c r="U127" s="681"/>
      <c r="V127" s="339"/>
      <c r="W127" s="338"/>
      <c r="X127" s="681"/>
      <c r="Y127" s="681"/>
      <c r="Z127" s="681"/>
      <c r="AA127" s="681"/>
      <c r="AB127" s="681"/>
      <c r="AC127" s="681"/>
      <c r="AD127" s="683"/>
      <c r="AE127" s="681"/>
      <c r="AF127" s="681"/>
      <c r="AG127" s="681"/>
      <c r="AH127" s="681"/>
      <c r="AI127" s="681"/>
      <c r="AJ127" s="681"/>
      <c r="AK127" s="681"/>
      <c r="AL127" s="681"/>
      <c r="AM127" s="681"/>
      <c r="AN127" s="339"/>
      <c r="AO127" s="338"/>
      <c r="AP127" s="681"/>
      <c r="AQ127" s="681"/>
      <c r="AR127" s="681"/>
      <c r="AS127" s="681"/>
      <c r="AT127" s="681"/>
      <c r="AU127" s="681"/>
      <c r="AV127" s="683"/>
      <c r="AW127" s="681"/>
      <c r="AX127" s="681"/>
      <c r="AY127" s="681"/>
      <c r="AZ127" s="681"/>
      <c r="BA127" s="681"/>
      <c r="BB127" s="681"/>
      <c r="BC127" s="681"/>
      <c r="BD127" s="681"/>
      <c r="BE127" s="681"/>
      <c r="BF127" s="339"/>
      <c r="BG127" s="38"/>
      <c r="BJ127" s="338"/>
      <c r="BK127" s="343"/>
      <c r="BL127" s="343"/>
      <c r="BM127" s="343"/>
      <c r="BN127" s="343"/>
      <c r="BO127" s="343"/>
      <c r="BP127" s="343"/>
      <c r="BQ127" s="343"/>
      <c r="BR127" s="343"/>
      <c r="BS127" s="343"/>
      <c r="BT127" s="343"/>
      <c r="BU127" s="343"/>
      <c r="BV127" s="343"/>
      <c r="BW127" s="343"/>
      <c r="BX127" s="343"/>
      <c r="BY127" s="343"/>
      <c r="BZ127" s="343"/>
      <c r="CA127" s="343"/>
      <c r="CB127" s="330"/>
      <c r="CC127" s="330"/>
      <c r="CD127" s="330"/>
      <c r="CE127" s="330"/>
    </row>
    <row r="128" spans="2:83" ht="16.5" customHeight="1">
      <c r="B128" s="34"/>
      <c r="D128" s="45"/>
      <c r="E128" s="338"/>
      <c r="F128" s="346"/>
      <c r="G128" s="346"/>
      <c r="H128" s="346"/>
      <c r="I128" s="346"/>
      <c r="J128" s="346"/>
      <c r="K128" s="346"/>
      <c r="L128" s="346"/>
      <c r="M128" s="346"/>
      <c r="N128" s="346"/>
      <c r="O128" s="346"/>
      <c r="P128" s="346"/>
      <c r="Q128" s="346"/>
      <c r="R128" s="346"/>
      <c r="S128" s="346"/>
      <c r="T128" s="346"/>
      <c r="U128" s="346"/>
      <c r="V128" s="339"/>
      <c r="W128" s="338"/>
      <c r="X128" s="346"/>
      <c r="Y128" s="346"/>
      <c r="Z128" s="346"/>
      <c r="AA128" s="346"/>
      <c r="AB128" s="346"/>
      <c r="AC128" s="346"/>
      <c r="AD128" s="346"/>
      <c r="AE128" s="346"/>
      <c r="AF128" s="346"/>
      <c r="AG128" s="346"/>
      <c r="AH128" s="346"/>
      <c r="AI128" s="346"/>
      <c r="AJ128" s="346"/>
      <c r="AK128" s="346"/>
      <c r="AL128" s="346"/>
      <c r="AM128" s="346"/>
      <c r="AN128" s="339"/>
      <c r="AO128" s="338"/>
      <c r="AP128" s="346"/>
      <c r="AQ128" s="346"/>
      <c r="AR128" s="346"/>
      <c r="AS128" s="346"/>
      <c r="AT128" s="346"/>
      <c r="AU128" s="346"/>
      <c r="AV128" s="346"/>
      <c r="AW128" s="346"/>
      <c r="AX128" s="346"/>
      <c r="AY128" s="346"/>
      <c r="AZ128" s="346"/>
      <c r="BA128" s="346"/>
      <c r="BB128" s="346"/>
      <c r="BC128" s="346"/>
      <c r="BD128" s="346"/>
      <c r="BE128" s="346"/>
      <c r="BF128" s="339"/>
      <c r="BG128" s="38"/>
      <c r="BJ128" s="338"/>
      <c r="BK128" s="343"/>
      <c r="BL128" s="343"/>
      <c r="BM128" s="343"/>
      <c r="BN128" s="343"/>
      <c r="BO128" s="343"/>
      <c r="BP128" s="343"/>
      <c r="BQ128" s="343"/>
      <c r="BR128" s="343"/>
      <c r="BS128" s="343"/>
      <c r="BT128" s="343"/>
      <c r="BU128" s="343"/>
      <c r="BV128" s="343"/>
      <c r="BW128" s="343"/>
      <c r="BX128" s="343"/>
      <c r="BY128" s="343"/>
      <c r="BZ128" s="343"/>
      <c r="CA128" s="343"/>
      <c r="CB128" s="330"/>
      <c r="CC128" s="330"/>
      <c r="CD128" s="330"/>
      <c r="CE128" s="330"/>
    </row>
    <row r="129" spans="2:83" s="34" customFormat="1" ht="16.5" customHeight="1">
      <c r="D129" s="46"/>
      <c r="E129" s="340"/>
      <c r="F129" s="344"/>
      <c r="G129" s="344"/>
      <c r="H129" s="344"/>
      <c r="I129" s="344"/>
      <c r="J129" s="344"/>
      <c r="K129" s="344"/>
      <c r="L129" s="344"/>
      <c r="M129" s="344"/>
      <c r="N129" s="344"/>
      <c r="O129" s="344"/>
      <c r="P129" s="344"/>
      <c r="Q129" s="344"/>
      <c r="R129" s="344"/>
      <c r="S129" s="344"/>
      <c r="T129" s="344"/>
      <c r="U129" s="344"/>
      <c r="V129" s="341"/>
      <c r="W129" s="340"/>
      <c r="X129" s="344"/>
      <c r="Y129" s="344"/>
      <c r="Z129" s="344"/>
      <c r="AA129" s="344"/>
      <c r="AB129" s="344"/>
      <c r="AC129" s="344"/>
      <c r="AD129" s="344"/>
      <c r="AE129" s="344"/>
      <c r="AF129" s="344"/>
      <c r="AG129" s="344"/>
      <c r="AH129" s="344"/>
      <c r="AI129" s="344"/>
      <c r="AJ129" s="344"/>
      <c r="AK129" s="344"/>
      <c r="AL129" s="344"/>
      <c r="AM129" s="344"/>
      <c r="AN129" s="341"/>
      <c r="AO129" s="340"/>
      <c r="AP129" s="344"/>
      <c r="AQ129" s="344"/>
      <c r="AR129" s="344"/>
      <c r="AS129" s="344"/>
      <c r="AT129" s="344"/>
      <c r="AU129" s="344"/>
      <c r="AV129" s="344"/>
      <c r="AW129" s="344"/>
      <c r="AX129" s="344"/>
      <c r="AY129" s="344"/>
      <c r="AZ129" s="344"/>
      <c r="BA129" s="344"/>
      <c r="BB129" s="344"/>
      <c r="BC129" s="344"/>
      <c r="BD129" s="344"/>
      <c r="BE129" s="344"/>
      <c r="BF129" s="341"/>
      <c r="BG129" s="42"/>
      <c r="BJ129" s="340"/>
      <c r="BK129" s="344"/>
      <c r="BL129" s="344"/>
      <c r="BM129" s="344"/>
      <c r="BN129" s="344"/>
      <c r="BO129" s="344"/>
      <c r="BP129" s="344"/>
      <c r="BQ129" s="344"/>
      <c r="BR129" s="344"/>
      <c r="BS129" s="344"/>
      <c r="BT129" s="344"/>
      <c r="BU129" s="344"/>
      <c r="BV129" s="344"/>
      <c r="BW129" s="344"/>
      <c r="BX129" s="344"/>
      <c r="BY129" s="344"/>
      <c r="BZ129" s="344"/>
      <c r="CA129" s="344"/>
      <c r="CB129" s="331"/>
      <c r="CC129" s="331"/>
      <c r="CD129" s="331"/>
      <c r="CE129" s="331"/>
    </row>
    <row r="130" spans="2:83" ht="16.5" customHeight="1">
      <c r="B130" s="34"/>
      <c r="D130" s="43"/>
      <c r="E130" s="333"/>
      <c r="F130" s="334"/>
      <c r="G130" s="334"/>
      <c r="H130" s="334"/>
      <c r="I130" s="334"/>
      <c r="J130" s="334"/>
      <c r="K130" s="334"/>
      <c r="L130" s="334"/>
      <c r="M130" s="334"/>
      <c r="N130" s="334"/>
      <c r="O130" s="334"/>
      <c r="P130" s="334"/>
      <c r="Q130" s="334"/>
      <c r="R130" s="334"/>
      <c r="S130" s="334"/>
      <c r="T130" s="334"/>
      <c r="U130" s="334"/>
      <c r="V130" s="335"/>
      <c r="W130" s="333"/>
      <c r="X130" s="334"/>
      <c r="Y130" s="334"/>
      <c r="Z130" s="334"/>
      <c r="AA130" s="334"/>
      <c r="AB130" s="334"/>
      <c r="AC130" s="334"/>
      <c r="AD130" s="334"/>
      <c r="AE130" s="334"/>
      <c r="AF130" s="334"/>
      <c r="AG130" s="334"/>
      <c r="AH130" s="334"/>
      <c r="AI130" s="334"/>
      <c r="AJ130" s="334"/>
      <c r="AK130" s="334"/>
      <c r="AL130" s="334"/>
      <c r="AM130" s="334"/>
      <c r="AN130" s="335"/>
      <c r="AO130" s="333"/>
      <c r="AP130" s="334"/>
      <c r="AQ130" s="334"/>
      <c r="AR130" s="334"/>
      <c r="AS130" s="334"/>
      <c r="AT130" s="334"/>
      <c r="AU130" s="334"/>
      <c r="AV130" s="334"/>
      <c r="AW130" s="334"/>
      <c r="AX130" s="334"/>
      <c r="AY130" s="334"/>
      <c r="AZ130" s="334"/>
      <c r="BA130" s="334"/>
      <c r="BB130" s="334"/>
      <c r="BC130" s="334"/>
      <c r="BD130" s="334"/>
      <c r="BE130" s="334"/>
      <c r="BF130" s="335"/>
      <c r="BG130" s="41"/>
      <c r="BJ130" s="333"/>
      <c r="BK130" s="334"/>
      <c r="BL130" s="334"/>
      <c r="BM130" s="334"/>
      <c r="BN130" s="334"/>
      <c r="BO130" s="334"/>
      <c r="BP130" s="334"/>
      <c r="BQ130" s="334"/>
      <c r="BR130" s="334"/>
      <c r="BS130" s="334"/>
      <c r="BT130" s="334"/>
      <c r="BU130" s="334"/>
      <c r="BV130" s="334"/>
      <c r="BW130" s="334"/>
      <c r="BX130" s="334"/>
      <c r="BY130" s="334"/>
      <c r="BZ130" s="334"/>
      <c r="CA130" s="334"/>
      <c r="CB130" s="330"/>
      <c r="CC130" s="330"/>
      <c r="CD130" s="330"/>
      <c r="CE130" s="330"/>
    </row>
    <row r="131" spans="2:83" s="34" customFormat="1" ht="16.5" customHeight="1">
      <c r="D131" s="685"/>
      <c r="E131" s="336"/>
      <c r="F131" s="345"/>
      <c r="G131" s="347"/>
      <c r="H131" s="347"/>
      <c r="I131" s="347"/>
      <c r="J131" s="347"/>
      <c r="K131" s="347"/>
      <c r="L131" s="347"/>
      <c r="M131" s="347"/>
      <c r="N131" s="347"/>
      <c r="O131" s="347"/>
      <c r="P131" s="347"/>
      <c r="Q131" s="347"/>
      <c r="R131" s="347"/>
      <c r="S131" s="347"/>
      <c r="T131" s="347"/>
      <c r="U131" s="345"/>
      <c r="V131" s="337"/>
      <c r="W131" s="336"/>
      <c r="X131" s="345"/>
      <c r="Y131" s="347"/>
      <c r="Z131" s="347"/>
      <c r="AA131" s="347"/>
      <c r="AB131" s="347"/>
      <c r="AC131" s="347"/>
      <c r="AD131" s="347"/>
      <c r="AE131" s="347"/>
      <c r="AF131" s="347"/>
      <c r="AG131" s="347"/>
      <c r="AH131" s="347"/>
      <c r="AI131" s="347"/>
      <c r="AJ131" s="347"/>
      <c r="AK131" s="347"/>
      <c r="AL131" s="347"/>
      <c r="AM131" s="345"/>
      <c r="AN131" s="337"/>
      <c r="AO131" s="336"/>
      <c r="AP131" s="345"/>
      <c r="AQ131" s="347"/>
      <c r="AR131" s="347"/>
      <c r="AS131" s="347"/>
      <c r="AT131" s="347"/>
      <c r="AU131" s="347"/>
      <c r="AV131" s="347"/>
      <c r="AW131" s="347"/>
      <c r="AX131" s="347"/>
      <c r="AY131" s="347"/>
      <c r="AZ131" s="347"/>
      <c r="BA131" s="347"/>
      <c r="BB131" s="347"/>
      <c r="BC131" s="347"/>
      <c r="BD131" s="347"/>
      <c r="BE131" s="345"/>
      <c r="BF131" s="337"/>
      <c r="BG131" s="37"/>
      <c r="BJ131" s="336"/>
      <c r="BK131" s="342"/>
      <c r="BL131" s="342"/>
      <c r="BM131" s="342"/>
      <c r="BN131" s="342"/>
      <c r="BO131" s="342"/>
      <c r="BP131" s="342"/>
      <c r="BQ131" s="342"/>
      <c r="BR131" s="342"/>
      <c r="BS131" s="342"/>
      <c r="BT131" s="342"/>
      <c r="BU131" s="342"/>
      <c r="BV131" s="342"/>
      <c r="BW131" s="342"/>
      <c r="BX131" s="342"/>
      <c r="BY131" s="342"/>
      <c r="BZ131" s="342"/>
      <c r="CA131" s="342"/>
      <c r="CB131" s="331"/>
      <c r="CC131" s="331"/>
      <c r="CD131" s="331"/>
      <c r="CE131" s="331"/>
    </row>
    <row r="132" spans="2:83" s="35" customFormat="1" ht="16.5" customHeight="1">
      <c r="B132" s="34"/>
      <c r="D132" s="685"/>
      <c r="E132" s="336"/>
      <c r="F132" s="345"/>
      <c r="G132" s="347"/>
      <c r="H132" s="682"/>
      <c r="I132" s="682"/>
      <c r="J132" s="682"/>
      <c r="K132" s="682"/>
      <c r="L132" s="682"/>
      <c r="M132" s="682"/>
      <c r="N132" s="682"/>
      <c r="O132" s="682"/>
      <c r="P132" s="682"/>
      <c r="Q132" s="682"/>
      <c r="R132" s="682"/>
      <c r="S132" s="682"/>
      <c r="T132" s="347"/>
      <c r="U132" s="345"/>
      <c r="V132" s="337"/>
      <c r="W132" s="336"/>
      <c r="X132" s="345"/>
      <c r="Y132" s="347"/>
      <c r="Z132" s="682"/>
      <c r="AA132" s="682"/>
      <c r="AB132" s="682"/>
      <c r="AC132" s="682"/>
      <c r="AD132" s="682"/>
      <c r="AE132" s="682"/>
      <c r="AF132" s="682"/>
      <c r="AG132" s="682"/>
      <c r="AH132" s="682"/>
      <c r="AI132" s="682"/>
      <c r="AJ132" s="682"/>
      <c r="AK132" s="682"/>
      <c r="AL132" s="347"/>
      <c r="AM132" s="345"/>
      <c r="AN132" s="337"/>
      <c r="AO132" s="336"/>
      <c r="AP132" s="345"/>
      <c r="AQ132" s="347"/>
      <c r="AR132" s="682"/>
      <c r="AS132" s="682"/>
      <c r="AT132" s="682"/>
      <c r="AU132" s="682"/>
      <c r="AV132" s="682"/>
      <c r="AW132" s="682"/>
      <c r="AX132" s="682"/>
      <c r="AY132" s="682"/>
      <c r="AZ132" s="682"/>
      <c r="BA132" s="682"/>
      <c r="BB132" s="682"/>
      <c r="BC132" s="682"/>
      <c r="BD132" s="347"/>
      <c r="BE132" s="345"/>
      <c r="BF132" s="337"/>
      <c r="BG132" s="37"/>
      <c r="BJ132" s="336"/>
      <c r="BK132" s="342"/>
      <c r="BL132" s="342"/>
      <c r="BM132" s="342"/>
      <c r="BN132" s="342"/>
      <c r="BO132" s="342"/>
      <c r="BP132" s="342"/>
      <c r="BQ132" s="342"/>
      <c r="BR132" s="342"/>
      <c r="BS132" s="342"/>
      <c r="BT132" s="342"/>
      <c r="BU132" s="342"/>
      <c r="BV132" s="342"/>
      <c r="BW132" s="342"/>
      <c r="BX132" s="342"/>
      <c r="BY132" s="342"/>
      <c r="BZ132" s="342"/>
      <c r="CA132" s="342"/>
      <c r="CB132" s="332"/>
      <c r="CC132" s="332"/>
      <c r="CD132" s="332"/>
      <c r="CE132" s="332"/>
    </row>
    <row r="133" spans="2:83" s="35" customFormat="1" ht="16.5" customHeight="1">
      <c r="B133" s="34"/>
      <c r="D133" s="329"/>
      <c r="E133" s="336"/>
      <c r="F133" s="345"/>
      <c r="G133" s="347"/>
      <c r="H133" s="682"/>
      <c r="I133" s="682"/>
      <c r="J133" s="682"/>
      <c r="K133" s="682"/>
      <c r="L133" s="682"/>
      <c r="M133" s="682"/>
      <c r="N133" s="682"/>
      <c r="O133" s="682"/>
      <c r="P133" s="682"/>
      <c r="Q133" s="682"/>
      <c r="R133" s="682"/>
      <c r="S133" s="682"/>
      <c r="T133" s="347"/>
      <c r="U133" s="345"/>
      <c r="V133" s="337"/>
      <c r="W133" s="336"/>
      <c r="X133" s="345"/>
      <c r="Y133" s="347"/>
      <c r="Z133" s="682"/>
      <c r="AA133" s="682"/>
      <c r="AB133" s="682"/>
      <c r="AC133" s="682"/>
      <c r="AD133" s="682"/>
      <c r="AE133" s="682"/>
      <c r="AF133" s="682"/>
      <c r="AG133" s="682"/>
      <c r="AH133" s="682"/>
      <c r="AI133" s="682"/>
      <c r="AJ133" s="682"/>
      <c r="AK133" s="682"/>
      <c r="AL133" s="347"/>
      <c r="AM133" s="345"/>
      <c r="AN133" s="337"/>
      <c r="AO133" s="336"/>
      <c r="AP133" s="345"/>
      <c r="AQ133" s="347"/>
      <c r="AR133" s="682"/>
      <c r="AS133" s="682"/>
      <c r="AT133" s="682"/>
      <c r="AU133" s="682"/>
      <c r="AV133" s="682"/>
      <c r="AW133" s="682"/>
      <c r="AX133" s="682"/>
      <c r="AY133" s="682"/>
      <c r="AZ133" s="682"/>
      <c r="BA133" s="682"/>
      <c r="BB133" s="682"/>
      <c r="BC133" s="682"/>
      <c r="BD133" s="347"/>
      <c r="BE133" s="345"/>
      <c r="BF133" s="337"/>
      <c r="BG133" s="37"/>
      <c r="BJ133" s="336"/>
      <c r="BK133" s="342"/>
      <c r="BL133" s="342"/>
      <c r="BM133" s="342"/>
      <c r="BN133" s="342"/>
      <c r="BO133" s="342"/>
      <c r="BP133" s="342"/>
      <c r="BQ133" s="342"/>
      <c r="BR133" s="342"/>
      <c r="BS133" s="342"/>
      <c r="BT133" s="342"/>
      <c r="BU133" s="342"/>
      <c r="BV133" s="342"/>
      <c r="BW133" s="342"/>
      <c r="BX133" s="342"/>
      <c r="BY133" s="342"/>
      <c r="BZ133" s="342"/>
      <c r="CA133" s="342"/>
      <c r="CB133" s="332"/>
      <c r="CC133" s="332"/>
      <c r="CD133" s="332"/>
      <c r="CE133" s="332"/>
    </row>
    <row r="134" spans="2:83" ht="16.5" customHeight="1">
      <c r="B134" s="34"/>
      <c r="D134" s="329"/>
      <c r="E134" s="336"/>
      <c r="F134" s="345"/>
      <c r="G134" s="347"/>
      <c r="H134" s="682"/>
      <c r="I134" s="682"/>
      <c r="J134" s="682"/>
      <c r="K134" s="682"/>
      <c r="L134" s="682"/>
      <c r="M134" s="682"/>
      <c r="N134" s="682"/>
      <c r="O134" s="682"/>
      <c r="P134" s="682"/>
      <c r="Q134" s="682"/>
      <c r="R134" s="682"/>
      <c r="S134" s="682"/>
      <c r="T134" s="347"/>
      <c r="U134" s="345"/>
      <c r="V134" s="337"/>
      <c r="W134" s="336"/>
      <c r="X134" s="345"/>
      <c r="Y134" s="347"/>
      <c r="Z134" s="682"/>
      <c r="AA134" s="682"/>
      <c r="AB134" s="682"/>
      <c r="AC134" s="682"/>
      <c r="AD134" s="682"/>
      <c r="AE134" s="682"/>
      <c r="AF134" s="682"/>
      <c r="AG134" s="682"/>
      <c r="AH134" s="682"/>
      <c r="AI134" s="682"/>
      <c r="AJ134" s="682"/>
      <c r="AK134" s="682"/>
      <c r="AL134" s="347"/>
      <c r="AM134" s="345"/>
      <c r="AN134" s="337"/>
      <c r="AO134" s="336"/>
      <c r="AP134" s="345"/>
      <c r="AQ134" s="347"/>
      <c r="AR134" s="682"/>
      <c r="AS134" s="682"/>
      <c r="AT134" s="682"/>
      <c r="AU134" s="682"/>
      <c r="AV134" s="682"/>
      <c r="AW134" s="682"/>
      <c r="AX134" s="682"/>
      <c r="AY134" s="682"/>
      <c r="AZ134" s="682"/>
      <c r="BA134" s="682"/>
      <c r="BB134" s="682"/>
      <c r="BC134" s="682"/>
      <c r="BD134" s="347"/>
      <c r="BE134" s="345"/>
      <c r="BF134" s="337"/>
      <c r="BG134" s="37"/>
      <c r="BJ134" s="336"/>
      <c r="BK134" s="342"/>
      <c r="BL134" s="342"/>
      <c r="BM134" s="342"/>
      <c r="BN134" s="342"/>
      <c r="BO134" s="342"/>
      <c r="BP134" s="342"/>
      <c r="BQ134" s="342"/>
      <c r="BR134" s="342"/>
      <c r="BS134" s="342"/>
      <c r="BT134" s="342"/>
      <c r="BU134" s="342"/>
      <c r="BV134" s="342"/>
      <c r="BW134" s="342"/>
      <c r="BX134" s="342"/>
      <c r="BY134" s="342"/>
      <c r="BZ134" s="342"/>
      <c r="CA134" s="342"/>
      <c r="CB134" s="330"/>
      <c r="CC134" s="330"/>
      <c r="CD134" s="330"/>
      <c r="CE134" s="330"/>
    </row>
    <row r="135" spans="2:83" ht="16.5" customHeight="1">
      <c r="B135" s="34"/>
      <c r="D135" s="45"/>
      <c r="E135" s="338"/>
      <c r="F135" s="681"/>
      <c r="G135" s="681"/>
      <c r="H135" s="681"/>
      <c r="I135" s="681"/>
      <c r="J135" s="681"/>
      <c r="K135" s="681"/>
      <c r="L135" s="683"/>
      <c r="M135" s="681"/>
      <c r="N135" s="681"/>
      <c r="O135" s="681"/>
      <c r="P135" s="681"/>
      <c r="Q135" s="681"/>
      <c r="R135" s="681"/>
      <c r="S135" s="681"/>
      <c r="T135" s="681"/>
      <c r="U135" s="681"/>
      <c r="V135" s="339"/>
      <c r="W135" s="338"/>
      <c r="X135" s="681"/>
      <c r="Y135" s="681"/>
      <c r="Z135" s="681"/>
      <c r="AA135" s="681"/>
      <c r="AB135" s="681"/>
      <c r="AC135" s="681"/>
      <c r="AD135" s="683"/>
      <c r="AE135" s="681"/>
      <c r="AF135" s="681"/>
      <c r="AG135" s="681"/>
      <c r="AH135" s="681"/>
      <c r="AI135" s="681"/>
      <c r="AJ135" s="681"/>
      <c r="AK135" s="681"/>
      <c r="AL135" s="681"/>
      <c r="AM135" s="681"/>
      <c r="AN135" s="339"/>
      <c r="AO135" s="338"/>
      <c r="AP135" s="681"/>
      <c r="AQ135" s="681"/>
      <c r="AR135" s="681"/>
      <c r="AS135" s="681"/>
      <c r="AT135" s="681"/>
      <c r="AU135" s="681"/>
      <c r="AV135" s="683"/>
      <c r="AW135" s="681"/>
      <c r="AX135" s="681"/>
      <c r="AY135" s="681"/>
      <c r="AZ135" s="681"/>
      <c r="BA135" s="681"/>
      <c r="BB135" s="681"/>
      <c r="BC135" s="681"/>
      <c r="BD135" s="681"/>
      <c r="BE135" s="681"/>
      <c r="BF135" s="339"/>
      <c r="BG135" s="38"/>
      <c r="BJ135" s="338"/>
      <c r="BK135" s="343"/>
      <c r="BL135" s="343"/>
      <c r="BM135" s="343"/>
      <c r="BN135" s="343"/>
      <c r="BO135" s="343"/>
      <c r="BP135" s="343"/>
      <c r="BQ135" s="343"/>
      <c r="BR135" s="343"/>
      <c r="BS135" s="343"/>
      <c r="BT135" s="343"/>
      <c r="BU135" s="343"/>
      <c r="BV135" s="343"/>
      <c r="BW135" s="343"/>
      <c r="BX135" s="343"/>
      <c r="BY135" s="343"/>
      <c r="BZ135" s="343"/>
      <c r="CA135" s="343"/>
      <c r="CB135" s="330"/>
      <c r="CC135" s="330"/>
      <c r="CD135" s="330"/>
      <c r="CE135" s="330"/>
    </row>
    <row r="136" spans="2:83" ht="16.5" customHeight="1">
      <c r="B136" s="34"/>
      <c r="D136" s="45"/>
      <c r="E136" s="338"/>
      <c r="F136" s="346"/>
      <c r="G136" s="346"/>
      <c r="H136" s="346"/>
      <c r="I136" s="346"/>
      <c r="J136" s="346"/>
      <c r="K136" s="346"/>
      <c r="L136" s="346"/>
      <c r="M136" s="346"/>
      <c r="N136" s="346"/>
      <c r="O136" s="346"/>
      <c r="P136" s="346"/>
      <c r="Q136" s="346"/>
      <c r="R136" s="346"/>
      <c r="S136" s="346"/>
      <c r="T136" s="346"/>
      <c r="U136" s="346"/>
      <c r="V136" s="339"/>
      <c r="W136" s="338"/>
      <c r="X136" s="346"/>
      <c r="Y136" s="346"/>
      <c r="Z136" s="346"/>
      <c r="AA136" s="346"/>
      <c r="AB136" s="346"/>
      <c r="AC136" s="346"/>
      <c r="AD136" s="346"/>
      <c r="AE136" s="346"/>
      <c r="AF136" s="346"/>
      <c r="AG136" s="346"/>
      <c r="AH136" s="346"/>
      <c r="AI136" s="346"/>
      <c r="AJ136" s="346"/>
      <c r="AK136" s="346"/>
      <c r="AL136" s="346"/>
      <c r="AM136" s="346"/>
      <c r="AN136" s="339"/>
      <c r="AO136" s="338"/>
      <c r="AP136" s="346"/>
      <c r="AQ136" s="346"/>
      <c r="AR136" s="346"/>
      <c r="AS136" s="346"/>
      <c r="AT136" s="346"/>
      <c r="AU136" s="346"/>
      <c r="AV136" s="346"/>
      <c r="AW136" s="346"/>
      <c r="AX136" s="346"/>
      <c r="AY136" s="346"/>
      <c r="AZ136" s="346"/>
      <c r="BA136" s="346"/>
      <c r="BB136" s="346"/>
      <c r="BC136" s="346"/>
      <c r="BD136" s="346"/>
      <c r="BE136" s="346"/>
      <c r="BF136" s="339"/>
      <c r="BG136" s="38"/>
      <c r="BJ136" s="338"/>
      <c r="BK136" s="343"/>
      <c r="BL136" s="343"/>
      <c r="BM136" s="343"/>
      <c r="BN136" s="343"/>
      <c r="BO136" s="343"/>
      <c r="BP136" s="343"/>
      <c r="BQ136" s="343"/>
      <c r="BR136" s="343"/>
      <c r="BS136" s="343"/>
      <c r="BT136" s="343"/>
      <c r="BU136" s="343"/>
      <c r="BV136" s="343"/>
      <c r="BW136" s="343"/>
      <c r="BX136" s="343"/>
      <c r="BY136" s="343"/>
      <c r="BZ136" s="343"/>
      <c r="CA136" s="343"/>
      <c r="CB136" s="330"/>
      <c r="CC136" s="330"/>
      <c r="CD136" s="330"/>
      <c r="CE136" s="330"/>
    </row>
    <row r="137" spans="2:83" s="34" customFormat="1" ht="16.5" customHeight="1">
      <c r="D137" s="46"/>
      <c r="E137" s="340"/>
      <c r="F137" s="344"/>
      <c r="G137" s="344"/>
      <c r="H137" s="344"/>
      <c r="I137" s="344"/>
      <c r="J137" s="344"/>
      <c r="K137" s="344"/>
      <c r="L137" s="344"/>
      <c r="M137" s="344"/>
      <c r="N137" s="344"/>
      <c r="O137" s="344"/>
      <c r="P137" s="344"/>
      <c r="Q137" s="344"/>
      <c r="R137" s="344"/>
      <c r="S137" s="344"/>
      <c r="T137" s="344"/>
      <c r="U137" s="344"/>
      <c r="V137" s="341"/>
      <c r="W137" s="340"/>
      <c r="X137" s="344"/>
      <c r="Y137" s="344"/>
      <c r="Z137" s="344"/>
      <c r="AA137" s="344"/>
      <c r="AB137" s="344"/>
      <c r="AC137" s="344"/>
      <c r="AD137" s="344"/>
      <c r="AE137" s="344"/>
      <c r="AF137" s="344"/>
      <c r="AG137" s="344"/>
      <c r="AH137" s="344"/>
      <c r="AI137" s="344"/>
      <c r="AJ137" s="344"/>
      <c r="AK137" s="344"/>
      <c r="AL137" s="344"/>
      <c r="AM137" s="344"/>
      <c r="AN137" s="341"/>
      <c r="AO137" s="340"/>
      <c r="AP137" s="344"/>
      <c r="AQ137" s="344"/>
      <c r="AR137" s="344"/>
      <c r="AS137" s="344"/>
      <c r="AT137" s="344"/>
      <c r="AU137" s="344"/>
      <c r="AV137" s="344"/>
      <c r="AW137" s="344"/>
      <c r="AX137" s="344"/>
      <c r="AY137" s="344"/>
      <c r="AZ137" s="344"/>
      <c r="BA137" s="344"/>
      <c r="BB137" s="344"/>
      <c r="BC137" s="344"/>
      <c r="BD137" s="344"/>
      <c r="BE137" s="344"/>
      <c r="BF137" s="341"/>
      <c r="BG137" s="42"/>
      <c r="BJ137" s="340"/>
      <c r="BK137" s="344"/>
      <c r="BL137" s="344"/>
      <c r="BM137" s="344"/>
      <c r="BN137" s="344"/>
      <c r="BO137" s="344"/>
      <c r="BP137" s="344"/>
      <c r="BQ137" s="344"/>
      <c r="BR137" s="344"/>
      <c r="BS137" s="344"/>
      <c r="BT137" s="344"/>
      <c r="BU137" s="344"/>
      <c r="BV137" s="344"/>
      <c r="BW137" s="344"/>
      <c r="BX137" s="344"/>
      <c r="BY137" s="344"/>
      <c r="BZ137" s="344"/>
      <c r="CA137" s="344"/>
      <c r="CB137" s="331"/>
      <c r="CC137" s="331"/>
      <c r="CD137" s="331"/>
      <c r="CE137" s="331"/>
    </row>
    <row r="138" spans="2:83" ht="16.5" customHeight="1">
      <c r="B138" s="34"/>
      <c r="D138" s="43"/>
      <c r="E138" s="333"/>
      <c r="F138" s="334"/>
      <c r="G138" s="334"/>
      <c r="H138" s="334"/>
      <c r="I138" s="334"/>
      <c r="J138" s="334"/>
      <c r="K138" s="334"/>
      <c r="L138" s="334"/>
      <c r="M138" s="334"/>
      <c r="N138" s="334"/>
      <c r="O138" s="334"/>
      <c r="P138" s="334"/>
      <c r="Q138" s="334"/>
      <c r="R138" s="334"/>
      <c r="S138" s="334"/>
      <c r="T138" s="334"/>
      <c r="U138" s="334"/>
      <c r="V138" s="335"/>
      <c r="W138" s="333"/>
      <c r="X138" s="334"/>
      <c r="Y138" s="334"/>
      <c r="Z138" s="334"/>
      <c r="AA138" s="334"/>
      <c r="AB138" s="334"/>
      <c r="AC138" s="334"/>
      <c r="AD138" s="334"/>
      <c r="AE138" s="334"/>
      <c r="AF138" s="334"/>
      <c r="AG138" s="334"/>
      <c r="AH138" s="334"/>
      <c r="AI138" s="334"/>
      <c r="AJ138" s="334"/>
      <c r="AK138" s="334"/>
      <c r="AL138" s="334"/>
      <c r="AM138" s="334"/>
      <c r="AN138" s="335"/>
      <c r="AO138" s="333"/>
      <c r="AP138" s="334"/>
      <c r="AQ138" s="334"/>
      <c r="AR138" s="334"/>
      <c r="AS138" s="334"/>
      <c r="AT138" s="334"/>
      <c r="AU138" s="334"/>
      <c r="AV138" s="334"/>
      <c r="AW138" s="334"/>
      <c r="AX138" s="334"/>
      <c r="AY138" s="334"/>
      <c r="AZ138" s="334"/>
      <c r="BA138" s="334"/>
      <c r="BB138" s="334"/>
      <c r="BC138" s="334"/>
      <c r="BD138" s="334"/>
      <c r="BE138" s="334"/>
      <c r="BF138" s="335"/>
      <c r="BG138" s="41"/>
      <c r="BJ138" s="333"/>
      <c r="BK138" s="334"/>
      <c r="BL138" s="334"/>
      <c r="BM138" s="334"/>
      <c r="BN138" s="334"/>
      <c r="BO138" s="334"/>
      <c r="BP138" s="334"/>
      <c r="BQ138" s="334"/>
      <c r="BR138" s="334"/>
      <c r="BS138" s="334"/>
      <c r="BT138" s="334"/>
      <c r="BU138" s="334"/>
      <c r="BV138" s="334"/>
      <c r="BW138" s="334"/>
      <c r="BX138" s="334"/>
      <c r="BY138" s="334"/>
      <c r="BZ138" s="334"/>
      <c r="CA138" s="334"/>
      <c r="CB138" s="330"/>
      <c r="CC138" s="330"/>
      <c r="CD138" s="330"/>
      <c r="CE138" s="330"/>
    </row>
    <row r="139" spans="2:83" s="34" customFormat="1" ht="16.5" customHeight="1">
      <c r="D139" s="685"/>
      <c r="E139" s="336"/>
      <c r="F139" s="345"/>
      <c r="G139" s="347"/>
      <c r="H139" s="347"/>
      <c r="I139" s="347"/>
      <c r="J139" s="347"/>
      <c r="K139" s="347"/>
      <c r="L139" s="347"/>
      <c r="M139" s="347"/>
      <c r="N139" s="347"/>
      <c r="O139" s="347"/>
      <c r="P139" s="347"/>
      <c r="Q139" s="347"/>
      <c r="R139" s="347"/>
      <c r="S139" s="347"/>
      <c r="T139" s="347"/>
      <c r="U139" s="345"/>
      <c r="V139" s="337"/>
      <c r="W139" s="336"/>
      <c r="X139" s="345"/>
      <c r="Y139" s="347"/>
      <c r="Z139" s="347"/>
      <c r="AA139" s="347"/>
      <c r="AB139" s="347"/>
      <c r="AC139" s="347"/>
      <c r="AD139" s="347"/>
      <c r="AE139" s="347"/>
      <c r="AF139" s="347"/>
      <c r="AG139" s="347"/>
      <c r="AH139" s="347"/>
      <c r="AI139" s="347"/>
      <c r="AJ139" s="347"/>
      <c r="AK139" s="347"/>
      <c r="AL139" s="347"/>
      <c r="AM139" s="345"/>
      <c r="AN139" s="337"/>
      <c r="AO139" s="336"/>
      <c r="AP139" s="345"/>
      <c r="AQ139" s="347"/>
      <c r="AR139" s="347"/>
      <c r="AS139" s="347"/>
      <c r="AT139" s="347"/>
      <c r="AU139" s="347"/>
      <c r="AV139" s="347"/>
      <c r="AW139" s="347"/>
      <c r="AX139" s="347"/>
      <c r="AY139" s="347"/>
      <c r="AZ139" s="347"/>
      <c r="BA139" s="347"/>
      <c r="BB139" s="347"/>
      <c r="BC139" s="347"/>
      <c r="BD139" s="347"/>
      <c r="BE139" s="345"/>
      <c r="BF139" s="337"/>
      <c r="BG139" s="37"/>
      <c r="BJ139" s="336"/>
      <c r="BK139" s="342"/>
      <c r="BL139" s="342"/>
      <c r="BM139" s="342"/>
      <c r="BN139" s="342"/>
      <c r="BO139" s="342"/>
      <c r="BP139" s="342"/>
      <c r="BQ139" s="342"/>
      <c r="BR139" s="342"/>
      <c r="BS139" s="342"/>
      <c r="BT139" s="342"/>
      <c r="BU139" s="342"/>
      <c r="BV139" s="342"/>
      <c r="BW139" s="342"/>
      <c r="BX139" s="342"/>
      <c r="BY139" s="342"/>
      <c r="BZ139" s="342"/>
      <c r="CA139" s="342"/>
      <c r="CB139" s="331"/>
      <c r="CC139" s="331"/>
      <c r="CD139" s="331"/>
      <c r="CE139" s="331"/>
    </row>
    <row r="140" spans="2:83" s="35" customFormat="1" ht="16.5" customHeight="1">
      <c r="B140" s="34"/>
      <c r="D140" s="685"/>
      <c r="E140" s="336"/>
      <c r="F140" s="345"/>
      <c r="G140" s="347"/>
      <c r="H140" s="682"/>
      <c r="I140" s="682"/>
      <c r="J140" s="682"/>
      <c r="K140" s="682"/>
      <c r="L140" s="682"/>
      <c r="M140" s="682"/>
      <c r="N140" s="682"/>
      <c r="O140" s="682"/>
      <c r="P140" s="682"/>
      <c r="Q140" s="682"/>
      <c r="R140" s="682"/>
      <c r="S140" s="682"/>
      <c r="T140" s="347"/>
      <c r="U140" s="345"/>
      <c r="V140" s="337"/>
      <c r="W140" s="336"/>
      <c r="X140" s="345"/>
      <c r="Y140" s="347"/>
      <c r="Z140" s="682"/>
      <c r="AA140" s="682"/>
      <c r="AB140" s="682"/>
      <c r="AC140" s="682"/>
      <c r="AD140" s="682"/>
      <c r="AE140" s="682"/>
      <c r="AF140" s="682"/>
      <c r="AG140" s="682"/>
      <c r="AH140" s="682"/>
      <c r="AI140" s="682"/>
      <c r="AJ140" s="682"/>
      <c r="AK140" s="682"/>
      <c r="AL140" s="347"/>
      <c r="AM140" s="345"/>
      <c r="AN140" s="337"/>
      <c r="AO140" s="336"/>
      <c r="AP140" s="345"/>
      <c r="AQ140" s="347"/>
      <c r="AR140" s="682"/>
      <c r="AS140" s="682"/>
      <c r="AT140" s="682"/>
      <c r="AU140" s="682"/>
      <c r="AV140" s="682"/>
      <c r="AW140" s="682"/>
      <c r="AX140" s="682"/>
      <c r="AY140" s="682"/>
      <c r="AZ140" s="682"/>
      <c r="BA140" s="682"/>
      <c r="BB140" s="682"/>
      <c r="BC140" s="682"/>
      <c r="BD140" s="347"/>
      <c r="BE140" s="345"/>
      <c r="BF140" s="337"/>
      <c r="BG140" s="37"/>
      <c r="BJ140" s="336"/>
      <c r="BK140" s="342"/>
      <c r="BL140" s="342"/>
      <c r="BM140" s="342"/>
      <c r="BN140" s="342"/>
      <c r="BO140" s="342"/>
      <c r="BP140" s="342"/>
      <c r="BQ140" s="342"/>
      <c r="BR140" s="342"/>
      <c r="BS140" s="342"/>
      <c r="BT140" s="342"/>
      <c r="BU140" s="342"/>
      <c r="BV140" s="342"/>
      <c r="BW140" s="342"/>
      <c r="BX140" s="342"/>
      <c r="BY140" s="342"/>
      <c r="BZ140" s="342"/>
      <c r="CA140" s="342"/>
      <c r="CB140" s="332"/>
      <c r="CC140" s="332"/>
      <c r="CD140" s="332"/>
      <c r="CE140" s="332"/>
    </row>
    <row r="141" spans="2:83" s="35" customFormat="1" ht="16.5" customHeight="1">
      <c r="B141" s="34"/>
      <c r="D141" s="329"/>
      <c r="E141" s="336"/>
      <c r="F141" s="345"/>
      <c r="G141" s="347"/>
      <c r="H141" s="682"/>
      <c r="I141" s="682"/>
      <c r="J141" s="682"/>
      <c r="K141" s="682"/>
      <c r="L141" s="682"/>
      <c r="M141" s="682"/>
      <c r="N141" s="682"/>
      <c r="O141" s="682"/>
      <c r="P141" s="682"/>
      <c r="Q141" s="682"/>
      <c r="R141" s="682"/>
      <c r="S141" s="682"/>
      <c r="T141" s="347"/>
      <c r="U141" s="345"/>
      <c r="V141" s="337"/>
      <c r="W141" s="336"/>
      <c r="X141" s="345"/>
      <c r="Y141" s="347"/>
      <c r="Z141" s="682"/>
      <c r="AA141" s="682"/>
      <c r="AB141" s="682"/>
      <c r="AC141" s="682"/>
      <c r="AD141" s="682"/>
      <c r="AE141" s="682"/>
      <c r="AF141" s="682"/>
      <c r="AG141" s="682"/>
      <c r="AH141" s="682"/>
      <c r="AI141" s="682"/>
      <c r="AJ141" s="682"/>
      <c r="AK141" s="682"/>
      <c r="AL141" s="347"/>
      <c r="AM141" s="345"/>
      <c r="AN141" s="337"/>
      <c r="AO141" s="336"/>
      <c r="AP141" s="345"/>
      <c r="AQ141" s="347"/>
      <c r="AR141" s="682"/>
      <c r="AS141" s="682"/>
      <c r="AT141" s="682"/>
      <c r="AU141" s="682"/>
      <c r="AV141" s="682"/>
      <c r="AW141" s="682"/>
      <c r="AX141" s="682"/>
      <c r="AY141" s="682"/>
      <c r="AZ141" s="682"/>
      <c r="BA141" s="682"/>
      <c r="BB141" s="682"/>
      <c r="BC141" s="682"/>
      <c r="BD141" s="347"/>
      <c r="BE141" s="345"/>
      <c r="BF141" s="337"/>
      <c r="BG141" s="37"/>
      <c r="BJ141" s="336"/>
      <c r="BK141" s="342"/>
      <c r="BL141" s="342"/>
      <c r="BM141" s="342"/>
      <c r="BN141" s="342"/>
      <c r="BO141" s="342"/>
      <c r="BP141" s="342"/>
      <c r="BQ141" s="342"/>
      <c r="BR141" s="342"/>
      <c r="BS141" s="342"/>
      <c r="BT141" s="342"/>
      <c r="BU141" s="342"/>
      <c r="BV141" s="342"/>
      <c r="BW141" s="342"/>
      <c r="BX141" s="342"/>
      <c r="BY141" s="342"/>
      <c r="BZ141" s="342"/>
      <c r="CA141" s="342"/>
      <c r="CB141" s="332"/>
      <c r="CC141" s="332"/>
      <c r="CD141" s="332"/>
      <c r="CE141" s="332"/>
    </row>
    <row r="142" spans="2:83" ht="16.5" customHeight="1">
      <c r="B142" s="34"/>
      <c r="D142" s="329"/>
      <c r="E142" s="336"/>
      <c r="F142" s="345"/>
      <c r="G142" s="347"/>
      <c r="H142" s="682"/>
      <c r="I142" s="682"/>
      <c r="J142" s="682"/>
      <c r="K142" s="682"/>
      <c r="L142" s="682"/>
      <c r="M142" s="682"/>
      <c r="N142" s="682"/>
      <c r="O142" s="682"/>
      <c r="P142" s="682"/>
      <c r="Q142" s="682"/>
      <c r="R142" s="682"/>
      <c r="S142" s="682"/>
      <c r="T142" s="347"/>
      <c r="U142" s="345"/>
      <c r="V142" s="337"/>
      <c r="W142" s="336"/>
      <c r="X142" s="345"/>
      <c r="Y142" s="347"/>
      <c r="Z142" s="682"/>
      <c r="AA142" s="682"/>
      <c r="AB142" s="682"/>
      <c r="AC142" s="682"/>
      <c r="AD142" s="682"/>
      <c r="AE142" s="682"/>
      <c r="AF142" s="682"/>
      <c r="AG142" s="682"/>
      <c r="AH142" s="682"/>
      <c r="AI142" s="682"/>
      <c r="AJ142" s="682"/>
      <c r="AK142" s="682"/>
      <c r="AL142" s="347"/>
      <c r="AM142" s="345"/>
      <c r="AN142" s="337"/>
      <c r="AO142" s="336"/>
      <c r="AP142" s="345"/>
      <c r="AQ142" s="347"/>
      <c r="AR142" s="682"/>
      <c r="AS142" s="682"/>
      <c r="AT142" s="682"/>
      <c r="AU142" s="682"/>
      <c r="AV142" s="682"/>
      <c r="AW142" s="682"/>
      <c r="AX142" s="682"/>
      <c r="AY142" s="682"/>
      <c r="AZ142" s="682"/>
      <c r="BA142" s="682"/>
      <c r="BB142" s="682"/>
      <c r="BC142" s="682"/>
      <c r="BD142" s="347"/>
      <c r="BE142" s="345"/>
      <c r="BF142" s="337"/>
      <c r="BG142" s="37"/>
      <c r="BJ142" s="336"/>
      <c r="BK142" s="342"/>
      <c r="BL142" s="342"/>
      <c r="BM142" s="342"/>
      <c r="BN142" s="342"/>
      <c r="BO142" s="342"/>
      <c r="BP142" s="342"/>
      <c r="BQ142" s="342"/>
      <c r="BR142" s="342"/>
      <c r="BS142" s="342"/>
      <c r="BT142" s="342"/>
      <c r="BU142" s="342"/>
      <c r="BV142" s="342"/>
      <c r="BW142" s="342"/>
      <c r="BX142" s="342"/>
      <c r="BY142" s="342"/>
      <c r="BZ142" s="342"/>
      <c r="CA142" s="342"/>
      <c r="CB142" s="330"/>
      <c r="CC142" s="330"/>
      <c r="CD142" s="330"/>
      <c r="CE142" s="330"/>
    </row>
    <row r="143" spans="2:83" ht="16.5" customHeight="1">
      <c r="B143" s="34"/>
      <c r="D143" s="45"/>
      <c r="E143" s="338"/>
      <c r="F143" s="681"/>
      <c r="G143" s="681"/>
      <c r="H143" s="681"/>
      <c r="I143" s="681"/>
      <c r="J143" s="681"/>
      <c r="K143" s="681"/>
      <c r="L143" s="683"/>
      <c r="M143" s="681"/>
      <c r="N143" s="681"/>
      <c r="O143" s="681"/>
      <c r="P143" s="681"/>
      <c r="Q143" s="681"/>
      <c r="R143" s="681"/>
      <c r="S143" s="681"/>
      <c r="T143" s="681"/>
      <c r="U143" s="681"/>
      <c r="V143" s="339"/>
      <c r="W143" s="338"/>
      <c r="X143" s="681"/>
      <c r="Y143" s="681"/>
      <c r="Z143" s="681"/>
      <c r="AA143" s="681"/>
      <c r="AB143" s="681"/>
      <c r="AC143" s="681"/>
      <c r="AD143" s="683"/>
      <c r="AE143" s="681"/>
      <c r="AF143" s="681"/>
      <c r="AG143" s="681"/>
      <c r="AH143" s="681"/>
      <c r="AI143" s="681"/>
      <c r="AJ143" s="681"/>
      <c r="AK143" s="681"/>
      <c r="AL143" s="681"/>
      <c r="AM143" s="681"/>
      <c r="AN143" s="339"/>
      <c r="AO143" s="338"/>
      <c r="AP143" s="681"/>
      <c r="AQ143" s="681"/>
      <c r="AR143" s="681"/>
      <c r="AS143" s="681"/>
      <c r="AT143" s="681"/>
      <c r="AU143" s="681"/>
      <c r="AV143" s="683"/>
      <c r="AW143" s="681"/>
      <c r="AX143" s="681"/>
      <c r="AY143" s="681"/>
      <c r="AZ143" s="681"/>
      <c r="BA143" s="681"/>
      <c r="BB143" s="681"/>
      <c r="BC143" s="681"/>
      <c r="BD143" s="681"/>
      <c r="BE143" s="681"/>
      <c r="BF143" s="339"/>
      <c r="BG143" s="38"/>
      <c r="BJ143" s="338"/>
      <c r="BK143" s="343"/>
      <c r="BL143" s="343"/>
      <c r="BM143" s="343"/>
      <c r="BN143" s="343"/>
      <c r="BO143" s="343"/>
      <c r="BP143" s="343"/>
      <c r="BQ143" s="343"/>
      <c r="BR143" s="343"/>
      <c r="BS143" s="343"/>
      <c r="BT143" s="343"/>
      <c r="BU143" s="343"/>
      <c r="BV143" s="343"/>
      <c r="BW143" s="343"/>
      <c r="BX143" s="343"/>
      <c r="BY143" s="343"/>
      <c r="BZ143" s="343"/>
      <c r="CA143" s="343"/>
      <c r="CB143" s="330"/>
      <c r="CC143" s="330"/>
      <c r="CD143" s="330"/>
      <c r="CE143" s="330"/>
    </row>
    <row r="144" spans="2:83" ht="16.5" customHeight="1">
      <c r="B144" s="34"/>
      <c r="D144" s="45"/>
      <c r="E144" s="338"/>
      <c r="F144" s="346"/>
      <c r="G144" s="346"/>
      <c r="H144" s="346"/>
      <c r="I144" s="346"/>
      <c r="J144" s="346"/>
      <c r="K144" s="346"/>
      <c r="L144" s="346"/>
      <c r="M144" s="346"/>
      <c r="N144" s="346"/>
      <c r="O144" s="346"/>
      <c r="P144" s="346"/>
      <c r="Q144" s="346"/>
      <c r="R144" s="346"/>
      <c r="S144" s="346"/>
      <c r="T144" s="346"/>
      <c r="U144" s="346"/>
      <c r="V144" s="339"/>
      <c r="W144" s="338"/>
      <c r="X144" s="346"/>
      <c r="Y144" s="346"/>
      <c r="Z144" s="346"/>
      <c r="AA144" s="346"/>
      <c r="AB144" s="346"/>
      <c r="AC144" s="346"/>
      <c r="AD144" s="346"/>
      <c r="AE144" s="346"/>
      <c r="AF144" s="346"/>
      <c r="AG144" s="346"/>
      <c r="AH144" s="346"/>
      <c r="AI144" s="346"/>
      <c r="AJ144" s="346"/>
      <c r="AK144" s="346"/>
      <c r="AL144" s="346"/>
      <c r="AM144" s="346"/>
      <c r="AN144" s="339"/>
      <c r="AO144" s="338"/>
      <c r="AP144" s="346"/>
      <c r="AQ144" s="346"/>
      <c r="AR144" s="346"/>
      <c r="AS144" s="346"/>
      <c r="AT144" s="346"/>
      <c r="AU144" s="346"/>
      <c r="AV144" s="346"/>
      <c r="AW144" s="346"/>
      <c r="AX144" s="346"/>
      <c r="AY144" s="346"/>
      <c r="AZ144" s="346"/>
      <c r="BA144" s="346"/>
      <c r="BB144" s="346"/>
      <c r="BC144" s="346"/>
      <c r="BD144" s="346"/>
      <c r="BE144" s="346"/>
      <c r="BF144" s="339"/>
      <c r="BG144" s="38"/>
      <c r="BJ144" s="338"/>
      <c r="BK144" s="343"/>
      <c r="BL144" s="343"/>
      <c r="BM144" s="343"/>
      <c r="BN144" s="343"/>
      <c r="BO144" s="343"/>
      <c r="BP144" s="343"/>
      <c r="BQ144" s="343"/>
      <c r="BR144" s="343"/>
      <c r="BS144" s="343"/>
      <c r="BT144" s="343"/>
      <c r="BU144" s="343"/>
      <c r="BV144" s="343"/>
      <c r="BW144" s="343"/>
      <c r="BX144" s="343"/>
      <c r="BY144" s="343"/>
      <c r="BZ144" s="343"/>
      <c r="CA144" s="343"/>
      <c r="CB144" s="330"/>
      <c r="CC144" s="330"/>
      <c r="CD144" s="330"/>
      <c r="CE144" s="330"/>
    </row>
    <row r="145" spans="2:83" s="34" customFormat="1" ht="16.5" customHeight="1">
      <c r="D145" s="46"/>
      <c r="E145" s="340"/>
      <c r="F145" s="344"/>
      <c r="G145" s="344"/>
      <c r="H145" s="344"/>
      <c r="I145" s="344"/>
      <c r="J145" s="344"/>
      <c r="K145" s="344"/>
      <c r="L145" s="344"/>
      <c r="M145" s="344"/>
      <c r="N145" s="344"/>
      <c r="O145" s="344"/>
      <c r="P145" s="344"/>
      <c r="Q145" s="344"/>
      <c r="R145" s="344"/>
      <c r="S145" s="344"/>
      <c r="T145" s="344"/>
      <c r="U145" s="344"/>
      <c r="V145" s="341"/>
      <c r="W145" s="340"/>
      <c r="X145" s="344"/>
      <c r="Y145" s="344"/>
      <c r="Z145" s="344"/>
      <c r="AA145" s="344"/>
      <c r="AB145" s="344"/>
      <c r="AC145" s="344"/>
      <c r="AD145" s="344"/>
      <c r="AE145" s="344"/>
      <c r="AF145" s="344"/>
      <c r="AG145" s="344"/>
      <c r="AH145" s="344"/>
      <c r="AI145" s="344"/>
      <c r="AJ145" s="344"/>
      <c r="AK145" s="344"/>
      <c r="AL145" s="344"/>
      <c r="AM145" s="344"/>
      <c r="AN145" s="341"/>
      <c r="AO145" s="340"/>
      <c r="AP145" s="344"/>
      <c r="AQ145" s="344"/>
      <c r="AR145" s="344"/>
      <c r="AS145" s="344"/>
      <c r="AT145" s="344"/>
      <c r="AU145" s="344"/>
      <c r="AV145" s="344"/>
      <c r="AW145" s="344"/>
      <c r="AX145" s="344"/>
      <c r="AY145" s="344"/>
      <c r="AZ145" s="344"/>
      <c r="BA145" s="344"/>
      <c r="BB145" s="344"/>
      <c r="BC145" s="344"/>
      <c r="BD145" s="344"/>
      <c r="BE145" s="344"/>
      <c r="BF145" s="341"/>
      <c r="BG145" s="42"/>
      <c r="BJ145" s="340"/>
      <c r="BK145" s="344"/>
      <c r="BL145" s="344"/>
      <c r="BM145" s="344"/>
      <c r="BN145" s="344"/>
      <c r="BO145" s="344"/>
      <c r="BP145" s="344"/>
      <c r="BQ145" s="344"/>
      <c r="BR145" s="344"/>
      <c r="BS145" s="344"/>
      <c r="BT145" s="344"/>
      <c r="BU145" s="344"/>
      <c r="BV145" s="344"/>
      <c r="BW145" s="344"/>
      <c r="BX145" s="344"/>
      <c r="BY145" s="344"/>
      <c r="BZ145" s="344"/>
      <c r="CA145" s="344"/>
      <c r="CB145" s="331"/>
      <c r="CC145" s="331"/>
      <c r="CD145" s="331"/>
      <c r="CE145" s="331"/>
    </row>
    <row r="146" spans="2:83" ht="16.5" customHeight="1">
      <c r="B146" s="34"/>
      <c r="D146" s="43"/>
      <c r="E146" s="333"/>
      <c r="F146" s="334"/>
      <c r="G146" s="334"/>
      <c r="H146" s="334"/>
      <c r="I146" s="334"/>
      <c r="J146" s="334"/>
      <c r="K146" s="334"/>
      <c r="L146" s="334"/>
      <c r="M146" s="334"/>
      <c r="N146" s="334"/>
      <c r="O146" s="334"/>
      <c r="P146" s="334"/>
      <c r="Q146" s="334"/>
      <c r="R146" s="334"/>
      <c r="S146" s="334"/>
      <c r="T146" s="334"/>
      <c r="U146" s="334"/>
      <c r="V146" s="335"/>
      <c r="W146" s="333"/>
      <c r="X146" s="334"/>
      <c r="Y146" s="334"/>
      <c r="Z146" s="334"/>
      <c r="AA146" s="334"/>
      <c r="AB146" s="334"/>
      <c r="AC146" s="334"/>
      <c r="AD146" s="334"/>
      <c r="AE146" s="334"/>
      <c r="AF146" s="334"/>
      <c r="AG146" s="334"/>
      <c r="AH146" s="334"/>
      <c r="AI146" s="334"/>
      <c r="AJ146" s="334"/>
      <c r="AK146" s="334"/>
      <c r="AL146" s="334"/>
      <c r="AM146" s="334"/>
      <c r="AN146" s="335"/>
      <c r="AO146" s="333"/>
      <c r="AP146" s="334"/>
      <c r="AQ146" s="334"/>
      <c r="AR146" s="334"/>
      <c r="AS146" s="334"/>
      <c r="AT146" s="334"/>
      <c r="AU146" s="334"/>
      <c r="AV146" s="334"/>
      <c r="AW146" s="334"/>
      <c r="AX146" s="334"/>
      <c r="AY146" s="334"/>
      <c r="AZ146" s="334"/>
      <c r="BA146" s="334"/>
      <c r="BB146" s="334"/>
      <c r="BC146" s="334"/>
      <c r="BD146" s="334"/>
      <c r="BE146" s="334"/>
      <c r="BF146" s="335"/>
      <c r="BG146" s="41"/>
      <c r="BJ146" s="333"/>
      <c r="BK146" s="334"/>
      <c r="BL146" s="334"/>
      <c r="BM146" s="334"/>
      <c r="BN146" s="334"/>
      <c r="BO146" s="334"/>
      <c r="BP146" s="334"/>
      <c r="BQ146" s="334"/>
      <c r="BR146" s="334"/>
      <c r="BS146" s="334"/>
      <c r="BT146" s="334"/>
      <c r="BU146" s="334"/>
      <c r="BV146" s="334"/>
      <c r="BW146" s="334"/>
      <c r="BX146" s="334"/>
      <c r="BY146" s="334"/>
      <c r="BZ146" s="334"/>
      <c r="CA146" s="334"/>
      <c r="CB146" s="330"/>
      <c r="CC146" s="330"/>
      <c r="CD146" s="330"/>
      <c r="CE146" s="330"/>
    </row>
    <row r="147" spans="2:83" s="34" customFormat="1" ht="16.5" customHeight="1">
      <c r="D147" s="685"/>
      <c r="E147" s="336"/>
      <c r="F147" s="345"/>
      <c r="G147" s="347"/>
      <c r="H147" s="347"/>
      <c r="I147" s="347"/>
      <c r="J147" s="347"/>
      <c r="K147" s="347"/>
      <c r="L147" s="347"/>
      <c r="M147" s="347"/>
      <c r="N147" s="347"/>
      <c r="O147" s="347"/>
      <c r="P147" s="347"/>
      <c r="Q147" s="347"/>
      <c r="R147" s="347"/>
      <c r="S147" s="347"/>
      <c r="T147" s="347"/>
      <c r="U147" s="345"/>
      <c r="V147" s="337"/>
      <c r="W147" s="336"/>
      <c r="X147" s="345"/>
      <c r="Y147" s="347"/>
      <c r="Z147" s="347"/>
      <c r="AA147" s="347"/>
      <c r="AB147" s="347"/>
      <c r="AC147" s="347"/>
      <c r="AD147" s="347"/>
      <c r="AE147" s="347"/>
      <c r="AF147" s="347"/>
      <c r="AG147" s="347"/>
      <c r="AH147" s="347"/>
      <c r="AI147" s="347"/>
      <c r="AJ147" s="347"/>
      <c r="AK147" s="347"/>
      <c r="AL147" s="347"/>
      <c r="AM147" s="345"/>
      <c r="AN147" s="337"/>
      <c r="AO147" s="336"/>
      <c r="AP147" s="345"/>
      <c r="AQ147" s="347"/>
      <c r="AR147" s="347"/>
      <c r="AS147" s="347"/>
      <c r="AT147" s="347"/>
      <c r="AU147" s="347"/>
      <c r="AV147" s="347"/>
      <c r="AW147" s="347"/>
      <c r="AX147" s="347"/>
      <c r="AY147" s="347"/>
      <c r="AZ147" s="347"/>
      <c r="BA147" s="347"/>
      <c r="BB147" s="347"/>
      <c r="BC147" s="347"/>
      <c r="BD147" s="347"/>
      <c r="BE147" s="345"/>
      <c r="BF147" s="337"/>
      <c r="BG147" s="37"/>
      <c r="BJ147" s="336"/>
      <c r="BK147" s="342"/>
      <c r="BL147" s="342"/>
      <c r="BM147" s="342"/>
      <c r="BN147" s="342"/>
      <c r="BO147" s="342"/>
      <c r="BP147" s="342"/>
      <c r="BQ147" s="342"/>
      <c r="BR147" s="342"/>
      <c r="BS147" s="342"/>
      <c r="BT147" s="342"/>
      <c r="BU147" s="342"/>
      <c r="BV147" s="342"/>
      <c r="BW147" s="342"/>
      <c r="BX147" s="342"/>
      <c r="BY147" s="342"/>
      <c r="BZ147" s="342"/>
      <c r="CA147" s="342"/>
      <c r="CB147" s="331"/>
      <c r="CC147" s="331"/>
      <c r="CD147" s="331"/>
      <c r="CE147" s="331"/>
    </row>
    <row r="148" spans="2:83" s="35" customFormat="1" ht="16.5" customHeight="1">
      <c r="B148" s="34"/>
      <c r="D148" s="685"/>
      <c r="E148" s="336"/>
      <c r="F148" s="345"/>
      <c r="G148" s="347"/>
      <c r="H148" s="682"/>
      <c r="I148" s="682"/>
      <c r="J148" s="682"/>
      <c r="K148" s="682"/>
      <c r="L148" s="682"/>
      <c r="M148" s="682"/>
      <c r="N148" s="682"/>
      <c r="O148" s="682"/>
      <c r="P148" s="682"/>
      <c r="Q148" s="682"/>
      <c r="R148" s="682"/>
      <c r="S148" s="682"/>
      <c r="T148" s="347"/>
      <c r="U148" s="345"/>
      <c r="V148" s="337"/>
      <c r="W148" s="336"/>
      <c r="X148" s="345"/>
      <c r="Y148" s="347"/>
      <c r="Z148" s="682"/>
      <c r="AA148" s="682"/>
      <c r="AB148" s="682"/>
      <c r="AC148" s="682"/>
      <c r="AD148" s="682"/>
      <c r="AE148" s="682"/>
      <c r="AF148" s="682"/>
      <c r="AG148" s="682"/>
      <c r="AH148" s="682"/>
      <c r="AI148" s="682"/>
      <c r="AJ148" s="682"/>
      <c r="AK148" s="682"/>
      <c r="AL148" s="347"/>
      <c r="AM148" s="345"/>
      <c r="AN148" s="337"/>
      <c r="AO148" s="336"/>
      <c r="AP148" s="345"/>
      <c r="AQ148" s="347"/>
      <c r="AR148" s="682"/>
      <c r="AS148" s="682"/>
      <c r="AT148" s="682"/>
      <c r="AU148" s="682"/>
      <c r="AV148" s="682"/>
      <c r="AW148" s="682"/>
      <c r="AX148" s="682"/>
      <c r="AY148" s="682"/>
      <c r="AZ148" s="682"/>
      <c r="BA148" s="682"/>
      <c r="BB148" s="682"/>
      <c r="BC148" s="682"/>
      <c r="BD148" s="347"/>
      <c r="BE148" s="345"/>
      <c r="BF148" s="337"/>
      <c r="BG148" s="37"/>
      <c r="BJ148" s="336"/>
      <c r="BK148" s="342"/>
      <c r="BL148" s="342"/>
      <c r="BM148" s="342"/>
      <c r="BN148" s="342"/>
      <c r="BO148" s="342"/>
      <c r="BP148" s="342"/>
      <c r="BQ148" s="342"/>
      <c r="BR148" s="342"/>
      <c r="BS148" s="342"/>
      <c r="BT148" s="342"/>
      <c r="BU148" s="342"/>
      <c r="BV148" s="342"/>
      <c r="BW148" s="342"/>
      <c r="BX148" s="342"/>
      <c r="BY148" s="342"/>
      <c r="BZ148" s="342"/>
      <c r="CA148" s="342"/>
      <c r="CB148" s="332"/>
      <c r="CC148" s="332"/>
      <c r="CD148" s="332"/>
      <c r="CE148" s="332"/>
    </row>
    <row r="149" spans="2:83" s="35" customFormat="1" ht="16.5" customHeight="1">
      <c r="B149" s="34"/>
      <c r="D149" s="329"/>
      <c r="E149" s="336"/>
      <c r="F149" s="345"/>
      <c r="G149" s="347"/>
      <c r="H149" s="682"/>
      <c r="I149" s="682"/>
      <c r="J149" s="682"/>
      <c r="K149" s="682"/>
      <c r="L149" s="682"/>
      <c r="M149" s="682"/>
      <c r="N149" s="682"/>
      <c r="O149" s="682"/>
      <c r="P149" s="682"/>
      <c r="Q149" s="682"/>
      <c r="R149" s="682"/>
      <c r="S149" s="682"/>
      <c r="T149" s="347"/>
      <c r="U149" s="345"/>
      <c r="V149" s="337"/>
      <c r="W149" s="336"/>
      <c r="X149" s="345"/>
      <c r="Y149" s="347"/>
      <c r="Z149" s="682"/>
      <c r="AA149" s="682"/>
      <c r="AB149" s="682"/>
      <c r="AC149" s="682"/>
      <c r="AD149" s="682"/>
      <c r="AE149" s="682"/>
      <c r="AF149" s="682"/>
      <c r="AG149" s="682"/>
      <c r="AH149" s="682"/>
      <c r="AI149" s="682"/>
      <c r="AJ149" s="682"/>
      <c r="AK149" s="682"/>
      <c r="AL149" s="347"/>
      <c r="AM149" s="345"/>
      <c r="AN149" s="337"/>
      <c r="AO149" s="336"/>
      <c r="AP149" s="345"/>
      <c r="AQ149" s="347"/>
      <c r="AR149" s="682"/>
      <c r="AS149" s="682"/>
      <c r="AT149" s="682"/>
      <c r="AU149" s="682"/>
      <c r="AV149" s="682"/>
      <c r="AW149" s="682"/>
      <c r="AX149" s="682"/>
      <c r="AY149" s="682"/>
      <c r="AZ149" s="682"/>
      <c r="BA149" s="682"/>
      <c r="BB149" s="682"/>
      <c r="BC149" s="682"/>
      <c r="BD149" s="347"/>
      <c r="BE149" s="345"/>
      <c r="BF149" s="337"/>
      <c r="BG149" s="37"/>
      <c r="BJ149" s="336"/>
      <c r="BK149" s="342"/>
      <c r="BL149" s="342"/>
      <c r="BM149" s="342"/>
      <c r="BN149" s="342"/>
      <c r="BO149" s="342"/>
      <c r="BP149" s="342"/>
      <c r="BQ149" s="342"/>
      <c r="BR149" s="342"/>
      <c r="BS149" s="342"/>
      <c r="BT149" s="342"/>
      <c r="BU149" s="342"/>
      <c r="BV149" s="342"/>
      <c r="BW149" s="342"/>
      <c r="BX149" s="342"/>
      <c r="BY149" s="342"/>
      <c r="BZ149" s="342"/>
      <c r="CA149" s="342"/>
      <c r="CB149" s="332"/>
      <c r="CC149" s="332"/>
      <c r="CD149" s="332"/>
      <c r="CE149" s="332"/>
    </row>
    <row r="150" spans="2:83" ht="16.5" customHeight="1">
      <c r="B150" s="34"/>
      <c r="D150" s="329"/>
      <c r="E150" s="336"/>
      <c r="F150" s="345"/>
      <c r="G150" s="347"/>
      <c r="H150" s="682"/>
      <c r="I150" s="682"/>
      <c r="J150" s="682"/>
      <c r="K150" s="682"/>
      <c r="L150" s="682"/>
      <c r="M150" s="682"/>
      <c r="N150" s="682"/>
      <c r="O150" s="682"/>
      <c r="P150" s="682"/>
      <c r="Q150" s="682"/>
      <c r="R150" s="682"/>
      <c r="S150" s="682"/>
      <c r="T150" s="347"/>
      <c r="U150" s="345"/>
      <c r="V150" s="337"/>
      <c r="W150" s="336"/>
      <c r="X150" s="345"/>
      <c r="Y150" s="347"/>
      <c r="Z150" s="682"/>
      <c r="AA150" s="682"/>
      <c r="AB150" s="682"/>
      <c r="AC150" s="682"/>
      <c r="AD150" s="682"/>
      <c r="AE150" s="682"/>
      <c r="AF150" s="682"/>
      <c r="AG150" s="682"/>
      <c r="AH150" s="682"/>
      <c r="AI150" s="682"/>
      <c r="AJ150" s="682"/>
      <c r="AK150" s="682"/>
      <c r="AL150" s="347"/>
      <c r="AM150" s="345"/>
      <c r="AN150" s="337"/>
      <c r="AO150" s="336"/>
      <c r="AP150" s="345"/>
      <c r="AQ150" s="347"/>
      <c r="AR150" s="682"/>
      <c r="AS150" s="682"/>
      <c r="AT150" s="682"/>
      <c r="AU150" s="682"/>
      <c r="AV150" s="682"/>
      <c r="AW150" s="682"/>
      <c r="AX150" s="682"/>
      <c r="AY150" s="682"/>
      <c r="AZ150" s="682"/>
      <c r="BA150" s="682"/>
      <c r="BB150" s="682"/>
      <c r="BC150" s="682"/>
      <c r="BD150" s="347"/>
      <c r="BE150" s="345"/>
      <c r="BF150" s="337"/>
      <c r="BG150" s="37"/>
      <c r="BJ150" s="336"/>
      <c r="BK150" s="342"/>
      <c r="BL150" s="342"/>
      <c r="BM150" s="342"/>
      <c r="BN150" s="342"/>
      <c r="BO150" s="342"/>
      <c r="BP150" s="342"/>
      <c r="BQ150" s="342"/>
      <c r="BR150" s="342"/>
      <c r="BS150" s="342"/>
      <c r="BT150" s="342"/>
      <c r="BU150" s="342"/>
      <c r="BV150" s="342"/>
      <c r="BW150" s="342"/>
      <c r="BX150" s="342"/>
      <c r="BY150" s="342"/>
      <c r="BZ150" s="342"/>
      <c r="CA150" s="342"/>
      <c r="CB150" s="330"/>
      <c r="CC150" s="330"/>
      <c r="CD150" s="330"/>
      <c r="CE150" s="330"/>
    </row>
    <row r="151" spans="2:83" ht="16.5" customHeight="1">
      <c r="B151" s="34"/>
      <c r="D151" s="45"/>
      <c r="E151" s="338"/>
      <c r="F151" s="681"/>
      <c r="G151" s="681"/>
      <c r="H151" s="681"/>
      <c r="I151" s="681"/>
      <c r="J151" s="681"/>
      <c r="K151" s="681"/>
      <c r="L151" s="683"/>
      <c r="M151" s="681"/>
      <c r="N151" s="681"/>
      <c r="O151" s="681"/>
      <c r="P151" s="681"/>
      <c r="Q151" s="681"/>
      <c r="R151" s="681"/>
      <c r="S151" s="681"/>
      <c r="T151" s="681"/>
      <c r="U151" s="681"/>
      <c r="V151" s="339"/>
      <c r="W151" s="338"/>
      <c r="X151" s="681"/>
      <c r="Y151" s="681"/>
      <c r="Z151" s="681"/>
      <c r="AA151" s="681"/>
      <c r="AB151" s="681"/>
      <c r="AC151" s="681"/>
      <c r="AD151" s="683"/>
      <c r="AE151" s="681"/>
      <c r="AF151" s="681"/>
      <c r="AG151" s="681"/>
      <c r="AH151" s="681"/>
      <c r="AI151" s="681"/>
      <c r="AJ151" s="681"/>
      <c r="AK151" s="681"/>
      <c r="AL151" s="681"/>
      <c r="AM151" s="681"/>
      <c r="AN151" s="339"/>
      <c r="AO151" s="338"/>
      <c r="AP151" s="681"/>
      <c r="AQ151" s="681"/>
      <c r="AR151" s="681"/>
      <c r="AS151" s="681"/>
      <c r="AT151" s="681"/>
      <c r="AU151" s="681"/>
      <c r="AV151" s="683"/>
      <c r="AW151" s="681"/>
      <c r="AX151" s="681"/>
      <c r="AY151" s="681"/>
      <c r="AZ151" s="681"/>
      <c r="BA151" s="681"/>
      <c r="BB151" s="681"/>
      <c r="BC151" s="681"/>
      <c r="BD151" s="681"/>
      <c r="BE151" s="681"/>
      <c r="BF151" s="339"/>
      <c r="BG151" s="38"/>
      <c r="BJ151" s="338"/>
      <c r="BK151" s="343"/>
      <c r="BL151" s="343"/>
      <c r="BM151" s="343"/>
      <c r="BN151" s="343"/>
      <c r="BO151" s="343"/>
      <c r="BP151" s="343"/>
      <c r="BQ151" s="343"/>
      <c r="BR151" s="343"/>
      <c r="BS151" s="343"/>
      <c r="BT151" s="343"/>
      <c r="BU151" s="343"/>
      <c r="BV151" s="343"/>
      <c r="BW151" s="343"/>
      <c r="BX151" s="343"/>
      <c r="BY151" s="343"/>
      <c r="BZ151" s="343"/>
      <c r="CA151" s="343"/>
      <c r="CB151" s="330"/>
      <c r="CC151" s="330"/>
      <c r="CD151" s="330"/>
      <c r="CE151" s="330"/>
    </row>
    <row r="152" spans="2:83" ht="16.5" customHeight="1">
      <c r="B152" s="34"/>
      <c r="D152" s="45"/>
      <c r="E152" s="338"/>
      <c r="F152" s="346"/>
      <c r="G152" s="346"/>
      <c r="H152" s="346"/>
      <c r="I152" s="346"/>
      <c r="J152" s="346"/>
      <c r="K152" s="346"/>
      <c r="L152" s="346"/>
      <c r="M152" s="346"/>
      <c r="N152" s="346"/>
      <c r="O152" s="346"/>
      <c r="P152" s="346"/>
      <c r="Q152" s="346"/>
      <c r="R152" s="346"/>
      <c r="S152" s="346"/>
      <c r="T152" s="346"/>
      <c r="U152" s="346"/>
      <c r="V152" s="339"/>
      <c r="W152" s="338"/>
      <c r="X152" s="346"/>
      <c r="Y152" s="346"/>
      <c r="Z152" s="346"/>
      <c r="AA152" s="346"/>
      <c r="AB152" s="346"/>
      <c r="AC152" s="346"/>
      <c r="AD152" s="346"/>
      <c r="AE152" s="346"/>
      <c r="AF152" s="346"/>
      <c r="AG152" s="346"/>
      <c r="AH152" s="346"/>
      <c r="AI152" s="346"/>
      <c r="AJ152" s="346"/>
      <c r="AK152" s="346"/>
      <c r="AL152" s="346"/>
      <c r="AM152" s="346"/>
      <c r="AN152" s="339"/>
      <c r="AO152" s="338"/>
      <c r="AP152" s="346"/>
      <c r="AQ152" s="346"/>
      <c r="AR152" s="346"/>
      <c r="AS152" s="346"/>
      <c r="AT152" s="346"/>
      <c r="AU152" s="346"/>
      <c r="AV152" s="346"/>
      <c r="AW152" s="346"/>
      <c r="AX152" s="346"/>
      <c r="AY152" s="346"/>
      <c r="AZ152" s="346"/>
      <c r="BA152" s="346"/>
      <c r="BB152" s="346"/>
      <c r="BC152" s="346"/>
      <c r="BD152" s="346"/>
      <c r="BE152" s="346"/>
      <c r="BF152" s="339"/>
      <c r="BG152" s="38"/>
      <c r="BJ152" s="338"/>
      <c r="BK152" s="343"/>
      <c r="BL152" s="343"/>
      <c r="BM152" s="343"/>
      <c r="BN152" s="343"/>
      <c r="BO152" s="343"/>
      <c r="BP152" s="343"/>
      <c r="BQ152" s="343"/>
      <c r="BR152" s="343"/>
      <c r="BS152" s="343"/>
      <c r="BT152" s="343"/>
      <c r="BU152" s="343"/>
      <c r="BV152" s="343"/>
      <c r="BW152" s="343"/>
      <c r="BX152" s="343"/>
      <c r="BY152" s="343"/>
      <c r="BZ152" s="343"/>
      <c r="CA152" s="343"/>
      <c r="CB152" s="330"/>
      <c r="CC152" s="330"/>
      <c r="CD152" s="330"/>
      <c r="CE152" s="330"/>
    </row>
    <row r="153" spans="2:83" s="34" customFormat="1" ht="16.5" customHeight="1">
      <c r="D153" s="46"/>
      <c r="E153" s="340"/>
      <c r="F153" s="344"/>
      <c r="G153" s="344"/>
      <c r="H153" s="344"/>
      <c r="I153" s="344"/>
      <c r="J153" s="344"/>
      <c r="K153" s="344"/>
      <c r="L153" s="344"/>
      <c r="M153" s="344"/>
      <c r="N153" s="344"/>
      <c r="O153" s="344"/>
      <c r="P153" s="344"/>
      <c r="Q153" s="344"/>
      <c r="R153" s="344"/>
      <c r="S153" s="344"/>
      <c r="T153" s="344"/>
      <c r="U153" s="344"/>
      <c r="V153" s="341"/>
      <c r="W153" s="340"/>
      <c r="X153" s="344"/>
      <c r="Y153" s="344"/>
      <c r="Z153" s="344"/>
      <c r="AA153" s="344"/>
      <c r="AB153" s="344"/>
      <c r="AC153" s="344"/>
      <c r="AD153" s="344"/>
      <c r="AE153" s="344"/>
      <c r="AF153" s="344"/>
      <c r="AG153" s="344"/>
      <c r="AH153" s="344"/>
      <c r="AI153" s="344"/>
      <c r="AJ153" s="344"/>
      <c r="AK153" s="344"/>
      <c r="AL153" s="344"/>
      <c r="AM153" s="344"/>
      <c r="AN153" s="341"/>
      <c r="AO153" s="340"/>
      <c r="AP153" s="344"/>
      <c r="AQ153" s="344"/>
      <c r="AR153" s="344"/>
      <c r="AS153" s="344"/>
      <c r="AT153" s="344"/>
      <c r="AU153" s="344"/>
      <c r="AV153" s="344"/>
      <c r="AW153" s="344"/>
      <c r="AX153" s="344"/>
      <c r="AY153" s="344"/>
      <c r="AZ153" s="344"/>
      <c r="BA153" s="344"/>
      <c r="BB153" s="344"/>
      <c r="BC153" s="344"/>
      <c r="BD153" s="344"/>
      <c r="BE153" s="344"/>
      <c r="BF153" s="341"/>
      <c r="BG153" s="42"/>
      <c r="BJ153" s="340"/>
      <c r="BK153" s="344"/>
      <c r="BL153" s="344"/>
      <c r="BM153" s="344"/>
      <c r="BN153" s="344"/>
      <c r="BO153" s="344"/>
      <c r="BP153" s="344"/>
      <c r="BQ153" s="344"/>
      <c r="BR153" s="344"/>
      <c r="BS153" s="344"/>
      <c r="BT153" s="344"/>
      <c r="BU153" s="344"/>
      <c r="BV153" s="344"/>
      <c r="BW153" s="344"/>
      <c r="BX153" s="344"/>
      <c r="BY153" s="344"/>
      <c r="BZ153" s="344"/>
      <c r="CA153" s="344"/>
      <c r="CB153" s="331"/>
      <c r="CC153" s="331"/>
      <c r="CD153" s="331"/>
      <c r="CE153" s="331"/>
    </row>
    <row r="154" spans="2:83" ht="16.5" customHeight="1">
      <c r="B154" s="34"/>
      <c r="D154" s="43"/>
      <c r="E154" s="333"/>
      <c r="F154" s="334"/>
      <c r="G154" s="334"/>
      <c r="H154" s="334"/>
      <c r="I154" s="334"/>
      <c r="J154" s="334"/>
      <c r="K154" s="334"/>
      <c r="L154" s="334"/>
      <c r="M154" s="334"/>
      <c r="N154" s="334"/>
      <c r="O154" s="334"/>
      <c r="P154" s="334"/>
      <c r="Q154" s="334"/>
      <c r="R154" s="334"/>
      <c r="S154" s="334"/>
      <c r="T154" s="334"/>
      <c r="U154" s="334"/>
      <c r="V154" s="335"/>
      <c r="W154" s="333"/>
      <c r="X154" s="334"/>
      <c r="Y154" s="334"/>
      <c r="Z154" s="334"/>
      <c r="AA154" s="334"/>
      <c r="AB154" s="334"/>
      <c r="AC154" s="334"/>
      <c r="AD154" s="334"/>
      <c r="AE154" s="334"/>
      <c r="AF154" s="334"/>
      <c r="AG154" s="334"/>
      <c r="AH154" s="334"/>
      <c r="AI154" s="334"/>
      <c r="AJ154" s="334"/>
      <c r="AK154" s="334"/>
      <c r="AL154" s="334"/>
      <c r="AM154" s="334"/>
      <c r="AN154" s="335"/>
      <c r="AO154" s="333"/>
      <c r="AP154" s="334"/>
      <c r="AQ154" s="334"/>
      <c r="AR154" s="334"/>
      <c r="AS154" s="334"/>
      <c r="AT154" s="334"/>
      <c r="AU154" s="334"/>
      <c r="AV154" s="334"/>
      <c r="AW154" s="334"/>
      <c r="AX154" s="334"/>
      <c r="AY154" s="334"/>
      <c r="AZ154" s="334"/>
      <c r="BA154" s="334"/>
      <c r="BB154" s="334"/>
      <c r="BC154" s="334"/>
      <c r="BD154" s="334"/>
      <c r="BE154" s="334"/>
      <c r="BF154" s="335"/>
      <c r="BG154" s="41"/>
      <c r="BJ154" s="333"/>
      <c r="BK154" s="334"/>
      <c r="BL154" s="334"/>
      <c r="BM154" s="334"/>
      <c r="BN154" s="334"/>
      <c r="BO154" s="334"/>
      <c r="BP154" s="334"/>
      <c r="BQ154" s="334"/>
      <c r="BR154" s="334"/>
      <c r="BS154" s="334"/>
      <c r="BT154" s="334"/>
      <c r="BU154" s="334"/>
      <c r="BV154" s="334"/>
      <c r="BW154" s="334"/>
      <c r="BX154" s="334"/>
      <c r="BY154" s="334"/>
      <c r="BZ154" s="334"/>
      <c r="CA154" s="334"/>
      <c r="CB154" s="330"/>
      <c r="CC154" s="330"/>
      <c r="CD154" s="330"/>
      <c r="CE154" s="330"/>
    </row>
    <row r="155" spans="2:83" s="34" customFormat="1" ht="16.5" customHeight="1">
      <c r="D155" s="685"/>
      <c r="E155" s="336"/>
      <c r="F155" s="345"/>
      <c r="G155" s="347"/>
      <c r="H155" s="347"/>
      <c r="I155" s="347"/>
      <c r="J155" s="347"/>
      <c r="K155" s="347"/>
      <c r="L155" s="347"/>
      <c r="M155" s="347"/>
      <c r="N155" s="347"/>
      <c r="O155" s="347"/>
      <c r="P155" s="347"/>
      <c r="Q155" s="347"/>
      <c r="R155" s="347"/>
      <c r="S155" s="347"/>
      <c r="T155" s="347"/>
      <c r="U155" s="345"/>
      <c r="V155" s="337"/>
      <c r="W155" s="336"/>
      <c r="X155" s="345"/>
      <c r="Y155" s="347"/>
      <c r="Z155" s="347"/>
      <c r="AA155" s="347"/>
      <c r="AB155" s="347"/>
      <c r="AC155" s="347"/>
      <c r="AD155" s="347"/>
      <c r="AE155" s="347"/>
      <c r="AF155" s="347"/>
      <c r="AG155" s="347"/>
      <c r="AH155" s="347"/>
      <c r="AI155" s="347"/>
      <c r="AJ155" s="347"/>
      <c r="AK155" s="347"/>
      <c r="AL155" s="347"/>
      <c r="AM155" s="345"/>
      <c r="AN155" s="337"/>
      <c r="AO155" s="336"/>
      <c r="AP155" s="345"/>
      <c r="AQ155" s="347"/>
      <c r="AR155" s="347"/>
      <c r="AS155" s="347"/>
      <c r="AT155" s="347"/>
      <c r="AU155" s="347"/>
      <c r="AV155" s="347"/>
      <c r="AW155" s="347"/>
      <c r="AX155" s="347"/>
      <c r="AY155" s="347"/>
      <c r="AZ155" s="347"/>
      <c r="BA155" s="347"/>
      <c r="BB155" s="347"/>
      <c r="BC155" s="347"/>
      <c r="BD155" s="347"/>
      <c r="BE155" s="345"/>
      <c r="BF155" s="337"/>
      <c r="BG155" s="37"/>
      <c r="BJ155" s="336"/>
      <c r="BK155" s="342"/>
      <c r="BL155" s="342"/>
      <c r="BM155" s="342"/>
      <c r="BN155" s="342"/>
      <c r="BO155" s="342"/>
      <c r="BP155" s="342"/>
      <c r="BQ155" s="342"/>
      <c r="BR155" s="342"/>
      <c r="BS155" s="342"/>
      <c r="BT155" s="342"/>
      <c r="BU155" s="342"/>
      <c r="BV155" s="342"/>
      <c r="BW155" s="342"/>
      <c r="BX155" s="342"/>
      <c r="BY155" s="342"/>
      <c r="BZ155" s="342"/>
      <c r="CA155" s="342"/>
      <c r="CB155" s="331"/>
      <c r="CC155" s="331"/>
      <c r="CD155" s="331"/>
      <c r="CE155" s="331"/>
    </row>
    <row r="156" spans="2:83" s="35" customFormat="1" ht="16.5" customHeight="1">
      <c r="B156" s="34"/>
      <c r="D156" s="685"/>
      <c r="E156" s="336"/>
      <c r="F156" s="345"/>
      <c r="G156" s="347"/>
      <c r="H156" s="682"/>
      <c r="I156" s="682"/>
      <c r="J156" s="682"/>
      <c r="K156" s="682"/>
      <c r="L156" s="682"/>
      <c r="M156" s="682"/>
      <c r="N156" s="682"/>
      <c r="O156" s="682"/>
      <c r="P156" s="682"/>
      <c r="Q156" s="682"/>
      <c r="R156" s="682"/>
      <c r="S156" s="682"/>
      <c r="T156" s="347"/>
      <c r="U156" s="345"/>
      <c r="V156" s="337"/>
      <c r="W156" s="336"/>
      <c r="X156" s="345"/>
      <c r="Y156" s="347"/>
      <c r="Z156" s="682"/>
      <c r="AA156" s="682"/>
      <c r="AB156" s="682"/>
      <c r="AC156" s="682"/>
      <c r="AD156" s="682"/>
      <c r="AE156" s="682"/>
      <c r="AF156" s="682"/>
      <c r="AG156" s="682"/>
      <c r="AH156" s="682"/>
      <c r="AI156" s="682"/>
      <c r="AJ156" s="682"/>
      <c r="AK156" s="682"/>
      <c r="AL156" s="347"/>
      <c r="AM156" s="345"/>
      <c r="AN156" s="337"/>
      <c r="AO156" s="336"/>
      <c r="AP156" s="345"/>
      <c r="AQ156" s="347"/>
      <c r="AR156" s="682"/>
      <c r="AS156" s="682"/>
      <c r="AT156" s="682"/>
      <c r="AU156" s="682"/>
      <c r="AV156" s="682"/>
      <c r="AW156" s="682"/>
      <c r="AX156" s="682"/>
      <c r="AY156" s="682"/>
      <c r="AZ156" s="682"/>
      <c r="BA156" s="682"/>
      <c r="BB156" s="682"/>
      <c r="BC156" s="682"/>
      <c r="BD156" s="347"/>
      <c r="BE156" s="345"/>
      <c r="BF156" s="337"/>
      <c r="BG156" s="37"/>
      <c r="BJ156" s="336"/>
      <c r="BK156" s="342"/>
      <c r="BL156" s="342"/>
      <c r="BM156" s="342"/>
      <c r="BN156" s="342"/>
      <c r="BO156" s="342"/>
      <c r="BP156" s="342"/>
      <c r="BQ156" s="342"/>
      <c r="BR156" s="342"/>
      <c r="BS156" s="342"/>
      <c r="BT156" s="342"/>
      <c r="BU156" s="342"/>
      <c r="BV156" s="342"/>
      <c r="BW156" s="342"/>
      <c r="BX156" s="342"/>
      <c r="BY156" s="342"/>
      <c r="BZ156" s="342"/>
      <c r="CA156" s="342"/>
      <c r="CB156" s="332"/>
      <c r="CC156" s="332"/>
      <c r="CD156" s="332"/>
      <c r="CE156" s="332"/>
    </row>
    <row r="157" spans="2:83" s="35" customFormat="1" ht="16.5" customHeight="1">
      <c r="B157" s="34"/>
      <c r="D157" s="329"/>
      <c r="E157" s="336"/>
      <c r="F157" s="345"/>
      <c r="G157" s="347"/>
      <c r="H157" s="682"/>
      <c r="I157" s="682"/>
      <c r="J157" s="682"/>
      <c r="K157" s="682"/>
      <c r="L157" s="682"/>
      <c r="M157" s="682"/>
      <c r="N157" s="682"/>
      <c r="O157" s="682"/>
      <c r="P157" s="682"/>
      <c r="Q157" s="682"/>
      <c r="R157" s="682"/>
      <c r="S157" s="682"/>
      <c r="T157" s="347"/>
      <c r="U157" s="345"/>
      <c r="V157" s="337"/>
      <c r="W157" s="336"/>
      <c r="X157" s="345"/>
      <c r="Y157" s="347"/>
      <c r="Z157" s="682"/>
      <c r="AA157" s="682"/>
      <c r="AB157" s="682"/>
      <c r="AC157" s="682"/>
      <c r="AD157" s="682"/>
      <c r="AE157" s="682"/>
      <c r="AF157" s="682"/>
      <c r="AG157" s="682"/>
      <c r="AH157" s="682"/>
      <c r="AI157" s="682"/>
      <c r="AJ157" s="682"/>
      <c r="AK157" s="682"/>
      <c r="AL157" s="347"/>
      <c r="AM157" s="345"/>
      <c r="AN157" s="337"/>
      <c r="AO157" s="336"/>
      <c r="AP157" s="345"/>
      <c r="AQ157" s="347"/>
      <c r="AR157" s="682"/>
      <c r="AS157" s="682"/>
      <c r="AT157" s="682"/>
      <c r="AU157" s="682"/>
      <c r="AV157" s="682"/>
      <c r="AW157" s="682"/>
      <c r="AX157" s="682"/>
      <c r="AY157" s="682"/>
      <c r="AZ157" s="682"/>
      <c r="BA157" s="682"/>
      <c r="BB157" s="682"/>
      <c r="BC157" s="682"/>
      <c r="BD157" s="347"/>
      <c r="BE157" s="345"/>
      <c r="BF157" s="337"/>
      <c r="BG157" s="37"/>
      <c r="BJ157" s="336"/>
      <c r="BK157" s="342"/>
      <c r="BL157" s="342"/>
      <c r="BM157" s="342"/>
      <c r="BN157" s="342"/>
      <c r="BO157" s="342"/>
      <c r="BP157" s="342"/>
      <c r="BQ157" s="342"/>
      <c r="BR157" s="342"/>
      <c r="BS157" s="342"/>
      <c r="BT157" s="342"/>
      <c r="BU157" s="342"/>
      <c r="BV157" s="342"/>
      <c r="BW157" s="342"/>
      <c r="BX157" s="342"/>
      <c r="BY157" s="342"/>
      <c r="BZ157" s="342"/>
      <c r="CA157" s="342"/>
      <c r="CB157" s="332"/>
      <c r="CC157" s="332"/>
      <c r="CD157" s="332"/>
      <c r="CE157" s="332"/>
    </row>
    <row r="158" spans="2:83" ht="16.5" customHeight="1">
      <c r="B158" s="34"/>
      <c r="D158" s="329"/>
      <c r="E158" s="336"/>
      <c r="F158" s="345"/>
      <c r="G158" s="347"/>
      <c r="H158" s="682"/>
      <c r="I158" s="682"/>
      <c r="J158" s="682"/>
      <c r="K158" s="682"/>
      <c r="L158" s="682"/>
      <c r="M158" s="682"/>
      <c r="N158" s="682"/>
      <c r="O158" s="682"/>
      <c r="P158" s="682"/>
      <c r="Q158" s="682"/>
      <c r="R158" s="682"/>
      <c r="S158" s="682"/>
      <c r="T158" s="347"/>
      <c r="U158" s="345"/>
      <c r="V158" s="337"/>
      <c r="W158" s="336"/>
      <c r="X158" s="345"/>
      <c r="Y158" s="347"/>
      <c r="Z158" s="682"/>
      <c r="AA158" s="682"/>
      <c r="AB158" s="682"/>
      <c r="AC158" s="682"/>
      <c r="AD158" s="682"/>
      <c r="AE158" s="682"/>
      <c r="AF158" s="682"/>
      <c r="AG158" s="682"/>
      <c r="AH158" s="682"/>
      <c r="AI158" s="682"/>
      <c r="AJ158" s="682"/>
      <c r="AK158" s="682"/>
      <c r="AL158" s="347"/>
      <c r="AM158" s="345"/>
      <c r="AN158" s="337"/>
      <c r="AO158" s="336"/>
      <c r="AP158" s="345"/>
      <c r="AQ158" s="347"/>
      <c r="AR158" s="682"/>
      <c r="AS158" s="682"/>
      <c r="AT158" s="682"/>
      <c r="AU158" s="682"/>
      <c r="AV158" s="682"/>
      <c r="AW158" s="682"/>
      <c r="AX158" s="682"/>
      <c r="AY158" s="682"/>
      <c r="AZ158" s="682"/>
      <c r="BA158" s="682"/>
      <c r="BB158" s="682"/>
      <c r="BC158" s="682"/>
      <c r="BD158" s="347"/>
      <c r="BE158" s="345"/>
      <c r="BF158" s="337"/>
      <c r="BG158" s="37"/>
      <c r="BJ158" s="336"/>
      <c r="BK158" s="342"/>
      <c r="BL158" s="342"/>
      <c r="BM158" s="342"/>
      <c r="BN158" s="342"/>
      <c r="BO158" s="342"/>
      <c r="BP158" s="342"/>
      <c r="BQ158" s="342"/>
      <c r="BR158" s="342"/>
      <c r="BS158" s="342"/>
      <c r="BT158" s="342"/>
      <c r="BU158" s="342"/>
      <c r="BV158" s="342"/>
      <c r="BW158" s="342"/>
      <c r="BX158" s="342"/>
      <c r="BY158" s="342"/>
      <c r="BZ158" s="342"/>
      <c r="CA158" s="342"/>
      <c r="CB158" s="330"/>
      <c r="CC158" s="330"/>
      <c r="CD158" s="330"/>
      <c r="CE158" s="330"/>
    </row>
    <row r="159" spans="2:83" ht="16.5" customHeight="1">
      <c r="B159" s="34"/>
      <c r="D159" s="45"/>
      <c r="E159" s="338"/>
      <c r="F159" s="681"/>
      <c r="G159" s="681"/>
      <c r="H159" s="681"/>
      <c r="I159" s="681"/>
      <c r="J159" s="681"/>
      <c r="K159" s="681"/>
      <c r="L159" s="683"/>
      <c r="M159" s="681"/>
      <c r="N159" s="681"/>
      <c r="O159" s="681"/>
      <c r="P159" s="681"/>
      <c r="Q159" s="681"/>
      <c r="R159" s="681"/>
      <c r="S159" s="681"/>
      <c r="T159" s="681"/>
      <c r="U159" s="681"/>
      <c r="V159" s="339"/>
      <c r="W159" s="338"/>
      <c r="X159" s="681"/>
      <c r="Y159" s="681"/>
      <c r="Z159" s="681"/>
      <c r="AA159" s="681"/>
      <c r="AB159" s="681"/>
      <c r="AC159" s="681"/>
      <c r="AD159" s="683"/>
      <c r="AE159" s="681"/>
      <c r="AF159" s="681"/>
      <c r="AG159" s="681"/>
      <c r="AH159" s="681"/>
      <c r="AI159" s="681"/>
      <c r="AJ159" s="681"/>
      <c r="AK159" s="681"/>
      <c r="AL159" s="681"/>
      <c r="AM159" s="681"/>
      <c r="AN159" s="339"/>
      <c r="AO159" s="338"/>
      <c r="AP159" s="681"/>
      <c r="AQ159" s="681"/>
      <c r="AR159" s="681"/>
      <c r="AS159" s="681"/>
      <c r="AT159" s="681"/>
      <c r="AU159" s="681"/>
      <c r="AV159" s="683"/>
      <c r="AW159" s="681"/>
      <c r="AX159" s="681"/>
      <c r="AY159" s="681"/>
      <c r="AZ159" s="681"/>
      <c r="BA159" s="681"/>
      <c r="BB159" s="681"/>
      <c r="BC159" s="681"/>
      <c r="BD159" s="681"/>
      <c r="BE159" s="681"/>
      <c r="BF159" s="339"/>
      <c r="BG159" s="38"/>
      <c r="BJ159" s="338"/>
      <c r="BK159" s="343"/>
      <c r="BL159" s="343"/>
      <c r="BM159" s="343"/>
      <c r="BN159" s="343"/>
      <c r="BO159" s="343"/>
      <c r="BP159" s="343"/>
      <c r="BQ159" s="343"/>
      <c r="BR159" s="343"/>
      <c r="BS159" s="343"/>
      <c r="BT159" s="343"/>
      <c r="BU159" s="343"/>
      <c r="BV159" s="343"/>
      <c r="BW159" s="343"/>
      <c r="BX159" s="343"/>
      <c r="BY159" s="343"/>
      <c r="BZ159" s="343"/>
      <c r="CA159" s="343"/>
      <c r="CB159" s="330"/>
      <c r="CC159" s="330"/>
      <c r="CD159" s="330"/>
      <c r="CE159" s="330"/>
    </row>
    <row r="160" spans="2:83" ht="16.5" customHeight="1">
      <c r="B160" s="34"/>
      <c r="D160" s="45"/>
      <c r="E160" s="338"/>
      <c r="F160" s="346"/>
      <c r="G160" s="346"/>
      <c r="H160" s="346"/>
      <c r="I160" s="346"/>
      <c r="J160" s="346"/>
      <c r="K160" s="346"/>
      <c r="L160" s="346"/>
      <c r="M160" s="346"/>
      <c r="N160" s="346"/>
      <c r="O160" s="346"/>
      <c r="P160" s="346"/>
      <c r="Q160" s="346"/>
      <c r="R160" s="346"/>
      <c r="S160" s="346"/>
      <c r="T160" s="346"/>
      <c r="U160" s="346"/>
      <c r="V160" s="339"/>
      <c r="W160" s="338"/>
      <c r="X160" s="346"/>
      <c r="Y160" s="346"/>
      <c r="Z160" s="346"/>
      <c r="AA160" s="346"/>
      <c r="AB160" s="346"/>
      <c r="AC160" s="346"/>
      <c r="AD160" s="346"/>
      <c r="AE160" s="346"/>
      <c r="AF160" s="346"/>
      <c r="AG160" s="346"/>
      <c r="AH160" s="346"/>
      <c r="AI160" s="346"/>
      <c r="AJ160" s="346"/>
      <c r="AK160" s="346"/>
      <c r="AL160" s="346"/>
      <c r="AM160" s="346"/>
      <c r="AN160" s="339"/>
      <c r="AO160" s="338"/>
      <c r="AP160" s="346"/>
      <c r="AQ160" s="346"/>
      <c r="AR160" s="346"/>
      <c r="AS160" s="346"/>
      <c r="AT160" s="346"/>
      <c r="AU160" s="346"/>
      <c r="AV160" s="346"/>
      <c r="AW160" s="346"/>
      <c r="AX160" s="346"/>
      <c r="AY160" s="346"/>
      <c r="AZ160" s="346"/>
      <c r="BA160" s="346"/>
      <c r="BB160" s="346"/>
      <c r="BC160" s="346"/>
      <c r="BD160" s="346"/>
      <c r="BE160" s="346"/>
      <c r="BF160" s="339"/>
      <c r="BG160" s="38"/>
      <c r="BJ160" s="338"/>
      <c r="BK160" s="343"/>
      <c r="BL160" s="343"/>
      <c r="BM160" s="343"/>
      <c r="BN160" s="343"/>
      <c r="BO160" s="343"/>
      <c r="BP160" s="343"/>
      <c r="BQ160" s="343"/>
      <c r="BR160" s="343"/>
      <c r="BS160" s="343"/>
      <c r="BT160" s="343"/>
      <c r="BU160" s="343"/>
      <c r="BV160" s="343"/>
      <c r="BW160" s="343"/>
      <c r="BX160" s="343"/>
      <c r="BY160" s="343"/>
      <c r="BZ160" s="343"/>
      <c r="CA160" s="343"/>
      <c r="CB160" s="330"/>
      <c r="CC160" s="330"/>
      <c r="CD160" s="330"/>
      <c r="CE160" s="330"/>
    </row>
    <row r="161" spans="2:83" s="34" customFormat="1" ht="16.5" customHeight="1">
      <c r="D161" s="46"/>
      <c r="E161" s="340"/>
      <c r="F161" s="344"/>
      <c r="G161" s="344"/>
      <c r="H161" s="344"/>
      <c r="I161" s="344"/>
      <c r="J161" s="344"/>
      <c r="K161" s="344"/>
      <c r="L161" s="344"/>
      <c r="M161" s="344"/>
      <c r="N161" s="344"/>
      <c r="O161" s="344"/>
      <c r="P161" s="344"/>
      <c r="Q161" s="344"/>
      <c r="R161" s="344"/>
      <c r="S161" s="344"/>
      <c r="T161" s="344"/>
      <c r="U161" s="344"/>
      <c r="V161" s="341"/>
      <c r="W161" s="340"/>
      <c r="X161" s="344"/>
      <c r="Y161" s="344"/>
      <c r="Z161" s="344"/>
      <c r="AA161" s="344"/>
      <c r="AB161" s="344"/>
      <c r="AC161" s="344"/>
      <c r="AD161" s="344"/>
      <c r="AE161" s="344"/>
      <c r="AF161" s="344"/>
      <c r="AG161" s="344"/>
      <c r="AH161" s="344"/>
      <c r="AI161" s="344"/>
      <c r="AJ161" s="344"/>
      <c r="AK161" s="344"/>
      <c r="AL161" s="344"/>
      <c r="AM161" s="344"/>
      <c r="AN161" s="341"/>
      <c r="AO161" s="340"/>
      <c r="AP161" s="344"/>
      <c r="AQ161" s="344"/>
      <c r="AR161" s="344"/>
      <c r="AS161" s="344"/>
      <c r="AT161" s="344"/>
      <c r="AU161" s="344"/>
      <c r="AV161" s="344"/>
      <c r="AW161" s="344"/>
      <c r="AX161" s="344"/>
      <c r="AY161" s="344"/>
      <c r="AZ161" s="344"/>
      <c r="BA161" s="344"/>
      <c r="BB161" s="344"/>
      <c r="BC161" s="344"/>
      <c r="BD161" s="344"/>
      <c r="BE161" s="344"/>
      <c r="BF161" s="341"/>
      <c r="BG161" s="42"/>
      <c r="BJ161" s="340"/>
      <c r="BK161" s="344"/>
      <c r="BL161" s="344"/>
      <c r="BM161" s="344"/>
      <c r="BN161" s="344"/>
      <c r="BO161" s="344"/>
      <c r="BP161" s="344"/>
      <c r="BQ161" s="344"/>
      <c r="BR161" s="344"/>
      <c r="BS161" s="344"/>
      <c r="BT161" s="344"/>
      <c r="BU161" s="344"/>
      <c r="BV161" s="344"/>
      <c r="BW161" s="344"/>
      <c r="BX161" s="344"/>
      <c r="BY161" s="344"/>
      <c r="BZ161" s="344"/>
      <c r="CA161" s="344"/>
      <c r="CB161" s="331"/>
      <c r="CC161" s="331"/>
      <c r="CD161" s="331"/>
      <c r="CE161" s="331"/>
    </row>
    <row r="162" spans="2:83" ht="16.5" customHeight="1">
      <c r="B162" s="34"/>
      <c r="D162" s="43"/>
      <c r="E162" s="333"/>
      <c r="F162" s="334"/>
      <c r="G162" s="334"/>
      <c r="H162" s="334"/>
      <c r="I162" s="334"/>
      <c r="J162" s="334"/>
      <c r="K162" s="334"/>
      <c r="L162" s="334"/>
      <c r="M162" s="334"/>
      <c r="N162" s="334"/>
      <c r="O162" s="334"/>
      <c r="P162" s="334"/>
      <c r="Q162" s="334"/>
      <c r="R162" s="334"/>
      <c r="S162" s="334"/>
      <c r="T162" s="334"/>
      <c r="U162" s="334"/>
      <c r="V162" s="335"/>
      <c r="W162" s="333"/>
      <c r="X162" s="334"/>
      <c r="Y162" s="334"/>
      <c r="Z162" s="334"/>
      <c r="AA162" s="334"/>
      <c r="AB162" s="334"/>
      <c r="AC162" s="334"/>
      <c r="AD162" s="334"/>
      <c r="AE162" s="334"/>
      <c r="AF162" s="334"/>
      <c r="AG162" s="334"/>
      <c r="AH162" s="334"/>
      <c r="AI162" s="334"/>
      <c r="AJ162" s="334"/>
      <c r="AK162" s="334"/>
      <c r="AL162" s="334"/>
      <c r="AM162" s="334"/>
      <c r="AN162" s="335"/>
      <c r="AO162" s="333"/>
      <c r="AP162" s="334"/>
      <c r="AQ162" s="334"/>
      <c r="AR162" s="334"/>
      <c r="AS162" s="334"/>
      <c r="AT162" s="334"/>
      <c r="AU162" s="334"/>
      <c r="AV162" s="334"/>
      <c r="AW162" s="334"/>
      <c r="AX162" s="334"/>
      <c r="AY162" s="334"/>
      <c r="AZ162" s="334"/>
      <c r="BA162" s="334"/>
      <c r="BB162" s="334"/>
      <c r="BC162" s="334"/>
      <c r="BD162" s="334"/>
      <c r="BE162" s="334"/>
      <c r="BF162" s="335"/>
      <c r="BG162" s="41"/>
      <c r="BJ162" s="333"/>
      <c r="BK162" s="334"/>
      <c r="BL162" s="334"/>
      <c r="BM162" s="334"/>
      <c r="BN162" s="334"/>
      <c r="BO162" s="334"/>
      <c r="BP162" s="334"/>
      <c r="BQ162" s="334"/>
      <c r="BR162" s="334"/>
      <c r="BS162" s="334"/>
      <c r="BT162" s="334"/>
      <c r="BU162" s="334"/>
      <c r="BV162" s="334"/>
      <c r="BW162" s="334"/>
      <c r="BX162" s="334"/>
      <c r="BY162" s="334"/>
      <c r="BZ162" s="334"/>
      <c r="CA162" s="334"/>
      <c r="CB162" s="330"/>
      <c r="CC162" s="330"/>
      <c r="CD162" s="330"/>
      <c r="CE162" s="330"/>
    </row>
    <row r="163" spans="2:83" s="34" customFormat="1" ht="16.5" customHeight="1">
      <c r="D163" s="685"/>
      <c r="E163" s="336"/>
      <c r="F163" s="345"/>
      <c r="G163" s="347"/>
      <c r="H163" s="347"/>
      <c r="I163" s="347"/>
      <c r="J163" s="347"/>
      <c r="K163" s="347"/>
      <c r="L163" s="347"/>
      <c r="M163" s="347"/>
      <c r="N163" s="347"/>
      <c r="O163" s="347"/>
      <c r="P163" s="347"/>
      <c r="Q163" s="347"/>
      <c r="R163" s="347"/>
      <c r="S163" s="347"/>
      <c r="T163" s="347"/>
      <c r="U163" s="345"/>
      <c r="V163" s="337"/>
      <c r="W163" s="336"/>
      <c r="X163" s="345"/>
      <c r="Y163" s="347"/>
      <c r="Z163" s="347"/>
      <c r="AA163" s="347"/>
      <c r="AB163" s="347"/>
      <c r="AC163" s="347"/>
      <c r="AD163" s="347"/>
      <c r="AE163" s="347"/>
      <c r="AF163" s="347"/>
      <c r="AG163" s="347"/>
      <c r="AH163" s="347"/>
      <c r="AI163" s="347"/>
      <c r="AJ163" s="347"/>
      <c r="AK163" s="347"/>
      <c r="AL163" s="347"/>
      <c r="AM163" s="345"/>
      <c r="AN163" s="337"/>
      <c r="AO163" s="336"/>
      <c r="AP163" s="345"/>
      <c r="AQ163" s="347"/>
      <c r="AR163" s="347"/>
      <c r="AS163" s="347"/>
      <c r="AT163" s="347"/>
      <c r="AU163" s="347"/>
      <c r="AV163" s="347"/>
      <c r="AW163" s="347"/>
      <c r="AX163" s="347"/>
      <c r="AY163" s="347"/>
      <c r="AZ163" s="347"/>
      <c r="BA163" s="347"/>
      <c r="BB163" s="347"/>
      <c r="BC163" s="347"/>
      <c r="BD163" s="347"/>
      <c r="BE163" s="345"/>
      <c r="BF163" s="337"/>
      <c r="BG163" s="37"/>
      <c r="BJ163" s="336"/>
      <c r="BK163" s="342"/>
      <c r="BL163" s="342"/>
      <c r="BM163" s="342"/>
      <c r="BN163" s="342"/>
      <c r="BO163" s="342"/>
      <c r="BP163" s="342"/>
      <c r="BQ163" s="342"/>
      <c r="BR163" s="342"/>
      <c r="BS163" s="342"/>
      <c r="BT163" s="342"/>
      <c r="BU163" s="342"/>
      <c r="BV163" s="342"/>
      <c r="BW163" s="342"/>
      <c r="BX163" s="342"/>
      <c r="BY163" s="342"/>
      <c r="BZ163" s="342"/>
      <c r="CA163" s="342"/>
      <c r="CB163" s="331"/>
      <c r="CC163" s="331"/>
      <c r="CD163" s="331"/>
      <c r="CE163" s="331"/>
    </row>
    <row r="164" spans="2:83" s="35" customFormat="1" ht="16.5" customHeight="1">
      <c r="B164" s="34"/>
      <c r="D164" s="685"/>
      <c r="E164" s="336"/>
      <c r="F164" s="345"/>
      <c r="G164" s="347"/>
      <c r="H164" s="682"/>
      <c r="I164" s="682"/>
      <c r="J164" s="682"/>
      <c r="K164" s="682"/>
      <c r="L164" s="682"/>
      <c r="M164" s="682"/>
      <c r="N164" s="682"/>
      <c r="O164" s="682"/>
      <c r="P164" s="682"/>
      <c r="Q164" s="682"/>
      <c r="R164" s="682"/>
      <c r="S164" s="682"/>
      <c r="T164" s="347"/>
      <c r="U164" s="345"/>
      <c r="V164" s="337"/>
      <c r="W164" s="336"/>
      <c r="X164" s="345"/>
      <c r="Y164" s="347"/>
      <c r="Z164" s="682"/>
      <c r="AA164" s="682"/>
      <c r="AB164" s="682"/>
      <c r="AC164" s="682"/>
      <c r="AD164" s="682"/>
      <c r="AE164" s="682"/>
      <c r="AF164" s="682"/>
      <c r="AG164" s="682"/>
      <c r="AH164" s="682"/>
      <c r="AI164" s="682"/>
      <c r="AJ164" s="682"/>
      <c r="AK164" s="682"/>
      <c r="AL164" s="347"/>
      <c r="AM164" s="345"/>
      <c r="AN164" s="337"/>
      <c r="AO164" s="336"/>
      <c r="AP164" s="345"/>
      <c r="AQ164" s="347"/>
      <c r="AR164" s="682"/>
      <c r="AS164" s="682"/>
      <c r="AT164" s="682"/>
      <c r="AU164" s="682"/>
      <c r="AV164" s="682"/>
      <c r="AW164" s="682"/>
      <c r="AX164" s="682"/>
      <c r="AY164" s="682"/>
      <c r="AZ164" s="682"/>
      <c r="BA164" s="682"/>
      <c r="BB164" s="682"/>
      <c r="BC164" s="682"/>
      <c r="BD164" s="347"/>
      <c r="BE164" s="345"/>
      <c r="BF164" s="337"/>
      <c r="BG164" s="37"/>
      <c r="BJ164" s="336"/>
      <c r="BK164" s="342"/>
      <c r="BL164" s="342"/>
      <c r="BM164" s="342"/>
      <c r="BN164" s="342"/>
      <c r="BO164" s="342"/>
      <c r="BP164" s="342"/>
      <c r="BQ164" s="342"/>
      <c r="BR164" s="342"/>
      <c r="BS164" s="342"/>
      <c r="BT164" s="342"/>
      <c r="BU164" s="342"/>
      <c r="BV164" s="342"/>
      <c r="BW164" s="342"/>
      <c r="BX164" s="342"/>
      <c r="BY164" s="342"/>
      <c r="BZ164" s="342"/>
      <c r="CA164" s="342"/>
      <c r="CB164" s="332"/>
      <c r="CC164" s="332"/>
      <c r="CD164" s="332"/>
      <c r="CE164" s="332"/>
    </row>
    <row r="165" spans="2:83" s="35" customFormat="1" ht="16.5" customHeight="1">
      <c r="B165" s="34"/>
      <c r="D165" s="329"/>
      <c r="E165" s="336"/>
      <c r="F165" s="345"/>
      <c r="G165" s="347"/>
      <c r="H165" s="682"/>
      <c r="I165" s="682"/>
      <c r="J165" s="682"/>
      <c r="K165" s="682"/>
      <c r="L165" s="682"/>
      <c r="M165" s="682"/>
      <c r="N165" s="682"/>
      <c r="O165" s="682"/>
      <c r="P165" s="682"/>
      <c r="Q165" s="682"/>
      <c r="R165" s="682"/>
      <c r="S165" s="682"/>
      <c r="T165" s="347"/>
      <c r="U165" s="345"/>
      <c r="V165" s="337"/>
      <c r="W165" s="336"/>
      <c r="X165" s="345"/>
      <c r="Y165" s="347"/>
      <c r="Z165" s="682"/>
      <c r="AA165" s="682"/>
      <c r="AB165" s="682"/>
      <c r="AC165" s="682"/>
      <c r="AD165" s="682"/>
      <c r="AE165" s="682"/>
      <c r="AF165" s="682"/>
      <c r="AG165" s="682"/>
      <c r="AH165" s="682"/>
      <c r="AI165" s="682"/>
      <c r="AJ165" s="682"/>
      <c r="AK165" s="682"/>
      <c r="AL165" s="347"/>
      <c r="AM165" s="345"/>
      <c r="AN165" s="337"/>
      <c r="AO165" s="336"/>
      <c r="AP165" s="345"/>
      <c r="AQ165" s="347"/>
      <c r="AR165" s="682"/>
      <c r="AS165" s="682"/>
      <c r="AT165" s="682"/>
      <c r="AU165" s="682"/>
      <c r="AV165" s="682"/>
      <c r="AW165" s="682"/>
      <c r="AX165" s="682"/>
      <c r="AY165" s="682"/>
      <c r="AZ165" s="682"/>
      <c r="BA165" s="682"/>
      <c r="BB165" s="682"/>
      <c r="BC165" s="682"/>
      <c r="BD165" s="347"/>
      <c r="BE165" s="345"/>
      <c r="BF165" s="337"/>
      <c r="BG165" s="37"/>
      <c r="BJ165" s="336"/>
      <c r="BK165" s="342"/>
      <c r="BL165" s="342"/>
      <c r="BM165" s="342"/>
      <c r="BN165" s="342"/>
      <c r="BO165" s="342"/>
      <c r="BP165" s="342"/>
      <c r="BQ165" s="342"/>
      <c r="BR165" s="342"/>
      <c r="BS165" s="342"/>
      <c r="BT165" s="342"/>
      <c r="BU165" s="342"/>
      <c r="BV165" s="342"/>
      <c r="BW165" s="342"/>
      <c r="BX165" s="342"/>
      <c r="BY165" s="342"/>
      <c r="BZ165" s="342"/>
      <c r="CA165" s="342"/>
      <c r="CB165" s="332"/>
      <c r="CC165" s="332"/>
      <c r="CD165" s="332"/>
      <c r="CE165" s="332"/>
    </row>
    <row r="166" spans="2:83" ht="16.5" customHeight="1">
      <c r="B166" s="34"/>
      <c r="D166" s="329"/>
      <c r="E166" s="336"/>
      <c r="F166" s="345"/>
      <c r="G166" s="347"/>
      <c r="H166" s="682"/>
      <c r="I166" s="682"/>
      <c r="J166" s="682"/>
      <c r="K166" s="682"/>
      <c r="L166" s="682"/>
      <c r="M166" s="682"/>
      <c r="N166" s="682"/>
      <c r="O166" s="682"/>
      <c r="P166" s="682"/>
      <c r="Q166" s="682"/>
      <c r="R166" s="682"/>
      <c r="S166" s="682"/>
      <c r="T166" s="347"/>
      <c r="U166" s="345"/>
      <c r="V166" s="337"/>
      <c r="W166" s="336"/>
      <c r="X166" s="345"/>
      <c r="Y166" s="347"/>
      <c r="Z166" s="682"/>
      <c r="AA166" s="682"/>
      <c r="AB166" s="682"/>
      <c r="AC166" s="682"/>
      <c r="AD166" s="682"/>
      <c r="AE166" s="682"/>
      <c r="AF166" s="682"/>
      <c r="AG166" s="682"/>
      <c r="AH166" s="682"/>
      <c r="AI166" s="682"/>
      <c r="AJ166" s="682"/>
      <c r="AK166" s="682"/>
      <c r="AL166" s="347"/>
      <c r="AM166" s="345"/>
      <c r="AN166" s="337"/>
      <c r="AO166" s="336"/>
      <c r="AP166" s="345"/>
      <c r="AQ166" s="347"/>
      <c r="AR166" s="682"/>
      <c r="AS166" s="682"/>
      <c r="AT166" s="682"/>
      <c r="AU166" s="682"/>
      <c r="AV166" s="682"/>
      <c r="AW166" s="682"/>
      <c r="AX166" s="682"/>
      <c r="AY166" s="682"/>
      <c r="AZ166" s="682"/>
      <c r="BA166" s="682"/>
      <c r="BB166" s="682"/>
      <c r="BC166" s="682"/>
      <c r="BD166" s="347"/>
      <c r="BE166" s="345"/>
      <c r="BF166" s="337"/>
      <c r="BG166" s="37"/>
      <c r="BJ166" s="336"/>
      <c r="BK166" s="342"/>
      <c r="BL166" s="342"/>
      <c r="BM166" s="342"/>
      <c r="BN166" s="342"/>
      <c r="BO166" s="342"/>
      <c r="BP166" s="342"/>
      <c r="BQ166" s="342"/>
      <c r="BR166" s="342"/>
      <c r="BS166" s="342"/>
      <c r="BT166" s="342"/>
      <c r="BU166" s="342"/>
      <c r="BV166" s="342"/>
      <c r="BW166" s="342"/>
      <c r="BX166" s="342"/>
      <c r="BY166" s="342"/>
      <c r="BZ166" s="342"/>
      <c r="CA166" s="342"/>
      <c r="CB166" s="330"/>
      <c r="CC166" s="330"/>
      <c r="CD166" s="330"/>
      <c r="CE166" s="330"/>
    </row>
    <row r="167" spans="2:83" ht="16.5" customHeight="1">
      <c r="B167" s="34"/>
      <c r="D167" s="45"/>
      <c r="E167" s="338"/>
      <c r="F167" s="681"/>
      <c r="G167" s="681"/>
      <c r="H167" s="681"/>
      <c r="I167" s="681"/>
      <c r="J167" s="681"/>
      <c r="K167" s="681"/>
      <c r="L167" s="683"/>
      <c r="M167" s="681"/>
      <c r="N167" s="681"/>
      <c r="O167" s="681"/>
      <c r="P167" s="681"/>
      <c r="Q167" s="681"/>
      <c r="R167" s="681"/>
      <c r="S167" s="681"/>
      <c r="T167" s="681"/>
      <c r="U167" s="681"/>
      <c r="V167" s="339"/>
      <c r="W167" s="338"/>
      <c r="X167" s="681"/>
      <c r="Y167" s="681"/>
      <c r="Z167" s="681"/>
      <c r="AA167" s="681"/>
      <c r="AB167" s="681"/>
      <c r="AC167" s="681"/>
      <c r="AD167" s="683"/>
      <c r="AE167" s="681"/>
      <c r="AF167" s="681"/>
      <c r="AG167" s="681"/>
      <c r="AH167" s="681"/>
      <c r="AI167" s="681"/>
      <c r="AJ167" s="681"/>
      <c r="AK167" s="681"/>
      <c r="AL167" s="681"/>
      <c r="AM167" s="681"/>
      <c r="AN167" s="339"/>
      <c r="AO167" s="338"/>
      <c r="AP167" s="681"/>
      <c r="AQ167" s="681"/>
      <c r="AR167" s="681"/>
      <c r="AS167" s="681"/>
      <c r="AT167" s="681"/>
      <c r="AU167" s="681"/>
      <c r="AV167" s="683"/>
      <c r="AW167" s="681"/>
      <c r="AX167" s="681"/>
      <c r="AY167" s="681"/>
      <c r="AZ167" s="681"/>
      <c r="BA167" s="681"/>
      <c r="BB167" s="681"/>
      <c r="BC167" s="681"/>
      <c r="BD167" s="681"/>
      <c r="BE167" s="681"/>
      <c r="BF167" s="339"/>
      <c r="BG167" s="38"/>
      <c r="BJ167" s="338"/>
      <c r="BK167" s="343"/>
      <c r="BL167" s="343"/>
      <c r="BM167" s="343"/>
      <c r="BN167" s="343"/>
      <c r="BO167" s="343"/>
      <c r="BP167" s="343"/>
      <c r="BQ167" s="343"/>
      <c r="BR167" s="343"/>
      <c r="BS167" s="343"/>
      <c r="BT167" s="343"/>
      <c r="BU167" s="343"/>
      <c r="BV167" s="343"/>
      <c r="BW167" s="343"/>
      <c r="BX167" s="343"/>
      <c r="BY167" s="343"/>
      <c r="BZ167" s="343"/>
      <c r="CA167" s="343"/>
      <c r="CB167" s="330"/>
      <c r="CC167" s="330"/>
      <c r="CD167" s="330"/>
      <c r="CE167" s="330"/>
    </row>
    <row r="168" spans="2:83" ht="16.5" customHeight="1">
      <c r="B168" s="34"/>
      <c r="D168" s="45"/>
      <c r="E168" s="338"/>
      <c r="F168" s="346"/>
      <c r="G168" s="346"/>
      <c r="H168" s="346"/>
      <c r="I168" s="346"/>
      <c r="J168" s="346"/>
      <c r="K168" s="346"/>
      <c r="L168" s="346"/>
      <c r="M168" s="346"/>
      <c r="N168" s="346"/>
      <c r="O168" s="346"/>
      <c r="P168" s="346"/>
      <c r="Q168" s="346"/>
      <c r="R168" s="346"/>
      <c r="S168" s="346"/>
      <c r="T168" s="346"/>
      <c r="U168" s="346"/>
      <c r="V168" s="339"/>
      <c r="W168" s="338"/>
      <c r="X168" s="346"/>
      <c r="Y168" s="346"/>
      <c r="Z168" s="346"/>
      <c r="AA168" s="346"/>
      <c r="AB168" s="346"/>
      <c r="AC168" s="346"/>
      <c r="AD168" s="346"/>
      <c r="AE168" s="346"/>
      <c r="AF168" s="346"/>
      <c r="AG168" s="346"/>
      <c r="AH168" s="346"/>
      <c r="AI168" s="346"/>
      <c r="AJ168" s="346"/>
      <c r="AK168" s="346"/>
      <c r="AL168" s="346"/>
      <c r="AM168" s="346"/>
      <c r="AN168" s="339"/>
      <c r="AO168" s="338"/>
      <c r="AP168" s="346"/>
      <c r="AQ168" s="346"/>
      <c r="AR168" s="346"/>
      <c r="AS168" s="346"/>
      <c r="AT168" s="346"/>
      <c r="AU168" s="346"/>
      <c r="AV168" s="346"/>
      <c r="AW168" s="346"/>
      <c r="AX168" s="346"/>
      <c r="AY168" s="346"/>
      <c r="AZ168" s="346"/>
      <c r="BA168" s="346"/>
      <c r="BB168" s="346"/>
      <c r="BC168" s="346"/>
      <c r="BD168" s="346"/>
      <c r="BE168" s="346"/>
      <c r="BF168" s="339"/>
      <c r="BG168" s="38"/>
      <c r="BJ168" s="338"/>
      <c r="BK168" s="343"/>
      <c r="BL168" s="343"/>
      <c r="BM168" s="343"/>
      <c r="BN168" s="343"/>
      <c r="BO168" s="343"/>
      <c r="BP168" s="343"/>
      <c r="BQ168" s="343"/>
      <c r="BR168" s="343"/>
      <c r="BS168" s="343"/>
      <c r="BT168" s="343"/>
      <c r="BU168" s="343"/>
      <c r="BV168" s="343"/>
      <c r="BW168" s="343"/>
      <c r="BX168" s="343"/>
      <c r="BY168" s="343"/>
      <c r="BZ168" s="343"/>
      <c r="CA168" s="343"/>
      <c r="CB168" s="330"/>
      <c r="CC168" s="330"/>
      <c r="CD168" s="330"/>
      <c r="CE168" s="330"/>
    </row>
    <row r="169" spans="2:83" s="34" customFormat="1" ht="16.5" customHeight="1">
      <c r="D169" s="46"/>
      <c r="E169" s="340"/>
      <c r="F169" s="344"/>
      <c r="G169" s="344"/>
      <c r="H169" s="344"/>
      <c r="I169" s="344"/>
      <c r="J169" s="344"/>
      <c r="K169" s="344"/>
      <c r="L169" s="344"/>
      <c r="M169" s="344"/>
      <c r="N169" s="344"/>
      <c r="O169" s="344"/>
      <c r="P169" s="344"/>
      <c r="Q169" s="344"/>
      <c r="R169" s="344"/>
      <c r="S169" s="344"/>
      <c r="T169" s="344"/>
      <c r="U169" s="344"/>
      <c r="V169" s="341"/>
      <c r="W169" s="340"/>
      <c r="X169" s="344"/>
      <c r="Y169" s="344"/>
      <c r="Z169" s="344"/>
      <c r="AA169" s="344"/>
      <c r="AB169" s="344"/>
      <c r="AC169" s="344"/>
      <c r="AD169" s="344"/>
      <c r="AE169" s="344"/>
      <c r="AF169" s="344"/>
      <c r="AG169" s="344"/>
      <c r="AH169" s="344"/>
      <c r="AI169" s="344"/>
      <c r="AJ169" s="344"/>
      <c r="AK169" s="344"/>
      <c r="AL169" s="344"/>
      <c r="AM169" s="344"/>
      <c r="AN169" s="341"/>
      <c r="AO169" s="340"/>
      <c r="AP169" s="344"/>
      <c r="AQ169" s="344"/>
      <c r="AR169" s="344"/>
      <c r="AS169" s="344"/>
      <c r="AT169" s="344"/>
      <c r="AU169" s="344"/>
      <c r="AV169" s="344"/>
      <c r="AW169" s="344"/>
      <c r="AX169" s="344"/>
      <c r="AY169" s="344"/>
      <c r="AZ169" s="344"/>
      <c r="BA169" s="344"/>
      <c r="BB169" s="344"/>
      <c r="BC169" s="344"/>
      <c r="BD169" s="344"/>
      <c r="BE169" s="344"/>
      <c r="BF169" s="341"/>
      <c r="BG169" s="42"/>
      <c r="BJ169" s="340"/>
      <c r="BK169" s="344"/>
      <c r="BL169" s="344"/>
      <c r="BM169" s="344"/>
      <c r="BN169" s="344"/>
      <c r="BO169" s="344"/>
      <c r="BP169" s="344"/>
      <c r="BQ169" s="344"/>
      <c r="BR169" s="344"/>
      <c r="BS169" s="344"/>
      <c r="BT169" s="344"/>
      <c r="BU169" s="344"/>
      <c r="BV169" s="344"/>
      <c r="BW169" s="344"/>
      <c r="BX169" s="344"/>
      <c r="BY169" s="344"/>
      <c r="BZ169" s="344"/>
      <c r="CA169" s="344"/>
      <c r="CB169" s="331"/>
      <c r="CC169" s="331"/>
      <c r="CD169" s="331"/>
      <c r="CE169" s="331"/>
    </row>
    <row r="170" spans="2:83" ht="16.5" customHeight="1">
      <c r="B170" s="34"/>
      <c r="D170" s="43"/>
      <c r="E170" s="333"/>
      <c r="F170" s="334"/>
      <c r="G170" s="334"/>
      <c r="H170" s="334"/>
      <c r="I170" s="334"/>
      <c r="J170" s="334"/>
      <c r="K170" s="334"/>
      <c r="L170" s="334"/>
      <c r="M170" s="334"/>
      <c r="N170" s="334"/>
      <c r="O170" s="334"/>
      <c r="P170" s="334"/>
      <c r="Q170" s="334"/>
      <c r="R170" s="334"/>
      <c r="S170" s="334"/>
      <c r="T170" s="334"/>
      <c r="U170" s="334"/>
      <c r="V170" s="335"/>
      <c r="W170" s="333"/>
      <c r="X170" s="334"/>
      <c r="Y170" s="334"/>
      <c r="Z170" s="334"/>
      <c r="AA170" s="334"/>
      <c r="AB170" s="334"/>
      <c r="AC170" s="334"/>
      <c r="AD170" s="334"/>
      <c r="AE170" s="334"/>
      <c r="AF170" s="334"/>
      <c r="AG170" s="334"/>
      <c r="AH170" s="334"/>
      <c r="AI170" s="334"/>
      <c r="AJ170" s="334"/>
      <c r="AK170" s="334"/>
      <c r="AL170" s="334"/>
      <c r="AM170" s="334"/>
      <c r="AN170" s="335"/>
      <c r="AO170" s="333"/>
      <c r="AP170" s="334"/>
      <c r="AQ170" s="334"/>
      <c r="AR170" s="334"/>
      <c r="AS170" s="334"/>
      <c r="AT170" s="334"/>
      <c r="AU170" s="334"/>
      <c r="AV170" s="334"/>
      <c r="AW170" s="334"/>
      <c r="AX170" s="334"/>
      <c r="AY170" s="334"/>
      <c r="AZ170" s="334"/>
      <c r="BA170" s="334"/>
      <c r="BB170" s="334"/>
      <c r="BC170" s="334"/>
      <c r="BD170" s="334"/>
      <c r="BE170" s="334"/>
      <c r="BF170" s="335"/>
      <c r="BG170" s="41"/>
      <c r="BJ170" s="333"/>
      <c r="BK170" s="334"/>
      <c r="BL170" s="334"/>
      <c r="BM170" s="334"/>
      <c r="BN170" s="334"/>
      <c r="BO170" s="334"/>
      <c r="BP170" s="334"/>
      <c r="BQ170" s="334"/>
      <c r="BR170" s="334"/>
      <c r="BS170" s="334"/>
      <c r="BT170" s="334"/>
      <c r="BU170" s="334"/>
      <c r="BV170" s="334"/>
      <c r="BW170" s="334"/>
      <c r="BX170" s="334"/>
      <c r="BY170" s="334"/>
      <c r="BZ170" s="334"/>
      <c r="CA170" s="334"/>
      <c r="CB170" s="330"/>
      <c r="CC170" s="330"/>
      <c r="CD170" s="330"/>
      <c r="CE170" s="330"/>
    </row>
    <row r="171" spans="2:83" s="34" customFormat="1" ht="16.5" customHeight="1">
      <c r="D171" s="685"/>
      <c r="E171" s="336"/>
      <c r="F171" s="345"/>
      <c r="G171" s="347"/>
      <c r="H171" s="347"/>
      <c r="I171" s="347"/>
      <c r="J171" s="347"/>
      <c r="K171" s="347"/>
      <c r="L171" s="347"/>
      <c r="M171" s="347"/>
      <c r="N171" s="347"/>
      <c r="O171" s="347"/>
      <c r="P171" s="347"/>
      <c r="Q171" s="347"/>
      <c r="R171" s="347"/>
      <c r="S171" s="347"/>
      <c r="T171" s="347"/>
      <c r="U171" s="345"/>
      <c r="V171" s="337"/>
      <c r="W171" s="336"/>
      <c r="X171" s="345"/>
      <c r="Y171" s="347"/>
      <c r="Z171" s="347"/>
      <c r="AA171" s="347"/>
      <c r="AB171" s="347"/>
      <c r="AC171" s="347"/>
      <c r="AD171" s="347"/>
      <c r="AE171" s="347"/>
      <c r="AF171" s="347"/>
      <c r="AG171" s="347"/>
      <c r="AH171" s="347"/>
      <c r="AI171" s="347"/>
      <c r="AJ171" s="347"/>
      <c r="AK171" s="347"/>
      <c r="AL171" s="347"/>
      <c r="AM171" s="345"/>
      <c r="AN171" s="337"/>
      <c r="AO171" s="336"/>
      <c r="AP171" s="345"/>
      <c r="AQ171" s="347"/>
      <c r="AR171" s="347"/>
      <c r="AS171" s="347"/>
      <c r="AT171" s="347"/>
      <c r="AU171" s="347"/>
      <c r="AV171" s="347"/>
      <c r="AW171" s="347"/>
      <c r="AX171" s="347"/>
      <c r="AY171" s="347"/>
      <c r="AZ171" s="347"/>
      <c r="BA171" s="347"/>
      <c r="BB171" s="347"/>
      <c r="BC171" s="347"/>
      <c r="BD171" s="347"/>
      <c r="BE171" s="345"/>
      <c r="BF171" s="337"/>
      <c r="BG171" s="37"/>
      <c r="BJ171" s="336"/>
      <c r="BK171" s="342"/>
      <c r="BL171" s="342"/>
      <c r="BM171" s="342"/>
      <c r="BN171" s="342"/>
      <c r="BO171" s="342"/>
      <c r="BP171" s="342"/>
      <c r="BQ171" s="342"/>
      <c r="BR171" s="342"/>
      <c r="BS171" s="342"/>
      <c r="BT171" s="342"/>
      <c r="BU171" s="342"/>
      <c r="BV171" s="342"/>
      <c r="BW171" s="342"/>
      <c r="BX171" s="342"/>
      <c r="BY171" s="342"/>
      <c r="BZ171" s="342"/>
      <c r="CA171" s="342"/>
      <c r="CB171" s="331"/>
      <c r="CC171" s="331"/>
      <c r="CD171" s="331"/>
      <c r="CE171" s="331"/>
    </row>
    <row r="172" spans="2:83" s="35" customFormat="1" ht="16.5" customHeight="1">
      <c r="B172" s="34"/>
      <c r="D172" s="685"/>
      <c r="E172" s="336"/>
      <c r="F172" s="345"/>
      <c r="G172" s="347"/>
      <c r="H172" s="682"/>
      <c r="I172" s="682"/>
      <c r="J172" s="682"/>
      <c r="K172" s="682"/>
      <c r="L172" s="682"/>
      <c r="M172" s="682"/>
      <c r="N172" s="682"/>
      <c r="O172" s="682"/>
      <c r="P172" s="682"/>
      <c r="Q172" s="682"/>
      <c r="R172" s="682"/>
      <c r="S172" s="682"/>
      <c r="T172" s="347"/>
      <c r="U172" s="345"/>
      <c r="V172" s="337"/>
      <c r="W172" s="336"/>
      <c r="X172" s="345"/>
      <c r="Y172" s="347"/>
      <c r="Z172" s="682"/>
      <c r="AA172" s="682"/>
      <c r="AB172" s="682"/>
      <c r="AC172" s="682"/>
      <c r="AD172" s="682"/>
      <c r="AE172" s="682"/>
      <c r="AF172" s="682"/>
      <c r="AG172" s="682"/>
      <c r="AH172" s="682"/>
      <c r="AI172" s="682"/>
      <c r="AJ172" s="682"/>
      <c r="AK172" s="682"/>
      <c r="AL172" s="347"/>
      <c r="AM172" s="345"/>
      <c r="AN172" s="337"/>
      <c r="AO172" s="336"/>
      <c r="AP172" s="345"/>
      <c r="AQ172" s="347"/>
      <c r="AR172" s="682"/>
      <c r="AS172" s="682"/>
      <c r="AT172" s="682"/>
      <c r="AU172" s="682"/>
      <c r="AV172" s="682"/>
      <c r="AW172" s="682"/>
      <c r="AX172" s="682"/>
      <c r="AY172" s="682"/>
      <c r="AZ172" s="682"/>
      <c r="BA172" s="682"/>
      <c r="BB172" s="682"/>
      <c r="BC172" s="682"/>
      <c r="BD172" s="347"/>
      <c r="BE172" s="345"/>
      <c r="BF172" s="337"/>
      <c r="BG172" s="37"/>
      <c r="BJ172" s="336"/>
      <c r="BK172" s="342"/>
      <c r="BL172" s="342"/>
      <c r="BM172" s="342"/>
      <c r="BN172" s="342"/>
      <c r="BO172" s="342"/>
      <c r="BP172" s="342"/>
      <c r="BQ172" s="342"/>
      <c r="BR172" s="342"/>
      <c r="BS172" s="342"/>
      <c r="BT172" s="342"/>
      <c r="BU172" s="342"/>
      <c r="BV172" s="342"/>
      <c r="BW172" s="342"/>
      <c r="BX172" s="342"/>
      <c r="BY172" s="342"/>
      <c r="BZ172" s="342"/>
      <c r="CA172" s="342"/>
      <c r="CB172" s="332"/>
      <c r="CC172" s="332"/>
      <c r="CD172" s="332"/>
      <c r="CE172" s="332"/>
    </row>
    <row r="173" spans="2:83" s="35" customFormat="1" ht="16.5" customHeight="1">
      <c r="B173" s="34"/>
      <c r="D173" s="329"/>
      <c r="E173" s="336"/>
      <c r="F173" s="345"/>
      <c r="G173" s="347"/>
      <c r="H173" s="682"/>
      <c r="I173" s="682"/>
      <c r="J173" s="682"/>
      <c r="K173" s="682"/>
      <c r="L173" s="682"/>
      <c r="M173" s="682"/>
      <c r="N173" s="682"/>
      <c r="O173" s="682"/>
      <c r="P173" s="682"/>
      <c r="Q173" s="682"/>
      <c r="R173" s="682"/>
      <c r="S173" s="682"/>
      <c r="T173" s="347"/>
      <c r="U173" s="345"/>
      <c r="V173" s="337"/>
      <c r="W173" s="336"/>
      <c r="X173" s="345"/>
      <c r="Y173" s="347"/>
      <c r="Z173" s="682"/>
      <c r="AA173" s="682"/>
      <c r="AB173" s="682"/>
      <c r="AC173" s="682"/>
      <c r="AD173" s="682"/>
      <c r="AE173" s="682"/>
      <c r="AF173" s="682"/>
      <c r="AG173" s="682"/>
      <c r="AH173" s="682"/>
      <c r="AI173" s="682"/>
      <c r="AJ173" s="682"/>
      <c r="AK173" s="682"/>
      <c r="AL173" s="347"/>
      <c r="AM173" s="345"/>
      <c r="AN173" s="337"/>
      <c r="AO173" s="336"/>
      <c r="AP173" s="345"/>
      <c r="AQ173" s="347"/>
      <c r="AR173" s="682"/>
      <c r="AS173" s="682"/>
      <c r="AT173" s="682"/>
      <c r="AU173" s="682"/>
      <c r="AV173" s="682"/>
      <c r="AW173" s="682"/>
      <c r="AX173" s="682"/>
      <c r="AY173" s="682"/>
      <c r="AZ173" s="682"/>
      <c r="BA173" s="682"/>
      <c r="BB173" s="682"/>
      <c r="BC173" s="682"/>
      <c r="BD173" s="347"/>
      <c r="BE173" s="345"/>
      <c r="BF173" s="337"/>
      <c r="BG173" s="37"/>
      <c r="BJ173" s="336"/>
      <c r="BK173" s="342"/>
      <c r="BL173" s="342"/>
      <c r="BM173" s="342"/>
      <c r="BN173" s="342"/>
      <c r="BO173" s="342"/>
      <c r="BP173" s="342"/>
      <c r="BQ173" s="342"/>
      <c r="BR173" s="342"/>
      <c r="BS173" s="342"/>
      <c r="BT173" s="342"/>
      <c r="BU173" s="342"/>
      <c r="BV173" s="342"/>
      <c r="BW173" s="342"/>
      <c r="BX173" s="342"/>
      <c r="BY173" s="342"/>
      <c r="BZ173" s="342"/>
      <c r="CA173" s="342"/>
      <c r="CB173" s="332"/>
      <c r="CC173" s="332"/>
      <c r="CD173" s="332"/>
      <c r="CE173" s="332"/>
    </row>
    <row r="174" spans="2:83" ht="16.5" customHeight="1">
      <c r="B174" s="34"/>
      <c r="D174" s="329"/>
      <c r="E174" s="336"/>
      <c r="F174" s="345"/>
      <c r="G174" s="347"/>
      <c r="H174" s="682"/>
      <c r="I174" s="682"/>
      <c r="J174" s="682"/>
      <c r="K174" s="682"/>
      <c r="L174" s="682"/>
      <c r="M174" s="682"/>
      <c r="N174" s="682"/>
      <c r="O174" s="682"/>
      <c r="P174" s="682"/>
      <c r="Q174" s="682"/>
      <c r="R174" s="682"/>
      <c r="S174" s="682"/>
      <c r="T174" s="347"/>
      <c r="U174" s="345"/>
      <c r="V174" s="337"/>
      <c r="W174" s="336"/>
      <c r="X174" s="345"/>
      <c r="Y174" s="347"/>
      <c r="Z174" s="682"/>
      <c r="AA174" s="682"/>
      <c r="AB174" s="682"/>
      <c r="AC174" s="682"/>
      <c r="AD174" s="682"/>
      <c r="AE174" s="682"/>
      <c r="AF174" s="682"/>
      <c r="AG174" s="682"/>
      <c r="AH174" s="682"/>
      <c r="AI174" s="682"/>
      <c r="AJ174" s="682"/>
      <c r="AK174" s="682"/>
      <c r="AL174" s="347"/>
      <c r="AM174" s="345"/>
      <c r="AN174" s="337"/>
      <c r="AO174" s="336"/>
      <c r="AP174" s="345"/>
      <c r="AQ174" s="347"/>
      <c r="AR174" s="682"/>
      <c r="AS174" s="682"/>
      <c r="AT174" s="682"/>
      <c r="AU174" s="682"/>
      <c r="AV174" s="682"/>
      <c r="AW174" s="682"/>
      <c r="AX174" s="682"/>
      <c r="AY174" s="682"/>
      <c r="AZ174" s="682"/>
      <c r="BA174" s="682"/>
      <c r="BB174" s="682"/>
      <c r="BC174" s="682"/>
      <c r="BD174" s="347"/>
      <c r="BE174" s="345"/>
      <c r="BF174" s="337"/>
      <c r="BG174" s="37"/>
      <c r="BJ174" s="336"/>
      <c r="BK174" s="342"/>
      <c r="BL174" s="342"/>
      <c r="BM174" s="342"/>
      <c r="BN174" s="342"/>
      <c r="BO174" s="342"/>
      <c r="BP174" s="342"/>
      <c r="BQ174" s="342"/>
      <c r="BR174" s="342"/>
      <c r="BS174" s="342"/>
      <c r="BT174" s="342"/>
      <c r="BU174" s="342"/>
      <c r="BV174" s="342"/>
      <c r="BW174" s="342"/>
      <c r="BX174" s="342"/>
      <c r="BY174" s="342"/>
      <c r="BZ174" s="342"/>
      <c r="CA174" s="342"/>
      <c r="CB174" s="330"/>
      <c r="CC174" s="330"/>
      <c r="CD174" s="330"/>
      <c r="CE174" s="330"/>
    </row>
    <row r="175" spans="2:83" ht="16.5" customHeight="1">
      <c r="B175" s="34"/>
      <c r="D175" s="45"/>
      <c r="E175" s="338"/>
      <c r="F175" s="681"/>
      <c r="G175" s="681"/>
      <c r="H175" s="681"/>
      <c r="I175" s="681"/>
      <c r="J175" s="681"/>
      <c r="K175" s="681"/>
      <c r="L175" s="683"/>
      <c r="M175" s="681"/>
      <c r="N175" s="681"/>
      <c r="O175" s="681"/>
      <c r="P175" s="681"/>
      <c r="Q175" s="681"/>
      <c r="R175" s="681"/>
      <c r="S175" s="681"/>
      <c r="T175" s="681"/>
      <c r="U175" s="681"/>
      <c r="V175" s="339"/>
      <c r="W175" s="338"/>
      <c r="X175" s="681"/>
      <c r="Y175" s="681"/>
      <c r="Z175" s="681"/>
      <c r="AA175" s="681"/>
      <c r="AB175" s="681"/>
      <c r="AC175" s="681"/>
      <c r="AD175" s="683"/>
      <c r="AE175" s="681"/>
      <c r="AF175" s="681"/>
      <c r="AG175" s="681"/>
      <c r="AH175" s="681"/>
      <c r="AI175" s="681"/>
      <c r="AJ175" s="681"/>
      <c r="AK175" s="681"/>
      <c r="AL175" s="681"/>
      <c r="AM175" s="681"/>
      <c r="AN175" s="339"/>
      <c r="AO175" s="338"/>
      <c r="AP175" s="681"/>
      <c r="AQ175" s="681"/>
      <c r="AR175" s="681"/>
      <c r="AS175" s="681"/>
      <c r="AT175" s="681"/>
      <c r="AU175" s="681"/>
      <c r="AV175" s="683"/>
      <c r="AW175" s="681"/>
      <c r="AX175" s="681"/>
      <c r="AY175" s="681"/>
      <c r="AZ175" s="681"/>
      <c r="BA175" s="681"/>
      <c r="BB175" s="681"/>
      <c r="BC175" s="681"/>
      <c r="BD175" s="681"/>
      <c r="BE175" s="681"/>
      <c r="BF175" s="339"/>
      <c r="BG175" s="38"/>
      <c r="BJ175" s="338"/>
      <c r="BK175" s="343"/>
      <c r="BL175" s="343"/>
      <c r="BM175" s="343"/>
      <c r="BN175" s="343"/>
      <c r="BO175" s="343"/>
      <c r="BP175" s="343"/>
      <c r="BQ175" s="343"/>
      <c r="BR175" s="343"/>
      <c r="BS175" s="343"/>
      <c r="BT175" s="343"/>
      <c r="BU175" s="343"/>
      <c r="BV175" s="343"/>
      <c r="BW175" s="343"/>
      <c r="BX175" s="343"/>
      <c r="BY175" s="343"/>
      <c r="BZ175" s="343"/>
      <c r="CA175" s="343"/>
      <c r="CB175" s="330"/>
      <c r="CC175" s="330"/>
      <c r="CD175" s="330"/>
      <c r="CE175" s="330"/>
    </row>
    <row r="176" spans="2:83" ht="16.5" customHeight="1">
      <c r="B176" s="34"/>
      <c r="D176" s="45"/>
      <c r="E176" s="338"/>
      <c r="F176" s="346"/>
      <c r="G176" s="346"/>
      <c r="H176" s="346"/>
      <c r="I176" s="346"/>
      <c r="J176" s="346"/>
      <c r="K176" s="346"/>
      <c r="L176" s="346"/>
      <c r="M176" s="346"/>
      <c r="N176" s="346"/>
      <c r="O176" s="346"/>
      <c r="P176" s="346"/>
      <c r="Q176" s="346"/>
      <c r="R176" s="346"/>
      <c r="S176" s="346"/>
      <c r="T176" s="346"/>
      <c r="U176" s="346"/>
      <c r="V176" s="339"/>
      <c r="W176" s="338"/>
      <c r="X176" s="346"/>
      <c r="Y176" s="346"/>
      <c r="Z176" s="346"/>
      <c r="AA176" s="346"/>
      <c r="AB176" s="346"/>
      <c r="AC176" s="346"/>
      <c r="AD176" s="346"/>
      <c r="AE176" s="346"/>
      <c r="AF176" s="346"/>
      <c r="AG176" s="346"/>
      <c r="AH176" s="346"/>
      <c r="AI176" s="346"/>
      <c r="AJ176" s="346"/>
      <c r="AK176" s="346"/>
      <c r="AL176" s="346"/>
      <c r="AM176" s="346"/>
      <c r="AN176" s="339"/>
      <c r="AO176" s="338"/>
      <c r="AP176" s="346"/>
      <c r="AQ176" s="346"/>
      <c r="AR176" s="346"/>
      <c r="AS176" s="346"/>
      <c r="AT176" s="346"/>
      <c r="AU176" s="346"/>
      <c r="AV176" s="346"/>
      <c r="AW176" s="346"/>
      <c r="AX176" s="346"/>
      <c r="AY176" s="346"/>
      <c r="AZ176" s="346"/>
      <c r="BA176" s="346"/>
      <c r="BB176" s="346"/>
      <c r="BC176" s="346"/>
      <c r="BD176" s="346"/>
      <c r="BE176" s="346"/>
      <c r="BF176" s="339"/>
      <c r="BG176" s="38"/>
      <c r="BJ176" s="338"/>
      <c r="BK176" s="343"/>
      <c r="BL176" s="343"/>
      <c r="BM176" s="343"/>
      <c r="BN176" s="343"/>
      <c r="BO176" s="343"/>
      <c r="BP176" s="343"/>
      <c r="BQ176" s="343"/>
      <c r="BR176" s="343"/>
      <c r="BS176" s="343"/>
      <c r="BT176" s="343"/>
      <c r="BU176" s="343"/>
      <c r="BV176" s="343"/>
      <c r="BW176" s="343"/>
      <c r="BX176" s="343"/>
      <c r="BY176" s="343"/>
      <c r="BZ176" s="343"/>
      <c r="CA176" s="343"/>
      <c r="CB176" s="330"/>
      <c r="CC176" s="330"/>
      <c r="CD176" s="330"/>
      <c r="CE176" s="330"/>
    </row>
    <row r="177" spans="2:83" s="34" customFormat="1" ht="16.5" customHeight="1">
      <c r="D177" s="46"/>
      <c r="E177" s="340"/>
      <c r="F177" s="344"/>
      <c r="G177" s="344"/>
      <c r="H177" s="344"/>
      <c r="I177" s="344"/>
      <c r="J177" s="344"/>
      <c r="K177" s="344"/>
      <c r="L177" s="344"/>
      <c r="M177" s="344"/>
      <c r="N177" s="344"/>
      <c r="O177" s="344"/>
      <c r="P177" s="344"/>
      <c r="Q177" s="344"/>
      <c r="R177" s="344"/>
      <c r="S177" s="344"/>
      <c r="T177" s="344"/>
      <c r="U177" s="344"/>
      <c r="V177" s="341"/>
      <c r="W177" s="340"/>
      <c r="X177" s="344"/>
      <c r="Y177" s="344"/>
      <c r="Z177" s="344"/>
      <c r="AA177" s="344"/>
      <c r="AB177" s="344"/>
      <c r="AC177" s="344"/>
      <c r="AD177" s="344"/>
      <c r="AE177" s="344"/>
      <c r="AF177" s="344"/>
      <c r="AG177" s="344"/>
      <c r="AH177" s="344"/>
      <c r="AI177" s="344"/>
      <c r="AJ177" s="344"/>
      <c r="AK177" s="344"/>
      <c r="AL177" s="344"/>
      <c r="AM177" s="344"/>
      <c r="AN177" s="341"/>
      <c r="AO177" s="340"/>
      <c r="AP177" s="344"/>
      <c r="AQ177" s="344"/>
      <c r="AR177" s="344"/>
      <c r="AS177" s="344"/>
      <c r="AT177" s="344"/>
      <c r="AU177" s="344"/>
      <c r="AV177" s="344"/>
      <c r="AW177" s="344"/>
      <c r="AX177" s="344"/>
      <c r="AY177" s="344"/>
      <c r="AZ177" s="344"/>
      <c r="BA177" s="344"/>
      <c r="BB177" s="344"/>
      <c r="BC177" s="344"/>
      <c r="BD177" s="344"/>
      <c r="BE177" s="344"/>
      <c r="BF177" s="341"/>
      <c r="BG177" s="42"/>
      <c r="BJ177" s="340"/>
      <c r="BK177" s="344"/>
      <c r="BL177" s="344"/>
      <c r="BM177" s="344"/>
      <c r="BN177" s="344"/>
      <c r="BO177" s="344"/>
      <c r="BP177" s="344"/>
      <c r="BQ177" s="344"/>
      <c r="BR177" s="344"/>
      <c r="BS177" s="344"/>
      <c r="BT177" s="344"/>
      <c r="BU177" s="344"/>
      <c r="BV177" s="344"/>
      <c r="BW177" s="344"/>
      <c r="BX177" s="344"/>
      <c r="BY177" s="344"/>
      <c r="BZ177" s="344"/>
      <c r="CA177" s="344"/>
      <c r="CB177" s="331"/>
      <c r="CC177" s="331"/>
      <c r="CD177" s="331"/>
      <c r="CE177" s="331"/>
    </row>
    <row r="178" spans="2:83" ht="16.5" customHeight="1">
      <c r="B178" s="34"/>
      <c r="D178" s="43"/>
      <c r="E178" s="333"/>
      <c r="F178" s="334"/>
      <c r="G178" s="334"/>
      <c r="H178" s="334"/>
      <c r="I178" s="334"/>
      <c r="J178" s="334"/>
      <c r="K178" s="334"/>
      <c r="L178" s="334"/>
      <c r="M178" s="334"/>
      <c r="N178" s="334"/>
      <c r="O178" s="334"/>
      <c r="P178" s="334"/>
      <c r="Q178" s="334"/>
      <c r="R178" s="334"/>
      <c r="S178" s="334"/>
      <c r="T178" s="334"/>
      <c r="U178" s="334"/>
      <c r="V178" s="335"/>
      <c r="W178" s="333"/>
      <c r="X178" s="334"/>
      <c r="Y178" s="334"/>
      <c r="Z178" s="334"/>
      <c r="AA178" s="334"/>
      <c r="AB178" s="334"/>
      <c r="AC178" s="334"/>
      <c r="AD178" s="334"/>
      <c r="AE178" s="334"/>
      <c r="AF178" s="334"/>
      <c r="AG178" s="334"/>
      <c r="AH178" s="334"/>
      <c r="AI178" s="334"/>
      <c r="AJ178" s="334"/>
      <c r="AK178" s="334"/>
      <c r="AL178" s="334"/>
      <c r="AM178" s="334"/>
      <c r="AN178" s="335"/>
      <c r="AO178" s="333"/>
      <c r="AP178" s="334"/>
      <c r="AQ178" s="334"/>
      <c r="AR178" s="334"/>
      <c r="AS178" s="334"/>
      <c r="AT178" s="334"/>
      <c r="AU178" s="334"/>
      <c r="AV178" s="334"/>
      <c r="AW178" s="334"/>
      <c r="AX178" s="334"/>
      <c r="AY178" s="334"/>
      <c r="AZ178" s="334"/>
      <c r="BA178" s="334"/>
      <c r="BB178" s="334"/>
      <c r="BC178" s="334"/>
      <c r="BD178" s="334"/>
      <c r="BE178" s="334"/>
      <c r="BF178" s="335"/>
      <c r="BG178" s="41"/>
      <c r="BJ178" s="333"/>
      <c r="BK178" s="334"/>
      <c r="BL178" s="334"/>
      <c r="BM178" s="334"/>
      <c r="BN178" s="334"/>
      <c r="BO178" s="334"/>
      <c r="BP178" s="334"/>
      <c r="BQ178" s="334"/>
      <c r="BR178" s="334"/>
      <c r="BS178" s="334"/>
      <c r="BT178" s="334"/>
      <c r="BU178" s="334"/>
      <c r="BV178" s="334"/>
      <c r="BW178" s="334"/>
      <c r="BX178" s="334"/>
      <c r="BY178" s="334"/>
      <c r="BZ178" s="334"/>
      <c r="CA178" s="334"/>
      <c r="CB178" s="330"/>
      <c r="CC178" s="330"/>
      <c r="CD178" s="330"/>
      <c r="CE178" s="330"/>
    </row>
    <row r="179" spans="2:83" s="34" customFormat="1" ht="16.5" customHeight="1">
      <c r="D179" s="685"/>
      <c r="E179" s="336"/>
      <c r="F179" s="345"/>
      <c r="G179" s="347"/>
      <c r="H179" s="347"/>
      <c r="I179" s="347"/>
      <c r="J179" s="347"/>
      <c r="K179" s="347"/>
      <c r="L179" s="347"/>
      <c r="M179" s="347"/>
      <c r="N179" s="347"/>
      <c r="O179" s="347"/>
      <c r="P179" s="347"/>
      <c r="Q179" s="347"/>
      <c r="R179" s="347"/>
      <c r="S179" s="347"/>
      <c r="T179" s="347"/>
      <c r="U179" s="345"/>
      <c r="V179" s="337"/>
      <c r="W179" s="336"/>
      <c r="X179" s="345"/>
      <c r="Y179" s="347"/>
      <c r="Z179" s="347"/>
      <c r="AA179" s="347"/>
      <c r="AB179" s="347"/>
      <c r="AC179" s="347"/>
      <c r="AD179" s="347"/>
      <c r="AE179" s="347"/>
      <c r="AF179" s="347"/>
      <c r="AG179" s="347"/>
      <c r="AH179" s="347"/>
      <c r="AI179" s="347"/>
      <c r="AJ179" s="347"/>
      <c r="AK179" s="347"/>
      <c r="AL179" s="347"/>
      <c r="AM179" s="345"/>
      <c r="AN179" s="337"/>
      <c r="AO179" s="336"/>
      <c r="AP179" s="345"/>
      <c r="AQ179" s="347"/>
      <c r="AR179" s="347"/>
      <c r="AS179" s="347"/>
      <c r="AT179" s="347"/>
      <c r="AU179" s="347"/>
      <c r="AV179" s="347"/>
      <c r="AW179" s="347"/>
      <c r="AX179" s="347"/>
      <c r="AY179" s="347"/>
      <c r="AZ179" s="347"/>
      <c r="BA179" s="347"/>
      <c r="BB179" s="347"/>
      <c r="BC179" s="347"/>
      <c r="BD179" s="347"/>
      <c r="BE179" s="345"/>
      <c r="BF179" s="337"/>
      <c r="BG179" s="37"/>
      <c r="BJ179" s="336"/>
      <c r="BK179" s="342"/>
      <c r="BL179" s="342"/>
      <c r="BM179" s="342"/>
      <c r="BN179" s="342"/>
      <c r="BO179" s="342"/>
      <c r="BP179" s="342"/>
      <c r="BQ179" s="342"/>
      <c r="BR179" s="342"/>
      <c r="BS179" s="342"/>
      <c r="BT179" s="342"/>
      <c r="BU179" s="342"/>
      <c r="BV179" s="342"/>
      <c r="BW179" s="342"/>
      <c r="BX179" s="342"/>
      <c r="BY179" s="342"/>
      <c r="BZ179" s="342"/>
      <c r="CA179" s="342"/>
      <c r="CB179" s="331"/>
      <c r="CC179" s="331"/>
      <c r="CD179" s="331"/>
      <c r="CE179" s="331"/>
    </row>
    <row r="180" spans="2:83" s="35" customFormat="1" ht="16.5" customHeight="1">
      <c r="B180" s="34"/>
      <c r="D180" s="685"/>
      <c r="E180" s="336"/>
      <c r="F180" s="345"/>
      <c r="G180" s="347"/>
      <c r="H180" s="682"/>
      <c r="I180" s="682"/>
      <c r="J180" s="682"/>
      <c r="K180" s="682"/>
      <c r="L180" s="682"/>
      <c r="M180" s="682"/>
      <c r="N180" s="682"/>
      <c r="O180" s="682"/>
      <c r="P180" s="682"/>
      <c r="Q180" s="682"/>
      <c r="R180" s="682"/>
      <c r="S180" s="682"/>
      <c r="T180" s="347"/>
      <c r="U180" s="345"/>
      <c r="V180" s="337"/>
      <c r="W180" s="336"/>
      <c r="X180" s="345"/>
      <c r="Y180" s="347"/>
      <c r="Z180" s="682"/>
      <c r="AA180" s="682"/>
      <c r="AB180" s="682"/>
      <c r="AC180" s="682"/>
      <c r="AD180" s="682"/>
      <c r="AE180" s="682"/>
      <c r="AF180" s="682"/>
      <c r="AG180" s="682"/>
      <c r="AH180" s="682"/>
      <c r="AI180" s="682"/>
      <c r="AJ180" s="682"/>
      <c r="AK180" s="682"/>
      <c r="AL180" s="347"/>
      <c r="AM180" s="345"/>
      <c r="AN180" s="337"/>
      <c r="AO180" s="336"/>
      <c r="AP180" s="345"/>
      <c r="AQ180" s="347"/>
      <c r="AR180" s="682"/>
      <c r="AS180" s="682"/>
      <c r="AT180" s="682"/>
      <c r="AU180" s="682"/>
      <c r="AV180" s="682"/>
      <c r="AW180" s="682"/>
      <c r="AX180" s="682"/>
      <c r="AY180" s="682"/>
      <c r="AZ180" s="682"/>
      <c r="BA180" s="682"/>
      <c r="BB180" s="682"/>
      <c r="BC180" s="682"/>
      <c r="BD180" s="347"/>
      <c r="BE180" s="345"/>
      <c r="BF180" s="337"/>
      <c r="BG180" s="37"/>
      <c r="BJ180" s="336"/>
      <c r="BK180" s="342"/>
      <c r="BL180" s="342"/>
      <c r="BM180" s="342"/>
      <c r="BN180" s="342"/>
      <c r="BO180" s="342"/>
      <c r="BP180" s="342"/>
      <c r="BQ180" s="342"/>
      <c r="BR180" s="342"/>
      <c r="BS180" s="342"/>
      <c r="BT180" s="342"/>
      <c r="BU180" s="342"/>
      <c r="BV180" s="342"/>
      <c r="BW180" s="342"/>
      <c r="BX180" s="342"/>
      <c r="BY180" s="342"/>
      <c r="BZ180" s="342"/>
      <c r="CA180" s="342"/>
      <c r="CB180" s="332"/>
      <c r="CC180" s="332"/>
      <c r="CD180" s="332"/>
      <c r="CE180" s="332"/>
    </row>
    <row r="181" spans="2:83" s="35" customFormat="1" ht="16.5" customHeight="1">
      <c r="B181" s="34"/>
      <c r="D181" s="329"/>
      <c r="E181" s="336"/>
      <c r="F181" s="345"/>
      <c r="G181" s="347"/>
      <c r="H181" s="682"/>
      <c r="I181" s="682"/>
      <c r="J181" s="682"/>
      <c r="K181" s="682"/>
      <c r="L181" s="682"/>
      <c r="M181" s="682"/>
      <c r="N181" s="682"/>
      <c r="O181" s="682"/>
      <c r="P181" s="682"/>
      <c r="Q181" s="682"/>
      <c r="R181" s="682"/>
      <c r="S181" s="682"/>
      <c r="T181" s="347"/>
      <c r="U181" s="345"/>
      <c r="V181" s="337"/>
      <c r="W181" s="336"/>
      <c r="X181" s="345"/>
      <c r="Y181" s="347"/>
      <c r="Z181" s="682"/>
      <c r="AA181" s="682"/>
      <c r="AB181" s="682"/>
      <c r="AC181" s="682"/>
      <c r="AD181" s="682"/>
      <c r="AE181" s="682"/>
      <c r="AF181" s="682"/>
      <c r="AG181" s="682"/>
      <c r="AH181" s="682"/>
      <c r="AI181" s="682"/>
      <c r="AJ181" s="682"/>
      <c r="AK181" s="682"/>
      <c r="AL181" s="347"/>
      <c r="AM181" s="345"/>
      <c r="AN181" s="337"/>
      <c r="AO181" s="336"/>
      <c r="AP181" s="345"/>
      <c r="AQ181" s="347"/>
      <c r="AR181" s="682"/>
      <c r="AS181" s="682"/>
      <c r="AT181" s="682"/>
      <c r="AU181" s="682"/>
      <c r="AV181" s="682"/>
      <c r="AW181" s="682"/>
      <c r="AX181" s="682"/>
      <c r="AY181" s="682"/>
      <c r="AZ181" s="682"/>
      <c r="BA181" s="682"/>
      <c r="BB181" s="682"/>
      <c r="BC181" s="682"/>
      <c r="BD181" s="347"/>
      <c r="BE181" s="345"/>
      <c r="BF181" s="337"/>
      <c r="BG181" s="37"/>
      <c r="BJ181" s="336"/>
      <c r="BK181" s="342"/>
      <c r="BL181" s="342"/>
      <c r="BM181" s="342"/>
      <c r="BN181" s="342"/>
      <c r="BO181" s="342"/>
      <c r="BP181" s="342"/>
      <c r="BQ181" s="342"/>
      <c r="BR181" s="342"/>
      <c r="BS181" s="342"/>
      <c r="BT181" s="342"/>
      <c r="BU181" s="342"/>
      <c r="BV181" s="342"/>
      <c r="BW181" s="342"/>
      <c r="BX181" s="342"/>
      <c r="BY181" s="342"/>
      <c r="BZ181" s="342"/>
      <c r="CA181" s="342"/>
      <c r="CB181" s="332"/>
      <c r="CC181" s="332"/>
      <c r="CD181" s="332"/>
      <c r="CE181" s="332"/>
    </row>
    <row r="182" spans="2:83" ht="16.5" customHeight="1">
      <c r="B182" s="34"/>
      <c r="D182" s="329"/>
      <c r="E182" s="336"/>
      <c r="F182" s="345"/>
      <c r="G182" s="347"/>
      <c r="H182" s="682"/>
      <c r="I182" s="682"/>
      <c r="J182" s="682"/>
      <c r="K182" s="682"/>
      <c r="L182" s="682"/>
      <c r="M182" s="682"/>
      <c r="N182" s="682"/>
      <c r="O182" s="682"/>
      <c r="P182" s="682"/>
      <c r="Q182" s="682"/>
      <c r="R182" s="682"/>
      <c r="S182" s="682"/>
      <c r="T182" s="347"/>
      <c r="U182" s="345"/>
      <c r="V182" s="337"/>
      <c r="W182" s="336"/>
      <c r="X182" s="345"/>
      <c r="Y182" s="347"/>
      <c r="Z182" s="682"/>
      <c r="AA182" s="682"/>
      <c r="AB182" s="682"/>
      <c r="AC182" s="682"/>
      <c r="AD182" s="682"/>
      <c r="AE182" s="682"/>
      <c r="AF182" s="682"/>
      <c r="AG182" s="682"/>
      <c r="AH182" s="682"/>
      <c r="AI182" s="682"/>
      <c r="AJ182" s="682"/>
      <c r="AK182" s="682"/>
      <c r="AL182" s="347"/>
      <c r="AM182" s="345"/>
      <c r="AN182" s="337"/>
      <c r="AO182" s="336"/>
      <c r="AP182" s="345"/>
      <c r="AQ182" s="347"/>
      <c r="AR182" s="682"/>
      <c r="AS182" s="682"/>
      <c r="AT182" s="682"/>
      <c r="AU182" s="682"/>
      <c r="AV182" s="682"/>
      <c r="AW182" s="682"/>
      <c r="AX182" s="682"/>
      <c r="AY182" s="682"/>
      <c r="AZ182" s="682"/>
      <c r="BA182" s="682"/>
      <c r="BB182" s="682"/>
      <c r="BC182" s="682"/>
      <c r="BD182" s="347"/>
      <c r="BE182" s="345"/>
      <c r="BF182" s="337"/>
      <c r="BG182" s="37"/>
      <c r="BJ182" s="336"/>
      <c r="BK182" s="342"/>
      <c r="BL182" s="342"/>
      <c r="BM182" s="342"/>
      <c r="BN182" s="342"/>
      <c r="BO182" s="342"/>
      <c r="BP182" s="342"/>
      <c r="BQ182" s="342"/>
      <c r="BR182" s="342"/>
      <c r="BS182" s="342"/>
      <c r="BT182" s="342"/>
      <c r="BU182" s="342"/>
      <c r="BV182" s="342"/>
      <c r="BW182" s="342"/>
      <c r="BX182" s="342"/>
      <c r="BY182" s="342"/>
      <c r="BZ182" s="342"/>
      <c r="CA182" s="342"/>
      <c r="CB182" s="330"/>
      <c r="CC182" s="330"/>
      <c r="CD182" s="330"/>
      <c r="CE182" s="330"/>
    </row>
    <row r="183" spans="2:83" ht="16.5" customHeight="1">
      <c r="B183" s="34"/>
      <c r="D183" s="45"/>
      <c r="E183" s="338"/>
      <c r="F183" s="681"/>
      <c r="G183" s="681"/>
      <c r="H183" s="681"/>
      <c r="I183" s="681"/>
      <c r="J183" s="681"/>
      <c r="K183" s="681"/>
      <c r="L183" s="683"/>
      <c r="M183" s="681"/>
      <c r="N183" s="681"/>
      <c r="O183" s="681"/>
      <c r="P183" s="681"/>
      <c r="Q183" s="681"/>
      <c r="R183" s="681"/>
      <c r="S183" s="681"/>
      <c r="T183" s="681"/>
      <c r="U183" s="681"/>
      <c r="V183" s="339"/>
      <c r="W183" s="338"/>
      <c r="X183" s="681"/>
      <c r="Y183" s="681"/>
      <c r="Z183" s="681"/>
      <c r="AA183" s="681"/>
      <c r="AB183" s="681"/>
      <c r="AC183" s="681"/>
      <c r="AD183" s="683"/>
      <c r="AE183" s="681"/>
      <c r="AF183" s="681"/>
      <c r="AG183" s="681"/>
      <c r="AH183" s="681"/>
      <c r="AI183" s="681"/>
      <c r="AJ183" s="681"/>
      <c r="AK183" s="681"/>
      <c r="AL183" s="681"/>
      <c r="AM183" s="681"/>
      <c r="AN183" s="339"/>
      <c r="AO183" s="338"/>
      <c r="AP183" s="681"/>
      <c r="AQ183" s="681"/>
      <c r="AR183" s="681"/>
      <c r="AS183" s="681"/>
      <c r="AT183" s="681"/>
      <c r="AU183" s="681"/>
      <c r="AV183" s="683"/>
      <c r="AW183" s="681"/>
      <c r="AX183" s="681"/>
      <c r="AY183" s="681"/>
      <c r="AZ183" s="681"/>
      <c r="BA183" s="681"/>
      <c r="BB183" s="681"/>
      <c r="BC183" s="681"/>
      <c r="BD183" s="681"/>
      <c r="BE183" s="681"/>
      <c r="BF183" s="339"/>
      <c r="BG183" s="38"/>
      <c r="BJ183" s="338"/>
      <c r="BK183" s="343"/>
      <c r="BL183" s="343"/>
      <c r="BM183" s="343"/>
      <c r="BN183" s="343"/>
      <c r="BO183" s="343"/>
      <c r="BP183" s="343"/>
      <c r="BQ183" s="343"/>
      <c r="BR183" s="343"/>
      <c r="BS183" s="343"/>
      <c r="BT183" s="343"/>
      <c r="BU183" s="343"/>
      <c r="BV183" s="343"/>
      <c r="BW183" s="343"/>
      <c r="BX183" s="343"/>
      <c r="BY183" s="343"/>
      <c r="BZ183" s="343"/>
      <c r="CA183" s="343"/>
      <c r="CB183" s="330"/>
      <c r="CC183" s="330"/>
      <c r="CD183" s="330"/>
      <c r="CE183" s="330"/>
    </row>
    <row r="184" spans="2:83" ht="16.5" customHeight="1">
      <c r="B184" s="34"/>
      <c r="D184" s="45"/>
      <c r="E184" s="338"/>
      <c r="F184" s="346"/>
      <c r="G184" s="346"/>
      <c r="H184" s="346"/>
      <c r="I184" s="346"/>
      <c r="J184" s="346"/>
      <c r="K184" s="346"/>
      <c r="L184" s="346"/>
      <c r="M184" s="346"/>
      <c r="N184" s="346"/>
      <c r="O184" s="346"/>
      <c r="P184" s="346"/>
      <c r="Q184" s="346"/>
      <c r="R184" s="346"/>
      <c r="S184" s="346"/>
      <c r="T184" s="346"/>
      <c r="U184" s="346"/>
      <c r="V184" s="339"/>
      <c r="W184" s="338"/>
      <c r="X184" s="346"/>
      <c r="Y184" s="346"/>
      <c r="Z184" s="346"/>
      <c r="AA184" s="346"/>
      <c r="AB184" s="346"/>
      <c r="AC184" s="346"/>
      <c r="AD184" s="346"/>
      <c r="AE184" s="346"/>
      <c r="AF184" s="346"/>
      <c r="AG184" s="346"/>
      <c r="AH184" s="346"/>
      <c r="AI184" s="346"/>
      <c r="AJ184" s="346"/>
      <c r="AK184" s="346"/>
      <c r="AL184" s="346"/>
      <c r="AM184" s="346"/>
      <c r="AN184" s="339"/>
      <c r="AO184" s="338"/>
      <c r="AP184" s="346"/>
      <c r="AQ184" s="346"/>
      <c r="AR184" s="346"/>
      <c r="AS184" s="346"/>
      <c r="AT184" s="346"/>
      <c r="AU184" s="346"/>
      <c r="AV184" s="346"/>
      <c r="AW184" s="346"/>
      <c r="AX184" s="346"/>
      <c r="AY184" s="346"/>
      <c r="AZ184" s="346"/>
      <c r="BA184" s="346"/>
      <c r="BB184" s="346"/>
      <c r="BC184" s="346"/>
      <c r="BD184" s="346"/>
      <c r="BE184" s="346"/>
      <c r="BF184" s="339"/>
      <c r="BG184" s="38"/>
      <c r="BJ184" s="338"/>
      <c r="BK184" s="343"/>
      <c r="BL184" s="343"/>
      <c r="BM184" s="343"/>
      <c r="BN184" s="343"/>
      <c r="BO184" s="343"/>
      <c r="BP184" s="343"/>
      <c r="BQ184" s="343"/>
      <c r="BR184" s="343"/>
      <c r="BS184" s="343"/>
      <c r="BT184" s="343"/>
      <c r="BU184" s="343"/>
      <c r="BV184" s="343"/>
      <c r="BW184" s="343"/>
      <c r="BX184" s="343"/>
      <c r="BY184" s="343"/>
      <c r="BZ184" s="343"/>
      <c r="CA184" s="343"/>
      <c r="CB184" s="330"/>
      <c r="CC184" s="330"/>
      <c r="CD184" s="330"/>
      <c r="CE184" s="330"/>
    </row>
    <row r="185" spans="2:83" s="34" customFormat="1" ht="16.5" customHeight="1">
      <c r="D185" s="46"/>
      <c r="E185" s="340"/>
      <c r="F185" s="344"/>
      <c r="G185" s="344"/>
      <c r="H185" s="344"/>
      <c r="I185" s="344"/>
      <c r="J185" s="344"/>
      <c r="K185" s="344"/>
      <c r="L185" s="344"/>
      <c r="M185" s="344"/>
      <c r="N185" s="344"/>
      <c r="O185" s="344"/>
      <c r="P185" s="344"/>
      <c r="Q185" s="344"/>
      <c r="R185" s="344"/>
      <c r="S185" s="344"/>
      <c r="T185" s="344"/>
      <c r="U185" s="344"/>
      <c r="V185" s="341"/>
      <c r="W185" s="340"/>
      <c r="X185" s="344"/>
      <c r="Y185" s="344"/>
      <c r="Z185" s="344"/>
      <c r="AA185" s="344"/>
      <c r="AB185" s="344"/>
      <c r="AC185" s="344"/>
      <c r="AD185" s="344"/>
      <c r="AE185" s="344"/>
      <c r="AF185" s="344"/>
      <c r="AG185" s="344"/>
      <c r="AH185" s="344"/>
      <c r="AI185" s="344"/>
      <c r="AJ185" s="344"/>
      <c r="AK185" s="344"/>
      <c r="AL185" s="344"/>
      <c r="AM185" s="344"/>
      <c r="AN185" s="341"/>
      <c r="AO185" s="340"/>
      <c r="AP185" s="344"/>
      <c r="AQ185" s="344"/>
      <c r="AR185" s="344"/>
      <c r="AS185" s="344"/>
      <c r="AT185" s="344"/>
      <c r="AU185" s="344"/>
      <c r="AV185" s="344"/>
      <c r="AW185" s="344"/>
      <c r="AX185" s="344"/>
      <c r="AY185" s="344"/>
      <c r="AZ185" s="344"/>
      <c r="BA185" s="344"/>
      <c r="BB185" s="344"/>
      <c r="BC185" s="344"/>
      <c r="BD185" s="344"/>
      <c r="BE185" s="344"/>
      <c r="BF185" s="341"/>
      <c r="BG185" s="42"/>
      <c r="BJ185" s="340"/>
      <c r="BK185" s="344"/>
      <c r="BL185" s="344"/>
      <c r="BM185" s="344"/>
      <c r="BN185" s="344"/>
      <c r="BO185" s="344"/>
      <c r="BP185" s="344"/>
      <c r="BQ185" s="344"/>
      <c r="BR185" s="344"/>
      <c r="BS185" s="344"/>
      <c r="BT185" s="344"/>
      <c r="BU185" s="344"/>
      <c r="BV185" s="344"/>
      <c r="BW185" s="344"/>
      <c r="BX185" s="344"/>
      <c r="BY185" s="344"/>
      <c r="BZ185" s="344"/>
      <c r="CA185" s="344"/>
      <c r="CB185" s="331"/>
      <c r="CC185" s="331"/>
      <c r="CD185" s="331"/>
      <c r="CE185" s="331"/>
    </row>
    <row r="186" spans="2:83" ht="16.5" customHeight="1">
      <c r="B186" s="34"/>
      <c r="D186" s="43"/>
      <c r="E186" s="333"/>
      <c r="F186" s="334"/>
      <c r="G186" s="334"/>
      <c r="H186" s="334"/>
      <c r="I186" s="334"/>
      <c r="J186" s="334"/>
      <c r="K186" s="334"/>
      <c r="L186" s="334"/>
      <c r="M186" s="334"/>
      <c r="N186" s="334"/>
      <c r="O186" s="334"/>
      <c r="P186" s="334"/>
      <c r="Q186" s="334"/>
      <c r="R186" s="334"/>
      <c r="S186" s="334"/>
      <c r="T186" s="334"/>
      <c r="U186" s="334"/>
      <c r="V186" s="335"/>
      <c r="W186" s="333"/>
      <c r="X186" s="334"/>
      <c r="Y186" s="334"/>
      <c r="Z186" s="334"/>
      <c r="AA186" s="334"/>
      <c r="AB186" s="334"/>
      <c r="AC186" s="334"/>
      <c r="AD186" s="334"/>
      <c r="AE186" s="334"/>
      <c r="AF186" s="334"/>
      <c r="AG186" s="334"/>
      <c r="AH186" s="334"/>
      <c r="AI186" s="334"/>
      <c r="AJ186" s="334"/>
      <c r="AK186" s="334"/>
      <c r="AL186" s="334"/>
      <c r="AM186" s="334"/>
      <c r="AN186" s="335"/>
      <c r="AO186" s="333"/>
      <c r="AP186" s="334"/>
      <c r="AQ186" s="334"/>
      <c r="AR186" s="334"/>
      <c r="AS186" s="334"/>
      <c r="AT186" s="334"/>
      <c r="AU186" s="334"/>
      <c r="AV186" s="334"/>
      <c r="AW186" s="334"/>
      <c r="AX186" s="334"/>
      <c r="AY186" s="334"/>
      <c r="AZ186" s="334"/>
      <c r="BA186" s="334"/>
      <c r="BB186" s="334"/>
      <c r="BC186" s="334"/>
      <c r="BD186" s="334"/>
      <c r="BE186" s="334"/>
      <c r="BF186" s="335"/>
      <c r="BG186" s="41"/>
      <c r="BJ186" s="333"/>
      <c r="BK186" s="334"/>
      <c r="BL186" s="334"/>
      <c r="BM186" s="334"/>
      <c r="BN186" s="334"/>
      <c r="BO186" s="334"/>
      <c r="BP186" s="334"/>
      <c r="BQ186" s="334"/>
      <c r="BR186" s="334"/>
      <c r="BS186" s="334"/>
      <c r="BT186" s="334"/>
      <c r="BU186" s="334"/>
      <c r="BV186" s="334"/>
      <c r="BW186" s="334"/>
      <c r="BX186" s="334"/>
      <c r="BY186" s="334"/>
      <c r="BZ186" s="334"/>
      <c r="CA186" s="334"/>
      <c r="CB186" s="330"/>
      <c r="CC186" s="330"/>
      <c r="CD186" s="330"/>
      <c r="CE186" s="330"/>
    </row>
    <row r="187" spans="2:83" s="34" customFormat="1" ht="16.5" customHeight="1">
      <c r="D187" s="685"/>
      <c r="E187" s="336"/>
      <c r="F187" s="345"/>
      <c r="G187" s="347"/>
      <c r="H187" s="347"/>
      <c r="I187" s="347"/>
      <c r="J187" s="347"/>
      <c r="K187" s="347"/>
      <c r="L187" s="347"/>
      <c r="M187" s="347"/>
      <c r="N187" s="347"/>
      <c r="O187" s="347"/>
      <c r="P187" s="347"/>
      <c r="Q187" s="347"/>
      <c r="R187" s="347"/>
      <c r="S187" s="347"/>
      <c r="T187" s="347"/>
      <c r="U187" s="345"/>
      <c r="V187" s="337"/>
      <c r="W187" s="336"/>
      <c r="X187" s="345"/>
      <c r="Y187" s="347"/>
      <c r="Z187" s="347"/>
      <c r="AA187" s="347"/>
      <c r="AB187" s="347"/>
      <c r="AC187" s="347"/>
      <c r="AD187" s="347"/>
      <c r="AE187" s="347"/>
      <c r="AF187" s="347"/>
      <c r="AG187" s="347"/>
      <c r="AH187" s="347"/>
      <c r="AI187" s="347"/>
      <c r="AJ187" s="347"/>
      <c r="AK187" s="347"/>
      <c r="AL187" s="347"/>
      <c r="AM187" s="345"/>
      <c r="AN187" s="337"/>
      <c r="AO187" s="336"/>
      <c r="AP187" s="345"/>
      <c r="AQ187" s="347"/>
      <c r="AR187" s="347"/>
      <c r="AS187" s="347"/>
      <c r="AT187" s="347"/>
      <c r="AU187" s="347"/>
      <c r="AV187" s="347"/>
      <c r="AW187" s="347"/>
      <c r="AX187" s="347"/>
      <c r="AY187" s="347"/>
      <c r="AZ187" s="347"/>
      <c r="BA187" s="347"/>
      <c r="BB187" s="347"/>
      <c r="BC187" s="347"/>
      <c r="BD187" s="347"/>
      <c r="BE187" s="345"/>
      <c r="BF187" s="337"/>
      <c r="BG187" s="37"/>
      <c r="BJ187" s="336"/>
      <c r="BK187" s="342"/>
      <c r="BL187" s="342"/>
      <c r="BM187" s="342"/>
      <c r="BN187" s="342"/>
      <c r="BO187" s="342"/>
      <c r="BP187" s="342"/>
      <c r="BQ187" s="342"/>
      <c r="BR187" s="342"/>
      <c r="BS187" s="342"/>
      <c r="BT187" s="342"/>
      <c r="BU187" s="342"/>
      <c r="BV187" s="342"/>
      <c r="BW187" s="342"/>
      <c r="BX187" s="342"/>
      <c r="BY187" s="342"/>
      <c r="BZ187" s="342"/>
      <c r="CA187" s="342"/>
      <c r="CB187" s="331"/>
      <c r="CC187" s="331"/>
      <c r="CD187" s="331"/>
      <c r="CE187" s="331"/>
    </row>
    <row r="188" spans="2:83" s="35" customFormat="1" ht="16.5" customHeight="1">
      <c r="B188" s="34"/>
      <c r="D188" s="685"/>
      <c r="E188" s="336"/>
      <c r="F188" s="345"/>
      <c r="G188" s="347"/>
      <c r="H188" s="682"/>
      <c r="I188" s="682"/>
      <c r="J188" s="682"/>
      <c r="K188" s="682"/>
      <c r="L188" s="682"/>
      <c r="M188" s="682"/>
      <c r="N188" s="682"/>
      <c r="O188" s="682"/>
      <c r="P188" s="682"/>
      <c r="Q188" s="682"/>
      <c r="R188" s="682"/>
      <c r="S188" s="682"/>
      <c r="T188" s="347"/>
      <c r="U188" s="345"/>
      <c r="V188" s="337"/>
      <c r="W188" s="336"/>
      <c r="X188" s="345"/>
      <c r="Y188" s="347"/>
      <c r="Z188" s="682"/>
      <c r="AA188" s="682"/>
      <c r="AB188" s="682"/>
      <c r="AC188" s="682"/>
      <c r="AD188" s="682"/>
      <c r="AE188" s="682"/>
      <c r="AF188" s="682"/>
      <c r="AG188" s="682"/>
      <c r="AH188" s="682"/>
      <c r="AI188" s="682"/>
      <c r="AJ188" s="682"/>
      <c r="AK188" s="682"/>
      <c r="AL188" s="347"/>
      <c r="AM188" s="345"/>
      <c r="AN188" s="337"/>
      <c r="AO188" s="336"/>
      <c r="AP188" s="345"/>
      <c r="AQ188" s="347"/>
      <c r="AR188" s="682"/>
      <c r="AS188" s="682"/>
      <c r="AT188" s="682"/>
      <c r="AU188" s="682"/>
      <c r="AV188" s="682"/>
      <c r="AW188" s="682"/>
      <c r="AX188" s="682"/>
      <c r="AY188" s="682"/>
      <c r="AZ188" s="682"/>
      <c r="BA188" s="682"/>
      <c r="BB188" s="682"/>
      <c r="BC188" s="682"/>
      <c r="BD188" s="347"/>
      <c r="BE188" s="345"/>
      <c r="BF188" s="337"/>
      <c r="BG188" s="37"/>
      <c r="BJ188" s="336"/>
      <c r="BK188" s="342"/>
      <c r="BL188" s="342"/>
      <c r="BM188" s="342"/>
      <c r="BN188" s="342"/>
      <c r="BO188" s="342"/>
      <c r="BP188" s="342"/>
      <c r="BQ188" s="342"/>
      <c r="BR188" s="342"/>
      <c r="BS188" s="342"/>
      <c r="BT188" s="342"/>
      <c r="BU188" s="342"/>
      <c r="BV188" s="342"/>
      <c r="BW188" s="342"/>
      <c r="BX188" s="342"/>
      <c r="BY188" s="342"/>
      <c r="BZ188" s="342"/>
      <c r="CA188" s="342"/>
      <c r="CB188" s="332"/>
      <c r="CC188" s="332"/>
      <c r="CD188" s="332"/>
      <c r="CE188" s="332"/>
    </row>
    <row r="189" spans="2:83" s="35" customFormat="1" ht="16.5" customHeight="1">
      <c r="B189" s="34"/>
      <c r="D189" s="329"/>
      <c r="E189" s="336"/>
      <c r="F189" s="345"/>
      <c r="G189" s="347"/>
      <c r="H189" s="682"/>
      <c r="I189" s="682"/>
      <c r="J189" s="682"/>
      <c r="K189" s="682"/>
      <c r="L189" s="682"/>
      <c r="M189" s="682"/>
      <c r="N189" s="682"/>
      <c r="O189" s="682"/>
      <c r="P189" s="682"/>
      <c r="Q189" s="682"/>
      <c r="R189" s="682"/>
      <c r="S189" s="682"/>
      <c r="T189" s="347"/>
      <c r="U189" s="345"/>
      <c r="V189" s="337"/>
      <c r="W189" s="336"/>
      <c r="X189" s="345"/>
      <c r="Y189" s="347"/>
      <c r="Z189" s="682"/>
      <c r="AA189" s="682"/>
      <c r="AB189" s="682"/>
      <c r="AC189" s="682"/>
      <c r="AD189" s="682"/>
      <c r="AE189" s="682"/>
      <c r="AF189" s="682"/>
      <c r="AG189" s="682"/>
      <c r="AH189" s="682"/>
      <c r="AI189" s="682"/>
      <c r="AJ189" s="682"/>
      <c r="AK189" s="682"/>
      <c r="AL189" s="347"/>
      <c r="AM189" s="345"/>
      <c r="AN189" s="337"/>
      <c r="AO189" s="336"/>
      <c r="AP189" s="345"/>
      <c r="AQ189" s="347"/>
      <c r="AR189" s="682"/>
      <c r="AS189" s="682"/>
      <c r="AT189" s="682"/>
      <c r="AU189" s="682"/>
      <c r="AV189" s="682"/>
      <c r="AW189" s="682"/>
      <c r="AX189" s="682"/>
      <c r="AY189" s="682"/>
      <c r="AZ189" s="682"/>
      <c r="BA189" s="682"/>
      <c r="BB189" s="682"/>
      <c r="BC189" s="682"/>
      <c r="BD189" s="347"/>
      <c r="BE189" s="345"/>
      <c r="BF189" s="337"/>
      <c r="BG189" s="37"/>
      <c r="BJ189" s="336"/>
      <c r="BK189" s="342"/>
      <c r="BL189" s="342"/>
      <c r="BM189" s="342"/>
      <c r="BN189" s="342"/>
      <c r="BO189" s="342"/>
      <c r="BP189" s="342"/>
      <c r="BQ189" s="342"/>
      <c r="BR189" s="342"/>
      <c r="BS189" s="342"/>
      <c r="BT189" s="342"/>
      <c r="BU189" s="342"/>
      <c r="BV189" s="342"/>
      <c r="BW189" s="342"/>
      <c r="BX189" s="342"/>
      <c r="BY189" s="342"/>
      <c r="BZ189" s="342"/>
      <c r="CA189" s="342"/>
      <c r="CB189" s="332"/>
      <c r="CC189" s="332"/>
      <c r="CD189" s="332"/>
      <c r="CE189" s="332"/>
    </row>
    <row r="190" spans="2:83" ht="16.5" customHeight="1">
      <c r="B190" s="34"/>
      <c r="D190" s="329"/>
      <c r="E190" s="336"/>
      <c r="F190" s="345"/>
      <c r="G190" s="347"/>
      <c r="H190" s="682"/>
      <c r="I190" s="682"/>
      <c r="J190" s="682"/>
      <c r="K190" s="682"/>
      <c r="L190" s="682"/>
      <c r="M190" s="682"/>
      <c r="N190" s="682"/>
      <c r="O190" s="682"/>
      <c r="P190" s="682"/>
      <c r="Q190" s="682"/>
      <c r="R190" s="682"/>
      <c r="S190" s="682"/>
      <c r="T190" s="347"/>
      <c r="U190" s="345"/>
      <c r="V190" s="337"/>
      <c r="W190" s="336"/>
      <c r="X190" s="345"/>
      <c r="Y190" s="347"/>
      <c r="Z190" s="682"/>
      <c r="AA190" s="682"/>
      <c r="AB190" s="682"/>
      <c r="AC190" s="682"/>
      <c r="AD190" s="682"/>
      <c r="AE190" s="682"/>
      <c r="AF190" s="682"/>
      <c r="AG190" s="682"/>
      <c r="AH190" s="682"/>
      <c r="AI190" s="682"/>
      <c r="AJ190" s="682"/>
      <c r="AK190" s="682"/>
      <c r="AL190" s="347"/>
      <c r="AM190" s="345"/>
      <c r="AN190" s="337"/>
      <c r="AO190" s="336"/>
      <c r="AP190" s="345"/>
      <c r="AQ190" s="347"/>
      <c r="AR190" s="682"/>
      <c r="AS190" s="682"/>
      <c r="AT190" s="682"/>
      <c r="AU190" s="682"/>
      <c r="AV190" s="682"/>
      <c r="AW190" s="682"/>
      <c r="AX190" s="682"/>
      <c r="AY190" s="682"/>
      <c r="AZ190" s="682"/>
      <c r="BA190" s="682"/>
      <c r="BB190" s="682"/>
      <c r="BC190" s="682"/>
      <c r="BD190" s="347"/>
      <c r="BE190" s="345"/>
      <c r="BF190" s="337"/>
      <c r="BG190" s="37"/>
      <c r="BJ190" s="336"/>
      <c r="BK190" s="342"/>
      <c r="BL190" s="342"/>
      <c r="BM190" s="342"/>
      <c r="BN190" s="342"/>
      <c r="BO190" s="342"/>
      <c r="BP190" s="342"/>
      <c r="BQ190" s="342"/>
      <c r="BR190" s="342"/>
      <c r="BS190" s="342"/>
      <c r="BT190" s="342"/>
      <c r="BU190" s="342"/>
      <c r="BV190" s="342"/>
      <c r="BW190" s="342"/>
      <c r="BX190" s="342"/>
      <c r="BY190" s="342"/>
      <c r="BZ190" s="342"/>
      <c r="CA190" s="342"/>
      <c r="CB190" s="330"/>
      <c r="CC190" s="330"/>
      <c r="CD190" s="330"/>
      <c r="CE190" s="330"/>
    </row>
    <row r="191" spans="2:83" ht="16.5" customHeight="1">
      <c r="B191" s="34"/>
      <c r="D191" s="45"/>
      <c r="E191" s="338"/>
      <c r="F191" s="681"/>
      <c r="G191" s="681"/>
      <c r="H191" s="681"/>
      <c r="I191" s="681"/>
      <c r="J191" s="681"/>
      <c r="K191" s="681"/>
      <c r="L191" s="683"/>
      <c r="M191" s="681"/>
      <c r="N191" s="681"/>
      <c r="O191" s="681"/>
      <c r="P191" s="681"/>
      <c r="Q191" s="681"/>
      <c r="R191" s="681"/>
      <c r="S191" s="681"/>
      <c r="T191" s="681"/>
      <c r="U191" s="681"/>
      <c r="V191" s="339"/>
      <c r="W191" s="338"/>
      <c r="X191" s="681"/>
      <c r="Y191" s="681"/>
      <c r="Z191" s="681"/>
      <c r="AA191" s="681"/>
      <c r="AB191" s="681"/>
      <c r="AC191" s="681"/>
      <c r="AD191" s="683"/>
      <c r="AE191" s="681"/>
      <c r="AF191" s="681"/>
      <c r="AG191" s="681"/>
      <c r="AH191" s="681"/>
      <c r="AI191" s="681"/>
      <c r="AJ191" s="681"/>
      <c r="AK191" s="681"/>
      <c r="AL191" s="681"/>
      <c r="AM191" s="681"/>
      <c r="AN191" s="339"/>
      <c r="AO191" s="338"/>
      <c r="AP191" s="681"/>
      <c r="AQ191" s="681"/>
      <c r="AR191" s="681"/>
      <c r="AS191" s="681"/>
      <c r="AT191" s="681"/>
      <c r="AU191" s="681"/>
      <c r="AV191" s="683"/>
      <c r="AW191" s="681"/>
      <c r="AX191" s="681"/>
      <c r="AY191" s="681"/>
      <c r="AZ191" s="681"/>
      <c r="BA191" s="681"/>
      <c r="BB191" s="681"/>
      <c r="BC191" s="681"/>
      <c r="BD191" s="681"/>
      <c r="BE191" s="681"/>
      <c r="BF191" s="339"/>
      <c r="BG191" s="38"/>
      <c r="BJ191" s="338"/>
      <c r="BK191" s="343"/>
      <c r="BL191" s="343"/>
      <c r="BM191" s="343"/>
      <c r="BN191" s="343"/>
      <c r="BO191" s="343"/>
      <c r="BP191" s="343"/>
      <c r="BQ191" s="343"/>
      <c r="BR191" s="343"/>
      <c r="BS191" s="343"/>
      <c r="BT191" s="343"/>
      <c r="BU191" s="343"/>
      <c r="BV191" s="343"/>
      <c r="BW191" s="343"/>
      <c r="BX191" s="343"/>
      <c r="BY191" s="343"/>
      <c r="BZ191" s="343"/>
      <c r="CA191" s="343"/>
      <c r="CB191" s="330"/>
      <c r="CC191" s="330"/>
      <c r="CD191" s="330"/>
      <c r="CE191" s="330"/>
    </row>
    <row r="192" spans="2:83" ht="16.5" customHeight="1">
      <c r="B192" s="34"/>
      <c r="D192" s="45"/>
      <c r="E192" s="338"/>
      <c r="F192" s="346"/>
      <c r="G192" s="346"/>
      <c r="H192" s="346"/>
      <c r="I192" s="346"/>
      <c r="J192" s="346"/>
      <c r="K192" s="346"/>
      <c r="L192" s="346"/>
      <c r="M192" s="346"/>
      <c r="N192" s="346"/>
      <c r="O192" s="346"/>
      <c r="P192" s="346"/>
      <c r="Q192" s="346"/>
      <c r="R192" s="346"/>
      <c r="S192" s="346"/>
      <c r="T192" s="346"/>
      <c r="U192" s="346"/>
      <c r="V192" s="339"/>
      <c r="W192" s="338"/>
      <c r="X192" s="346"/>
      <c r="Y192" s="346"/>
      <c r="Z192" s="346"/>
      <c r="AA192" s="346"/>
      <c r="AB192" s="346"/>
      <c r="AC192" s="346"/>
      <c r="AD192" s="346"/>
      <c r="AE192" s="346"/>
      <c r="AF192" s="346"/>
      <c r="AG192" s="346"/>
      <c r="AH192" s="346"/>
      <c r="AI192" s="346"/>
      <c r="AJ192" s="346"/>
      <c r="AK192" s="346"/>
      <c r="AL192" s="346"/>
      <c r="AM192" s="346"/>
      <c r="AN192" s="339"/>
      <c r="AO192" s="338"/>
      <c r="AP192" s="346"/>
      <c r="AQ192" s="346"/>
      <c r="AR192" s="346"/>
      <c r="AS192" s="346"/>
      <c r="AT192" s="346"/>
      <c r="AU192" s="346"/>
      <c r="AV192" s="346"/>
      <c r="AW192" s="346"/>
      <c r="AX192" s="346"/>
      <c r="AY192" s="346"/>
      <c r="AZ192" s="346"/>
      <c r="BA192" s="346"/>
      <c r="BB192" s="346"/>
      <c r="BC192" s="346"/>
      <c r="BD192" s="346"/>
      <c r="BE192" s="346"/>
      <c r="BF192" s="339"/>
      <c r="BG192" s="38"/>
      <c r="BJ192" s="338"/>
      <c r="BK192" s="343"/>
      <c r="BL192" s="343"/>
      <c r="BM192" s="343"/>
      <c r="BN192" s="343"/>
      <c r="BO192" s="343"/>
      <c r="BP192" s="343"/>
      <c r="BQ192" s="343"/>
      <c r="BR192" s="343"/>
      <c r="BS192" s="343"/>
      <c r="BT192" s="343"/>
      <c r="BU192" s="343"/>
      <c r="BV192" s="343"/>
      <c r="BW192" s="343"/>
      <c r="BX192" s="343"/>
      <c r="BY192" s="343"/>
      <c r="BZ192" s="343"/>
      <c r="CA192" s="343"/>
      <c r="CB192" s="330"/>
      <c r="CC192" s="330"/>
      <c r="CD192" s="330"/>
      <c r="CE192" s="330"/>
    </row>
    <row r="193" spans="2:83" s="34" customFormat="1" ht="16.5" customHeight="1">
      <c r="D193" s="46"/>
      <c r="E193" s="340"/>
      <c r="F193" s="344"/>
      <c r="G193" s="344"/>
      <c r="H193" s="344"/>
      <c r="I193" s="344"/>
      <c r="J193" s="344"/>
      <c r="K193" s="344"/>
      <c r="L193" s="344"/>
      <c r="M193" s="344"/>
      <c r="N193" s="344"/>
      <c r="O193" s="344"/>
      <c r="P193" s="344"/>
      <c r="Q193" s="344"/>
      <c r="R193" s="344"/>
      <c r="S193" s="344"/>
      <c r="T193" s="344"/>
      <c r="U193" s="344"/>
      <c r="V193" s="341"/>
      <c r="W193" s="340"/>
      <c r="X193" s="344"/>
      <c r="Y193" s="344"/>
      <c r="Z193" s="344"/>
      <c r="AA193" s="344"/>
      <c r="AB193" s="344"/>
      <c r="AC193" s="344"/>
      <c r="AD193" s="344"/>
      <c r="AE193" s="344"/>
      <c r="AF193" s="344"/>
      <c r="AG193" s="344"/>
      <c r="AH193" s="344"/>
      <c r="AI193" s="344"/>
      <c r="AJ193" s="344"/>
      <c r="AK193" s="344"/>
      <c r="AL193" s="344"/>
      <c r="AM193" s="344"/>
      <c r="AN193" s="341"/>
      <c r="AO193" s="340"/>
      <c r="AP193" s="344"/>
      <c r="AQ193" s="344"/>
      <c r="AR193" s="344"/>
      <c r="AS193" s="344"/>
      <c r="AT193" s="344"/>
      <c r="AU193" s="344"/>
      <c r="AV193" s="344"/>
      <c r="AW193" s="344"/>
      <c r="AX193" s="344"/>
      <c r="AY193" s="344"/>
      <c r="AZ193" s="344"/>
      <c r="BA193" s="344"/>
      <c r="BB193" s="344"/>
      <c r="BC193" s="344"/>
      <c r="BD193" s="344"/>
      <c r="BE193" s="344"/>
      <c r="BF193" s="341"/>
      <c r="BG193" s="42"/>
      <c r="BJ193" s="340"/>
      <c r="BK193" s="344"/>
      <c r="BL193" s="344"/>
      <c r="BM193" s="344"/>
      <c r="BN193" s="344"/>
      <c r="BO193" s="344"/>
      <c r="BP193" s="344"/>
      <c r="BQ193" s="344"/>
      <c r="BR193" s="344"/>
      <c r="BS193" s="344"/>
      <c r="BT193" s="344"/>
      <c r="BU193" s="344"/>
      <c r="BV193" s="344"/>
      <c r="BW193" s="344"/>
      <c r="BX193" s="344"/>
      <c r="BY193" s="344"/>
      <c r="BZ193" s="344"/>
      <c r="CA193" s="344"/>
      <c r="CB193" s="331"/>
      <c r="CC193" s="331"/>
      <c r="CD193" s="331"/>
      <c r="CE193" s="331"/>
    </row>
    <row r="194" spans="2:83" ht="16.5" customHeight="1">
      <c r="B194" s="34"/>
      <c r="D194" s="43"/>
      <c r="E194" s="333"/>
      <c r="F194" s="334"/>
      <c r="G194" s="334"/>
      <c r="H194" s="334"/>
      <c r="I194" s="334"/>
      <c r="J194" s="334"/>
      <c r="K194" s="334"/>
      <c r="L194" s="334"/>
      <c r="M194" s="334"/>
      <c r="N194" s="334"/>
      <c r="O194" s="334"/>
      <c r="P194" s="334"/>
      <c r="Q194" s="334"/>
      <c r="R194" s="334"/>
      <c r="S194" s="334"/>
      <c r="T194" s="334"/>
      <c r="U194" s="334"/>
      <c r="V194" s="335"/>
      <c r="W194" s="333"/>
      <c r="X194" s="334"/>
      <c r="Y194" s="334"/>
      <c r="Z194" s="334"/>
      <c r="AA194" s="334"/>
      <c r="AB194" s="334"/>
      <c r="AC194" s="334"/>
      <c r="AD194" s="334"/>
      <c r="AE194" s="334"/>
      <c r="AF194" s="334"/>
      <c r="AG194" s="334"/>
      <c r="AH194" s="334"/>
      <c r="AI194" s="334"/>
      <c r="AJ194" s="334"/>
      <c r="AK194" s="334"/>
      <c r="AL194" s="334"/>
      <c r="AM194" s="334"/>
      <c r="AN194" s="335"/>
      <c r="AO194" s="333"/>
      <c r="AP194" s="334"/>
      <c r="AQ194" s="334"/>
      <c r="AR194" s="334"/>
      <c r="AS194" s="334"/>
      <c r="AT194" s="334"/>
      <c r="AU194" s="334"/>
      <c r="AV194" s="334"/>
      <c r="AW194" s="334"/>
      <c r="AX194" s="334"/>
      <c r="AY194" s="334"/>
      <c r="AZ194" s="334"/>
      <c r="BA194" s="334"/>
      <c r="BB194" s="334"/>
      <c r="BC194" s="334"/>
      <c r="BD194" s="334"/>
      <c r="BE194" s="334"/>
      <c r="BF194" s="335"/>
      <c r="BG194" s="41"/>
      <c r="BJ194" s="333"/>
      <c r="BK194" s="334"/>
      <c r="BL194" s="334"/>
      <c r="BM194" s="334"/>
      <c r="BN194" s="334"/>
      <c r="BO194" s="334"/>
      <c r="BP194" s="334"/>
      <c r="BQ194" s="334"/>
      <c r="BR194" s="334"/>
      <c r="BS194" s="334"/>
      <c r="BT194" s="334"/>
      <c r="BU194" s="334"/>
      <c r="BV194" s="334"/>
      <c r="BW194" s="334"/>
      <c r="BX194" s="334"/>
      <c r="BY194" s="334"/>
      <c r="BZ194" s="334"/>
      <c r="CA194" s="334"/>
      <c r="CB194" s="330"/>
      <c r="CC194" s="330"/>
      <c r="CD194" s="330"/>
      <c r="CE194" s="330"/>
    </row>
    <row r="195" spans="2:83" s="34" customFormat="1" ht="16.5" customHeight="1">
      <c r="D195" s="685"/>
      <c r="E195" s="336"/>
      <c r="F195" s="345"/>
      <c r="G195" s="347"/>
      <c r="H195" s="347"/>
      <c r="I195" s="347"/>
      <c r="J195" s="347"/>
      <c r="K195" s="347"/>
      <c r="L195" s="347"/>
      <c r="M195" s="347"/>
      <c r="N195" s="347"/>
      <c r="O195" s="347"/>
      <c r="P195" s="347"/>
      <c r="Q195" s="347"/>
      <c r="R195" s="347"/>
      <c r="S195" s="347"/>
      <c r="T195" s="347"/>
      <c r="U195" s="345"/>
      <c r="V195" s="337"/>
      <c r="W195" s="336"/>
      <c r="X195" s="345"/>
      <c r="Y195" s="347"/>
      <c r="Z195" s="347"/>
      <c r="AA195" s="347"/>
      <c r="AB195" s="347"/>
      <c r="AC195" s="347"/>
      <c r="AD195" s="347"/>
      <c r="AE195" s="347"/>
      <c r="AF195" s="347"/>
      <c r="AG195" s="347"/>
      <c r="AH195" s="347"/>
      <c r="AI195" s="347"/>
      <c r="AJ195" s="347"/>
      <c r="AK195" s="347"/>
      <c r="AL195" s="347"/>
      <c r="AM195" s="345"/>
      <c r="AN195" s="337"/>
      <c r="AO195" s="336"/>
      <c r="AP195" s="345"/>
      <c r="AQ195" s="347"/>
      <c r="AR195" s="347"/>
      <c r="AS195" s="347"/>
      <c r="AT195" s="347"/>
      <c r="AU195" s="347"/>
      <c r="AV195" s="347"/>
      <c r="AW195" s="347"/>
      <c r="AX195" s="347"/>
      <c r="AY195" s="347"/>
      <c r="AZ195" s="347"/>
      <c r="BA195" s="347"/>
      <c r="BB195" s="347"/>
      <c r="BC195" s="347"/>
      <c r="BD195" s="347"/>
      <c r="BE195" s="345"/>
      <c r="BF195" s="337"/>
      <c r="BG195" s="37"/>
      <c r="BJ195" s="336"/>
      <c r="BK195" s="342"/>
      <c r="BL195" s="342"/>
      <c r="BM195" s="342"/>
      <c r="BN195" s="342"/>
      <c r="BO195" s="342"/>
      <c r="BP195" s="342"/>
      <c r="BQ195" s="342"/>
      <c r="BR195" s="342"/>
      <c r="BS195" s="342"/>
      <c r="BT195" s="342"/>
      <c r="BU195" s="342"/>
      <c r="BV195" s="342"/>
      <c r="BW195" s="342"/>
      <c r="BX195" s="342"/>
      <c r="BY195" s="342"/>
      <c r="BZ195" s="342"/>
      <c r="CA195" s="342"/>
      <c r="CB195" s="331"/>
      <c r="CC195" s="331"/>
      <c r="CD195" s="331"/>
      <c r="CE195" s="331"/>
    </row>
    <row r="196" spans="2:83" s="35" customFormat="1" ht="16.5" customHeight="1">
      <c r="B196" s="34"/>
      <c r="D196" s="685"/>
      <c r="E196" s="336"/>
      <c r="F196" s="345"/>
      <c r="G196" s="347"/>
      <c r="H196" s="682"/>
      <c r="I196" s="682"/>
      <c r="J196" s="682"/>
      <c r="K196" s="682"/>
      <c r="L196" s="682"/>
      <c r="M196" s="682"/>
      <c r="N196" s="682"/>
      <c r="O196" s="682"/>
      <c r="P196" s="682"/>
      <c r="Q196" s="682"/>
      <c r="R196" s="682"/>
      <c r="S196" s="682"/>
      <c r="T196" s="347"/>
      <c r="U196" s="345"/>
      <c r="V196" s="337"/>
      <c r="W196" s="336"/>
      <c r="X196" s="345"/>
      <c r="Y196" s="347"/>
      <c r="Z196" s="682"/>
      <c r="AA196" s="682"/>
      <c r="AB196" s="682"/>
      <c r="AC196" s="682"/>
      <c r="AD196" s="682"/>
      <c r="AE196" s="682"/>
      <c r="AF196" s="682"/>
      <c r="AG196" s="682"/>
      <c r="AH196" s="682"/>
      <c r="AI196" s="682"/>
      <c r="AJ196" s="682"/>
      <c r="AK196" s="682"/>
      <c r="AL196" s="347"/>
      <c r="AM196" s="345"/>
      <c r="AN196" s="337"/>
      <c r="AO196" s="336"/>
      <c r="AP196" s="345"/>
      <c r="AQ196" s="347"/>
      <c r="AR196" s="682"/>
      <c r="AS196" s="682"/>
      <c r="AT196" s="682"/>
      <c r="AU196" s="682"/>
      <c r="AV196" s="682"/>
      <c r="AW196" s="682"/>
      <c r="AX196" s="682"/>
      <c r="AY196" s="682"/>
      <c r="AZ196" s="682"/>
      <c r="BA196" s="682"/>
      <c r="BB196" s="682"/>
      <c r="BC196" s="682"/>
      <c r="BD196" s="347"/>
      <c r="BE196" s="345"/>
      <c r="BF196" s="337"/>
      <c r="BG196" s="37"/>
      <c r="BJ196" s="336"/>
      <c r="BK196" s="342"/>
      <c r="BL196" s="342"/>
      <c r="BM196" s="342"/>
      <c r="BN196" s="342"/>
      <c r="BO196" s="342"/>
      <c r="BP196" s="342"/>
      <c r="BQ196" s="342"/>
      <c r="BR196" s="342"/>
      <c r="BS196" s="342"/>
      <c r="BT196" s="342"/>
      <c r="BU196" s="342"/>
      <c r="BV196" s="342"/>
      <c r="BW196" s="342"/>
      <c r="BX196" s="342"/>
      <c r="BY196" s="342"/>
      <c r="BZ196" s="342"/>
      <c r="CA196" s="342"/>
      <c r="CB196" s="332"/>
      <c r="CC196" s="332"/>
      <c r="CD196" s="332"/>
      <c r="CE196" s="332"/>
    </row>
    <row r="197" spans="2:83" s="35" customFormat="1" ht="16.5" customHeight="1">
      <c r="B197" s="34"/>
      <c r="D197" s="329"/>
      <c r="E197" s="336"/>
      <c r="F197" s="345"/>
      <c r="G197" s="347"/>
      <c r="H197" s="682"/>
      <c r="I197" s="682"/>
      <c r="J197" s="682"/>
      <c r="K197" s="682"/>
      <c r="L197" s="682"/>
      <c r="M197" s="682"/>
      <c r="N197" s="682"/>
      <c r="O197" s="682"/>
      <c r="P197" s="682"/>
      <c r="Q197" s="682"/>
      <c r="R197" s="682"/>
      <c r="S197" s="682"/>
      <c r="T197" s="347"/>
      <c r="U197" s="345"/>
      <c r="V197" s="337"/>
      <c r="W197" s="336"/>
      <c r="X197" s="345"/>
      <c r="Y197" s="347"/>
      <c r="Z197" s="682"/>
      <c r="AA197" s="682"/>
      <c r="AB197" s="682"/>
      <c r="AC197" s="682"/>
      <c r="AD197" s="682"/>
      <c r="AE197" s="682"/>
      <c r="AF197" s="682"/>
      <c r="AG197" s="682"/>
      <c r="AH197" s="682"/>
      <c r="AI197" s="682"/>
      <c r="AJ197" s="682"/>
      <c r="AK197" s="682"/>
      <c r="AL197" s="347"/>
      <c r="AM197" s="345"/>
      <c r="AN197" s="337"/>
      <c r="AO197" s="336"/>
      <c r="AP197" s="345"/>
      <c r="AQ197" s="347"/>
      <c r="AR197" s="682"/>
      <c r="AS197" s="682"/>
      <c r="AT197" s="682"/>
      <c r="AU197" s="682"/>
      <c r="AV197" s="682"/>
      <c r="AW197" s="682"/>
      <c r="AX197" s="682"/>
      <c r="AY197" s="682"/>
      <c r="AZ197" s="682"/>
      <c r="BA197" s="682"/>
      <c r="BB197" s="682"/>
      <c r="BC197" s="682"/>
      <c r="BD197" s="347"/>
      <c r="BE197" s="345"/>
      <c r="BF197" s="337"/>
      <c r="BG197" s="37"/>
      <c r="BJ197" s="336"/>
      <c r="BK197" s="342"/>
      <c r="BL197" s="342"/>
      <c r="BM197" s="342"/>
      <c r="BN197" s="342"/>
      <c r="BO197" s="342"/>
      <c r="BP197" s="342"/>
      <c r="BQ197" s="342"/>
      <c r="BR197" s="342"/>
      <c r="BS197" s="342"/>
      <c r="BT197" s="342"/>
      <c r="BU197" s="342"/>
      <c r="BV197" s="342"/>
      <c r="BW197" s="342"/>
      <c r="BX197" s="342"/>
      <c r="BY197" s="342"/>
      <c r="BZ197" s="342"/>
      <c r="CA197" s="342"/>
      <c r="CB197" s="332"/>
      <c r="CC197" s="332"/>
      <c r="CD197" s="332"/>
      <c r="CE197" s="332"/>
    </row>
    <row r="198" spans="2:83" ht="16.5" customHeight="1">
      <c r="B198" s="34"/>
      <c r="D198" s="329"/>
      <c r="E198" s="336"/>
      <c r="F198" s="345"/>
      <c r="G198" s="347"/>
      <c r="H198" s="682"/>
      <c r="I198" s="682"/>
      <c r="J198" s="682"/>
      <c r="K198" s="682"/>
      <c r="L198" s="682"/>
      <c r="M198" s="682"/>
      <c r="N198" s="682"/>
      <c r="O198" s="682"/>
      <c r="P198" s="682"/>
      <c r="Q198" s="682"/>
      <c r="R198" s="682"/>
      <c r="S198" s="682"/>
      <c r="T198" s="347"/>
      <c r="U198" s="345"/>
      <c r="V198" s="337"/>
      <c r="W198" s="336"/>
      <c r="X198" s="345"/>
      <c r="Y198" s="347"/>
      <c r="Z198" s="682"/>
      <c r="AA198" s="682"/>
      <c r="AB198" s="682"/>
      <c r="AC198" s="682"/>
      <c r="AD198" s="682"/>
      <c r="AE198" s="682"/>
      <c r="AF198" s="682"/>
      <c r="AG198" s="682"/>
      <c r="AH198" s="682"/>
      <c r="AI198" s="682"/>
      <c r="AJ198" s="682"/>
      <c r="AK198" s="682"/>
      <c r="AL198" s="347"/>
      <c r="AM198" s="345"/>
      <c r="AN198" s="337"/>
      <c r="AO198" s="336"/>
      <c r="AP198" s="345"/>
      <c r="AQ198" s="347"/>
      <c r="AR198" s="682"/>
      <c r="AS198" s="682"/>
      <c r="AT198" s="682"/>
      <c r="AU198" s="682"/>
      <c r="AV198" s="682"/>
      <c r="AW198" s="682"/>
      <c r="AX198" s="682"/>
      <c r="AY198" s="682"/>
      <c r="AZ198" s="682"/>
      <c r="BA198" s="682"/>
      <c r="BB198" s="682"/>
      <c r="BC198" s="682"/>
      <c r="BD198" s="347"/>
      <c r="BE198" s="345"/>
      <c r="BF198" s="337"/>
      <c r="BG198" s="37"/>
      <c r="BJ198" s="336"/>
      <c r="BK198" s="342"/>
      <c r="BL198" s="342"/>
      <c r="BM198" s="342"/>
      <c r="BN198" s="342"/>
      <c r="BO198" s="342"/>
      <c r="BP198" s="342"/>
      <c r="BQ198" s="342"/>
      <c r="BR198" s="342"/>
      <c r="BS198" s="342"/>
      <c r="BT198" s="342"/>
      <c r="BU198" s="342"/>
      <c r="BV198" s="342"/>
      <c r="BW198" s="342"/>
      <c r="BX198" s="342"/>
      <c r="BY198" s="342"/>
      <c r="BZ198" s="342"/>
      <c r="CA198" s="342"/>
      <c r="CB198" s="330"/>
      <c r="CC198" s="330"/>
      <c r="CD198" s="330"/>
      <c r="CE198" s="330"/>
    </row>
    <row r="199" spans="2:83" ht="16.5" customHeight="1">
      <c r="B199" s="34"/>
      <c r="D199" s="45"/>
      <c r="E199" s="338"/>
      <c r="F199" s="681"/>
      <c r="G199" s="681"/>
      <c r="H199" s="681"/>
      <c r="I199" s="681"/>
      <c r="J199" s="681"/>
      <c r="K199" s="681"/>
      <c r="L199" s="683"/>
      <c r="M199" s="681"/>
      <c r="N199" s="681"/>
      <c r="O199" s="681"/>
      <c r="P199" s="681"/>
      <c r="Q199" s="681"/>
      <c r="R199" s="681"/>
      <c r="S199" s="681"/>
      <c r="T199" s="681"/>
      <c r="U199" s="681"/>
      <c r="V199" s="339"/>
      <c r="W199" s="338"/>
      <c r="X199" s="681"/>
      <c r="Y199" s="681"/>
      <c r="Z199" s="681"/>
      <c r="AA199" s="681"/>
      <c r="AB199" s="681"/>
      <c r="AC199" s="681"/>
      <c r="AD199" s="683"/>
      <c r="AE199" s="681"/>
      <c r="AF199" s="681"/>
      <c r="AG199" s="681"/>
      <c r="AH199" s="681"/>
      <c r="AI199" s="681"/>
      <c r="AJ199" s="681"/>
      <c r="AK199" s="681"/>
      <c r="AL199" s="681"/>
      <c r="AM199" s="681"/>
      <c r="AN199" s="339"/>
      <c r="AO199" s="338"/>
      <c r="AP199" s="681"/>
      <c r="AQ199" s="681"/>
      <c r="AR199" s="681"/>
      <c r="AS199" s="681"/>
      <c r="AT199" s="681"/>
      <c r="AU199" s="681"/>
      <c r="AV199" s="683"/>
      <c r="AW199" s="681"/>
      <c r="AX199" s="681"/>
      <c r="AY199" s="681"/>
      <c r="AZ199" s="681"/>
      <c r="BA199" s="681"/>
      <c r="BB199" s="681"/>
      <c r="BC199" s="681"/>
      <c r="BD199" s="681"/>
      <c r="BE199" s="681"/>
      <c r="BF199" s="339"/>
      <c r="BG199" s="38"/>
      <c r="BJ199" s="338"/>
      <c r="BK199" s="343"/>
      <c r="BL199" s="343"/>
      <c r="BM199" s="343"/>
      <c r="BN199" s="343"/>
      <c r="BO199" s="343"/>
      <c r="BP199" s="343"/>
      <c r="BQ199" s="343"/>
      <c r="BR199" s="343"/>
      <c r="BS199" s="343"/>
      <c r="BT199" s="343"/>
      <c r="BU199" s="343"/>
      <c r="BV199" s="343"/>
      <c r="BW199" s="343"/>
      <c r="BX199" s="343"/>
      <c r="BY199" s="343"/>
      <c r="BZ199" s="343"/>
      <c r="CA199" s="343"/>
      <c r="CB199" s="330"/>
      <c r="CC199" s="330"/>
      <c r="CD199" s="330"/>
      <c r="CE199" s="330"/>
    </row>
    <row r="200" spans="2:83" ht="16.5" customHeight="1">
      <c r="B200" s="34"/>
      <c r="D200" s="45"/>
      <c r="E200" s="338"/>
      <c r="F200" s="346"/>
      <c r="G200" s="346"/>
      <c r="H200" s="346"/>
      <c r="I200" s="346"/>
      <c r="J200" s="346"/>
      <c r="K200" s="346"/>
      <c r="L200" s="346"/>
      <c r="M200" s="346"/>
      <c r="N200" s="346"/>
      <c r="O200" s="346"/>
      <c r="P200" s="346"/>
      <c r="Q200" s="346"/>
      <c r="R200" s="346"/>
      <c r="S200" s="346"/>
      <c r="T200" s="346"/>
      <c r="U200" s="346"/>
      <c r="V200" s="339"/>
      <c r="W200" s="338"/>
      <c r="X200" s="346"/>
      <c r="Y200" s="346"/>
      <c r="Z200" s="346"/>
      <c r="AA200" s="346"/>
      <c r="AB200" s="346"/>
      <c r="AC200" s="346"/>
      <c r="AD200" s="346"/>
      <c r="AE200" s="346"/>
      <c r="AF200" s="346"/>
      <c r="AG200" s="346"/>
      <c r="AH200" s="346"/>
      <c r="AI200" s="346"/>
      <c r="AJ200" s="346"/>
      <c r="AK200" s="346"/>
      <c r="AL200" s="346"/>
      <c r="AM200" s="346"/>
      <c r="AN200" s="339"/>
      <c r="AO200" s="338"/>
      <c r="AP200" s="346"/>
      <c r="AQ200" s="346"/>
      <c r="AR200" s="346"/>
      <c r="AS200" s="346"/>
      <c r="AT200" s="346"/>
      <c r="AU200" s="346"/>
      <c r="AV200" s="346"/>
      <c r="AW200" s="346"/>
      <c r="AX200" s="346"/>
      <c r="AY200" s="346"/>
      <c r="AZ200" s="346"/>
      <c r="BA200" s="346"/>
      <c r="BB200" s="346"/>
      <c r="BC200" s="346"/>
      <c r="BD200" s="346"/>
      <c r="BE200" s="346"/>
      <c r="BF200" s="339"/>
      <c r="BG200" s="38"/>
      <c r="BJ200" s="338"/>
      <c r="BK200" s="343"/>
      <c r="BL200" s="343"/>
      <c r="BM200" s="343"/>
      <c r="BN200" s="343"/>
      <c r="BO200" s="343"/>
      <c r="BP200" s="343"/>
      <c r="BQ200" s="343"/>
      <c r="BR200" s="343"/>
      <c r="BS200" s="343"/>
      <c r="BT200" s="343"/>
      <c r="BU200" s="343"/>
      <c r="BV200" s="343"/>
      <c r="BW200" s="343"/>
      <c r="BX200" s="343"/>
      <c r="BY200" s="343"/>
      <c r="BZ200" s="343"/>
      <c r="CA200" s="343"/>
      <c r="CB200" s="330"/>
      <c r="CC200" s="330"/>
      <c r="CD200" s="330"/>
      <c r="CE200" s="330"/>
    </row>
    <row r="201" spans="2:83" s="34" customFormat="1" ht="16.5" customHeight="1">
      <c r="D201" s="46"/>
      <c r="E201" s="340"/>
      <c r="F201" s="344"/>
      <c r="G201" s="344"/>
      <c r="H201" s="344"/>
      <c r="I201" s="344"/>
      <c r="J201" s="344"/>
      <c r="K201" s="344"/>
      <c r="L201" s="344"/>
      <c r="M201" s="344"/>
      <c r="N201" s="344"/>
      <c r="O201" s="344"/>
      <c r="P201" s="344"/>
      <c r="Q201" s="344"/>
      <c r="R201" s="344"/>
      <c r="S201" s="344"/>
      <c r="T201" s="344"/>
      <c r="U201" s="344"/>
      <c r="V201" s="341"/>
      <c r="W201" s="340"/>
      <c r="X201" s="344"/>
      <c r="Y201" s="344"/>
      <c r="Z201" s="344"/>
      <c r="AA201" s="344"/>
      <c r="AB201" s="344"/>
      <c r="AC201" s="344"/>
      <c r="AD201" s="344"/>
      <c r="AE201" s="344"/>
      <c r="AF201" s="344"/>
      <c r="AG201" s="344"/>
      <c r="AH201" s="344"/>
      <c r="AI201" s="344"/>
      <c r="AJ201" s="344"/>
      <c r="AK201" s="344"/>
      <c r="AL201" s="344"/>
      <c r="AM201" s="344"/>
      <c r="AN201" s="341"/>
      <c r="AO201" s="340"/>
      <c r="AP201" s="344"/>
      <c r="AQ201" s="344"/>
      <c r="AR201" s="344"/>
      <c r="AS201" s="344"/>
      <c r="AT201" s="344"/>
      <c r="AU201" s="344"/>
      <c r="AV201" s="344"/>
      <c r="AW201" s="344"/>
      <c r="AX201" s="344"/>
      <c r="AY201" s="344"/>
      <c r="AZ201" s="344"/>
      <c r="BA201" s="344"/>
      <c r="BB201" s="344"/>
      <c r="BC201" s="344"/>
      <c r="BD201" s="344"/>
      <c r="BE201" s="344"/>
      <c r="BF201" s="341"/>
      <c r="BG201" s="42"/>
      <c r="BJ201" s="340"/>
      <c r="BK201" s="344"/>
      <c r="BL201" s="344"/>
      <c r="BM201" s="344"/>
      <c r="BN201" s="344"/>
      <c r="BO201" s="344"/>
      <c r="BP201" s="344"/>
      <c r="BQ201" s="344"/>
      <c r="BR201" s="344"/>
      <c r="BS201" s="344"/>
      <c r="BT201" s="344"/>
      <c r="BU201" s="344"/>
      <c r="BV201" s="344"/>
      <c r="BW201" s="344"/>
      <c r="BX201" s="344"/>
      <c r="BY201" s="344"/>
      <c r="BZ201" s="344"/>
      <c r="CA201" s="344"/>
      <c r="CB201" s="331"/>
      <c r="CC201" s="331"/>
      <c r="CD201" s="331"/>
      <c r="CE201" s="331"/>
    </row>
    <row r="202" spans="2:83" ht="16.5" customHeight="1">
      <c r="B202" s="34"/>
      <c r="D202" s="43"/>
      <c r="E202" s="333"/>
      <c r="F202" s="334"/>
      <c r="G202" s="334"/>
      <c r="H202" s="334"/>
      <c r="I202" s="334"/>
      <c r="J202" s="334"/>
      <c r="K202" s="334"/>
      <c r="L202" s="334"/>
      <c r="M202" s="334"/>
      <c r="N202" s="334"/>
      <c r="O202" s="334"/>
      <c r="P202" s="334"/>
      <c r="Q202" s="334"/>
      <c r="R202" s="334"/>
      <c r="S202" s="334"/>
      <c r="T202" s="334"/>
      <c r="U202" s="334"/>
      <c r="V202" s="335"/>
      <c r="W202" s="333"/>
      <c r="X202" s="334"/>
      <c r="Y202" s="334"/>
      <c r="Z202" s="334"/>
      <c r="AA202" s="334"/>
      <c r="AB202" s="334"/>
      <c r="AC202" s="334"/>
      <c r="AD202" s="334"/>
      <c r="AE202" s="334"/>
      <c r="AF202" s="334"/>
      <c r="AG202" s="334"/>
      <c r="AH202" s="334"/>
      <c r="AI202" s="334"/>
      <c r="AJ202" s="334"/>
      <c r="AK202" s="334"/>
      <c r="AL202" s="334"/>
      <c r="AM202" s="334"/>
      <c r="AN202" s="335"/>
      <c r="AO202" s="333"/>
      <c r="AP202" s="334"/>
      <c r="AQ202" s="334"/>
      <c r="AR202" s="334"/>
      <c r="AS202" s="334"/>
      <c r="AT202" s="334"/>
      <c r="AU202" s="334"/>
      <c r="AV202" s="334"/>
      <c r="AW202" s="334"/>
      <c r="AX202" s="334"/>
      <c r="AY202" s="334"/>
      <c r="AZ202" s="334"/>
      <c r="BA202" s="334"/>
      <c r="BB202" s="334"/>
      <c r="BC202" s="334"/>
      <c r="BD202" s="334"/>
      <c r="BE202" s="334"/>
      <c r="BF202" s="335"/>
      <c r="BG202" s="41"/>
      <c r="BJ202" s="333"/>
      <c r="BK202" s="334"/>
      <c r="BL202" s="334"/>
      <c r="BM202" s="334"/>
      <c r="BN202" s="334"/>
      <c r="BO202" s="334"/>
      <c r="BP202" s="334"/>
      <c r="BQ202" s="334"/>
      <c r="BR202" s="334"/>
      <c r="BS202" s="334"/>
      <c r="BT202" s="334"/>
      <c r="BU202" s="334"/>
      <c r="BV202" s="334"/>
      <c r="BW202" s="334"/>
      <c r="BX202" s="334"/>
      <c r="BY202" s="334"/>
      <c r="BZ202" s="334"/>
      <c r="CA202" s="334"/>
      <c r="CB202" s="330"/>
      <c r="CC202" s="330"/>
      <c r="CD202" s="330"/>
      <c r="CE202" s="330"/>
    </row>
    <row r="203" spans="2:83" s="34" customFormat="1" ht="16.5" customHeight="1">
      <c r="D203" s="685"/>
      <c r="E203" s="336"/>
      <c r="F203" s="345"/>
      <c r="G203" s="347"/>
      <c r="H203" s="347"/>
      <c r="I203" s="347"/>
      <c r="J203" s="347"/>
      <c r="K203" s="347"/>
      <c r="L203" s="347"/>
      <c r="M203" s="347"/>
      <c r="N203" s="347"/>
      <c r="O203" s="347"/>
      <c r="P203" s="347"/>
      <c r="Q203" s="347"/>
      <c r="R203" s="347"/>
      <c r="S203" s="347"/>
      <c r="T203" s="347"/>
      <c r="U203" s="345"/>
      <c r="V203" s="337"/>
      <c r="W203" s="336"/>
      <c r="X203" s="345"/>
      <c r="Y203" s="347"/>
      <c r="Z203" s="347"/>
      <c r="AA203" s="347"/>
      <c r="AB203" s="347"/>
      <c r="AC203" s="347"/>
      <c r="AD203" s="347"/>
      <c r="AE203" s="347"/>
      <c r="AF203" s="347"/>
      <c r="AG203" s="347"/>
      <c r="AH203" s="347"/>
      <c r="AI203" s="347"/>
      <c r="AJ203" s="347"/>
      <c r="AK203" s="347"/>
      <c r="AL203" s="347"/>
      <c r="AM203" s="345"/>
      <c r="AN203" s="337"/>
      <c r="AO203" s="336"/>
      <c r="AP203" s="345"/>
      <c r="AQ203" s="347"/>
      <c r="AR203" s="347"/>
      <c r="AS203" s="347"/>
      <c r="AT203" s="347"/>
      <c r="AU203" s="347"/>
      <c r="AV203" s="347"/>
      <c r="AW203" s="347"/>
      <c r="AX203" s="347"/>
      <c r="AY203" s="347"/>
      <c r="AZ203" s="347"/>
      <c r="BA203" s="347"/>
      <c r="BB203" s="347"/>
      <c r="BC203" s="347"/>
      <c r="BD203" s="347"/>
      <c r="BE203" s="345"/>
      <c r="BF203" s="337"/>
      <c r="BG203" s="37"/>
      <c r="BJ203" s="336"/>
      <c r="BK203" s="342"/>
      <c r="BL203" s="342"/>
      <c r="BM203" s="342"/>
      <c r="BN203" s="342"/>
      <c r="BO203" s="342"/>
      <c r="BP203" s="342"/>
      <c r="BQ203" s="342"/>
      <c r="BR203" s="342"/>
      <c r="BS203" s="342"/>
      <c r="BT203" s="342"/>
      <c r="BU203" s="342"/>
      <c r="BV203" s="342"/>
      <c r="BW203" s="342"/>
      <c r="BX203" s="342"/>
      <c r="BY203" s="342"/>
      <c r="BZ203" s="342"/>
      <c r="CA203" s="342"/>
      <c r="CB203" s="331"/>
      <c r="CC203" s="331"/>
      <c r="CD203" s="331"/>
      <c r="CE203" s="331"/>
    </row>
    <row r="204" spans="2:83" s="35" customFormat="1" ht="16.5" customHeight="1">
      <c r="B204" s="34"/>
      <c r="D204" s="685"/>
      <c r="E204" s="336"/>
      <c r="F204" s="345"/>
      <c r="G204" s="347"/>
      <c r="H204" s="682"/>
      <c r="I204" s="682"/>
      <c r="J204" s="682"/>
      <c r="K204" s="682"/>
      <c r="L204" s="682"/>
      <c r="M204" s="682"/>
      <c r="N204" s="682"/>
      <c r="O204" s="682"/>
      <c r="P204" s="682"/>
      <c r="Q204" s="682"/>
      <c r="R204" s="682"/>
      <c r="S204" s="682"/>
      <c r="T204" s="347"/>
      <c r="U204" s="345"/>
      <c r="V204" s="337"/>
      <c r="W204" s="336"/>
      <c r="X204" s="345"/>
      <c r="Y204" s="347"/>
      <c r="Z204" s="682"/>
      <c r="AA204" s="682"/>
      <c r="AB204" s="682"/>
      <c r="AC204" s="682"/>
      <c r="AD204" s="682"/>
      <c r="AE204" s="682"/>
      <c r="AF204" s="682"/>
      <c r="AG204" s="682"/>
      <c r="AH204" s="682"/>
      <c r="AI204" s="682"/>
      <c r="AJ204" s="682"/>
      <c r="AK204" s="682"/>
      <c r="AL204" s="347"/>
      <c r="AM204" s="345"/>
      <c r="AN204" s="337"/>
      <c r="AO204" s="336"/>
      <c r="AP204" s="345"/>
      <c r="AQ204" s="347"/>
      <c r="AR204" s="682"/>
      <c r="AS204" s="682"/>
      <c r="AT204" s="682"/>
      <c r="AU204" s="682"/>
      <c r="AV204" s="682"/>
      <c r="AW204" s="682"/>
      <c r="AX204" s="682"/>
      <c r="AY204" s="682"/>
      <c r="AZ204" s="682"/>
      <c r="BA204" s="682"/>
      <c r="BB204" s="682"/>
      <c r="BC204" s="682"/>
      <c r="BD204" s="347"/>
      <c r="BE204" s="345"/>
      <c r="BF204" s="337"/>
      <c r="BG204" s="37"/>
      <c r="BJ204" s="336"/>
      <c r="BK204" s="342"/>
      <c r="BL204" s="342"/>
      <c r="BM204" s="342"/>
      <c r="BN204" s="342"/>
      <c r="BO204" s="342"/>
      <c r="BP204" s="342"/>
      <c r="BQ204" s="342"/>
      <c r="BR204" s="342"/>
      <c r="BS204" s="342"/>
      <c r="BT204" s="342"/>
      <c r="BU204" s="342"/>
      <c r="BV204" s="342"/>
      <c r="BW204" s="342"/>
      <c r="BX204" s="342"/>
      <c r="BY204" s="342"/>
      <c r="BZ204" s="342"/>
      <c r="CA204" s="342"/>
      <c r="CB204" s="332"/>
      <c r="CC204" s="332"/>
      <c r="CD204" s="332"/>
      <c r="CE204" s="332"/>
    </row>
    <row r="205" spans="2:83" s="35" customFormat="1" ht="16.5" customHeight="1">
      <c r="B205" s="34"/>
      <c r="D205" s="329"/>
      <c r="E205" s="336"/>
      <c r="F205" s="345"/>
      <c r="G205" s="347"/>
      <c r="H205" s="682"/>
      <c r="I205" s="682"/>
      <c r="J205" s="682"/>
      <c r="K205" s="682"/>
      <c r="L205" s="682"/>
      <c r="M205" s="682"/>
      <c r="N205" s="682"/>
      <c r="O205" s="682"/>
      <c r="P205" s="682"/>
      <c r="Q205" s="682"/>
      <c r="R205" s="682"/>
      <c r="S205" s="682"/>
      <c r="T205" s="347"/>
      <c r="U205" s="345"/>
      <c r="V205" s="337"/>
      <c r="W205" s="336"/>
      <c r="X205" s="345"/>
      <c r="Y205" s="347"/>
      <c r="Z205" s="682"/>
      <c r="AA205" s="682"/>
      <c r="AB205" s="682"/>
      <c r="AC205" s="682"/>
      <c r="AD205" s="682"/>
      <c r="AE205" s="682"/>
      <c r="AF205" s="682"/>
      <c r="AG205" s="682"/>
      <c r="AH205" s="682"/>
      <c r="AI205" s="682"/>
      <c r="AJ205" s="682"/>
      <c r="AK205" s="682"/>
      <c r="AL205" s="347"/>
      <c r="AM205" s="345"/>
      <c r="AN205" s="337"/>
      <c r="AO205" s="336"/>
      <c r="AP205" s="345"/>
      <c r="AQ205" s="347"/>
      <c r="AR205" s="682"/>
      <c r="AS205" s="682"/>
      <c r="AT205" s="682"/>
      <c r="AU205" s="682"/>
      <c r="AV205" s="682"/>
      <c r="AW205" s="682"/>
      <c r="AX205" s="682"/>
      <c r="AY205" s="682"/>
      <c r="AZ205" s="682"/>
      <c r="BA205" s="682"/>
      <c r="BB205" s="682"/>
      <c r="BC205" s="682"/>
      <c r="BD205" s="347"/>
      <c r="BE205" s="345"/>
      <c r="BF205" s="337"/>
      <c r="BG205" s="37"/>
      <c r="BJ205" s="336"/>
      <c r="BK205" s="342"/>
      <c r="BL205" s="342"/>
      <c r="BM205" s="342"/>
      <c r="BN205" s="342"/>
      <c r="BO205" s="342"/>
      <c r="BP205" s="342"/>
      <c r="BQ205" s="342"/>
      <c r="BR205" s="342"/>
      <c r="BS205" s="342"/>
      <c r="BT205" s="342"/>
      <c r="BU205" s="342"/>
      <c r="BV205" s="342"/>
      <c r="BW205" s="342"/>
      <c r="BX205" s="342"/>
      <c r="BY205" s="342"/>
      <c r="BZ205" s="342"/>
      <c r="CA205" s="342"/>
      <c r="CB205" s="332"/>
      <c r="CC205" s="332"/>
      <c r="CD205" s="332"/>
      <c r="CE205" s="332"/>
    </row>
    <row r="206" spans="2:83" ht="16.5" customHeight="1">
      <c r="B206" s="34"/>
      <c r="D206" s="329"/>
      <c r="E206" s="336"/>
      <c r="F206" s="345"/>
      <c r="G206" s="347"/>
      <c r="H206" s="682"/>
      <c r="I206" s="682"/>
      <c r="J206" s="682"/>
      <c r="K206" s="682"/>
      <c r="L206" s="682"/>
      <c r="M206" s="682"/>
      <c r="N206" s="682"/>
      <c r="O206" s="682"/>
      <c r="P206" s="682"/>
      <c r="Q206" s="682"/>
      <c r="R206" s="682"/>
      <c r="S206" s="682"/>
      <c r="T206" s="347"/>
      <c r="U206" s="345"/>
      <c r="V206" s="337"/>
      <c r="W206" s="336"/>
      <c r="X206" s="345"/>
      <c r="Y206" s="347"/>
      <c r="Z206" s="682"/>
      <c r="AA206" s="682"/>
      <c r="AB206" s="682"/>
      <c r="AC206" s="682"/>
      <c r="AD206" s="682"/>
      <c r="AE206" s="682"/>
      <c r="AF206" s="682"/>
      <c r="AG206" s="682"/>
      <c r="AH206" s="682"/>
      <c r="AI206" s="682"/>
      <c r="AJ206" s="682"/>
      <c r="AK206" s="682"/>
      <c r="AL206" s="347"/>
      <c r="AM206" s="345"/>
      <c r="AN206" s="337"/>
      <c r="AO206" s="336"/>
      <c r="AP206" s="345"/>
      <c r="AQ206" s="347"/>
      <c r="AR206" s="682"/>
      <c r="AS206" s="682"/>
      <c r="AT206" s="682"/>
      <c r="AU206" s="682"/>
      <c r="AV206" s="682"/>
      <c r="AW206" s="682"/>
      <c r="AX206" s="682"/>
      <c r="AY206" s="682"/>
      <c r="AZ206" s="682"/>
      <c r="BA206" s="682"/>
      <c r="BB206" s="682"/>
      <c r="BC206" s="682"/>
      <c r="BD206" s="347"/>
      <c r="BE206" s="345"/>
      <c r="BF206" s="337"/>
      <c r="BG206" s="37"/>
      <c r="BJ206" s="336"/>
      <c r="BK206" s="342"/>
      <c r="BL206" s="342"/>
      <c r="BM206" s="342"/>
      <c r="BN206" s="342"/>
      <c r="BO206" s="342"/>
      <c r="BP206" s="342"/>
      <c r="BQ206" s="342"/>
      <c r="BR206" s="342"/>
      <c r="BS206" s="342"/>
      <c r="BT206" s="342"/>
      <c r="BU206" s="342"/>
      <c r="BV206" s="342"/>
      <c r="BW206" s="342"/>
      <c r="BX206" s="342"/>
      <c r="BY206" s="342"/>
      <c r="BZ206" s="342"/>
      <c r="CA206" s="342"/>
      <c r="CB206" s="330"/>
      <c r="CC206" s="330"/>
      <c r="CD206" s="330"/>
      <c r="CE206" s="330"/>
    </row>
    <row r="207" spans="2:83" ht="16.5" customHeight="1">
      <c r="B207" s="34"/>
      <c r="D207" s="45"/>
      <c r="E207" s="338"/>
      <c r="F207" s="681"/>
      <c r="G207" s="681"/>
      <c r="H207" s="681"/>
      <c r="I207" s="681"/>
      <c r="J207" s="681"/>
      <c r="K207" s="681"/>
      <c r="L207" s="683"/>
      <c r="M207" s="681"/>
      <c r="N207" s="681"/>
      <c r="O207" s="681"/>
      <c r="P207" s="681"/>
      <c r="Q207" s="681"/>
      <c r="R207" s="681"/>
      <c r="S207" s="681"/>
      <c r="T207" s="681"/>
      <c r="U207" s="681"/>
      <c r="V207" s="339"/>
      <c r="W207" s="338"/>
      <c r="X207" s="681"/>
      <c r="Y207" s="681"/>
      <c r="Z207" s="681"/>
      <c r="AA207" s="681"/>
      <c r="AB207" s="681"/>
      <c r="AC207" s="681"/>
      <c r="AD207" s="683"/>
      <c r="AE207" s="681"/>
      <c r="AF207" s="681"/>
      <c r="AG207" s="681"/>
      <c r="AH207" s="681"/>
      <c r="AI207" s="681"/>
      <c r="AJ207" s="681"/>
      <c r="AK207" s="681"/>
      <c r="AL207" s="681"/>
      <c r="AM207" s="681"/>
      <c r="AN207" s="339"/>
      <c r="AO207" s="338"/>
      <c r="AP207" s="681"/>
      <c r="AQ207" s="681"/>
      <c r="AR207" s="681"/>
      <c r="AS207" s="681"/>
      <c r="AT207" s="681"/>
      <c r="AU207" s="681"/>
      <c r="AV207" s="683"/>
      <c r="AW207" s="681"/>
      <c r="AX207" s="681"/>
      <c r="AY207" s="681"/>
      <c r="AZ207" s="681"/>
      <c r="BA207" s="681"/>
      <c r="BB207" s="681"/>
      <c r="BC207" s="681"/>
      <c r="BD207" s="681"/>
      <c r="BE207" s="681"/>
      <c r="BF207" s="339"/>
      <c r="BG207" s="38"/>
      <c r="BJ207" s="338"/>
      <c r="BK207" s="343"/>
      <c r="BL207" s="343"/>
      <c r="BM207" s="343"/>
      <c r="BN207" s="343"/>
      <c r="BO207" s="343"/>
      <c r="BP207" s="343"/>
      <c r="BQ207" s="343"/>
      <c r="BR207" s="343"/>
      <c r="BS207" s="343"/>
      <c r="BT207" s="343"/>
      <c r="BU207" s="343"/>
      <c r="BV207" s="343"/>
      <c r="BW207" s="343"/>
      <c r="BX207" s="343"/>
      <c r="BY207" s="343"/>
      <c r="BZ207" s="343"/>
      <c r="CA207" s="343"/>
      <c r="CB207" s="330"/>
      <c r="CC207" s="330"/>
      <c r="CD207" s="330"/>
      <c r="CE207" s="330"/>
    </row>
    <row r="208" spans="2:83" ht="16.5" customHeight="1">
      <c r="B208" s="34"/>
      <c r="D208" s="45"/>
      <c r="E208" s="338"/>
      <c r="F208" s="346"/>
      <c r="G208" s="346"/>
      <c r="H208" s="346"/>
      <c r="I208" s="346"/>
      <c r="J208" s="346"/>
      <c r="K208" s="346"/>
      <c r="L208" s="346"/>
      <c r="M208" s="346"/>
      <c r="N208" s="346"/>
      <c r="O208" s="346"/>
      <c r="P208" s="346"/>
      <c r="Q208" s="346"/>
      <c r="R208" s="346"/>
      <c r="S208" s="346"/>
      <c r="T208" s="346"/>
      <c r="U208" s="346"/>
      <c r="V208" s="339"/>
      <c r="W208" s="338"/>
      <c r="X208" s="346"/>
      <c r="Y208" s="346"/>
      <c r="Z208" s="346"/>
      <c r="AA208" s="346"/>
      <c r="AB208" s="346"/>
      <c r="AC208" s="346"/>
      <c r="AD208" s="346"/>
      <c r="AE208" s="346"/>
      <c r="AF208" s="346"/>
      <c r="AG208" s="346"/>
      <c r="AH208" s="346"/>
      <c r="AI208" s="346"/>
      <c r="AJ208" s="346"/>
      <c r="AK208" s="346"/>
      <c r="AL208" s="346"/>
      <c r="AM208" s="346"/>
      <c r="AN208" s="339"/>
      <c r="AO208" s="338"/>
      <c r="AP208" s="346"/>
      <c r="AQ208" s="346"/>
      <c r="AR208" s="346"/>
      <c r="AS208" s="346"/>
      <c r="AT208" s="346"/>
      <c r="AU208" s="346"/>
      <c r="AV208" s="346"/>
      <c r="AW208" s="346"/>
      <c r="AX208" s="346"/>
      <c r="AY208" s="346"/>
      <c r="AZ208" s="346"/>
      <c r="BA208" s="346"/>
      <c r="BB208" s="346"/>
      <c r="BC208" s="346"/>
      <c r="BD208" s="346"/>
      <c r="BE208" s="346"/>
      <c r="BF208" s="339"/>
      <c r="BG208" s="38"/>
      <c r="BJ208" s="338"/>
      <c r="BK208" s="343"/>
      <c r="BL208" s="343"/>
      <c r="BM208" s="343"/>
      <c r="BN208" s="343"/>
      <c r="BO208" s="343"/>
      <c r="BP208" s="343"/>
      <c r="BQ208" s="343"/>
      <c r="BR208" s="343"/>
      <c r="BS208" s="343"/>
      <c r="BT208" s="343"/>
      <c r="BU208" s="343"/>
      <c r="BV208" s="343"/>
      <c r="BW208" s="343"/>
      <c r="BX208" s="343"/>
      <c r="BY208" s="343"/>
      <c r="BZ208" s="343"/>
      <c r="CA208" s="343"/>
      <c r="CB208" s="330"/>
      <c r="CC208" s="330"/>
      <c r="CD208" s="330"/>
      <c r="CE208" s="330"/>
    </row>
    <row r="209" spans="2:83" s="34" customFormat="1" ht="16.5" customHeight="1">
      <c r="D209" s="46"/>
      <c r="E209" s="340"/>
      <c r="F209" s="344"/>
      <c r="G209" s="344"/>
      <c r="H209" s="344"/>
      <c r="I209" s="344"/>
      <c r="J209" s="344"/>
      <c r="K209" s="344"/>
      <c r="L209" s="344"/>
      <c r="M209" s="344"/>
      <c r="N209" s="344"/>
      <c r="O209" s="344"/>
      <c r="P209" s="344"/>
      <c r="Q209" s="344"/>
      <c r="R209" s="344"/>
      <c r="S209" s="344"/>
      <c r="T209" s="344"/>
      <c r="U209" s="344"/>
      <c r="V209" s="341"/>
      <c r="W209" s="340"/>
      <c r="X209" s="344"/>
      <c r="Y209" s="344"/>
      <c r="Z209" s="344"/>
      <c r="AA209" s="344"/>
      <c r="AB209" s="344"/>
      <c r="AC209" s="344"/>
      <c r="AD209" s="344"/>
      <c r="AE209" s="344"/>
      <c r="AF209" s="344"/>
      <c r="AG209" s="344"/>
      <c r="AH209" s="344"/>
      <c r="AI209" s="344"/>
      <c r="AJ209" s="344"/>
      <c r="AK209" s="344"/>
      <c r="AL209" s="344"/>
      <c r="AM209" s="344"/>
      <c r="AN209" s="341"/>
      <c r="AO209" s="340"/>
      <c r="AP209" s="344"/>
      <c r="AQ209" s="344"/>
      <c r="AR209" s="344"/>
      <c r="AS209" s="344"/>
      <c r="AT209" s="344"/>
      <c r="AU209" s="344"/>
      <c r="AV209" s="344"/>
      <c r="AW209" s="344"/>
      <c r="AX209" s="344"/>
      <c r="AY209" s="344"/>
      <c r="AZ209" s="344"/>
      <c r="BA209" s="344"/>
      <c r="BB209" s="344"/>
      <c r="BC209" s="344"/>
      <c r="BD209" s="344"/>
      <c r="BE209" s="344"/>
      <c r="BF209" s="341"/>
      <c r="BG209" s="42"/>
      <c r="BJ209" s="340"/>
      <c r="BK209" s="344"/>
      <c r="BL209" s="344"/>
      <c r="BM209" s="344"/>
      <c r="BN209" s="344"/>
      <c r="BO209" s="344"/>
      <c r="BP209" s="344"/>
      <c r="BQ209" s="344"/>
      <c r="BR209" s="344"/>
      <c r="BS209" s="344"/>
      <c r="BT209" s="344"/>
      <c r="BU209" s="344"/>
      <c r="BV209" s="344"/>
      <c r="BW209" s="344"/>
      <c r="BX209" s="344"/>
      <c r="BY209" s="344"/>
      <c r="BZ209" s="344"/>
      <c r="CA209" s="344"/>
      <c r="CB209" s="331"/>
      <c r="CC209" s="331"/>
      <c r="CD209" s="331"/>
      <c r="CE209" s="331"/>
    </row>
    <row r="210" spans="2:83" ht="16.5" customHeight="1">
      <c r="B210" s="34"/>
      <c r="D210" s="43"/>
      <c r="E210" s="333"/>
      <c r="F210" s="334"/>
      <c r="G210" s="334"/>
      <c r="H210" s="334"/>
      <c r="I210" s="334"/>
      <c r="J210" s="334"/>
      <c r="K210" s="334"/>
      <c r="L210" s="334"/>
      <c r="M210" s="334"/>
      <c r="N210" s="334"/>
      <c r="O210" s="334"/>
      <c r="P210" s="334"/>
      <c r="Q210" s="334"/>
      <c r="R210" s="334"/>
      <c r="S210" s="334"/>
      <c r="T210" s="334"/>
      <c r="U210" s="334"/>
      <c r="V210" s="335"/>
      <c r="W210" s="333"/>
      <c r="X210" s="334"/>
      <c r="Y210" s="334"/>
      <c r="Z210" s="334"/>
      <c r="AA210" s="334"/>
      <c r="AB210" s="334"/>
      <c r="AC210" s="334"/>
      <c r="AD210" s="334"/>
      <c r="AE210" s="334"/>
      <c r="AF210" s="334"/>
      <c r="AG210" s="334"/>
      <c r="AH210" s="334"/>
      <c r="AI210" s="334"/>
      <c r="AJ210" s="334"/>
      <c r="AK210" s="334"/>
      <c r="AL210" s="334"/>
      <c r="AM210" s="334"/>
      <c r="AN210" s="335"/>
      <c r="AO210" s="333"/>
      <c r="AP210" s="334"/>
      <c r="AQ210" s="334"/>
      <c r="AR210" s="334"/>
      <c r="AS210" s="334"/>
      <c r="AT210" s="334"/>
      <c r="AU210" s="334"/>
      <c r="AV210" s="334"/>
      <c r="AW210" s="334"/>
      <c r="AX210" s="334"/>
      <c r="AY210" s="334"/>
      <c r="AZ210" s="334"/>
      <c r="BA210" s="334"/>
      <c r="BB210" s="334"/>
      <c r="BC210" s="334"/>
      <c r="BD210" s="334"/>
      <c r="BE210" s="334"/>
      <c r="BF210" s="335"/>
      <c r="BG210" s="41"/>
      <c r="BJ210" s="333"/>
      <c r="BK210" s="334"/>
      <c r="BL210" s="334"/>
      <c r="BM210" s="334"/>
      <c r="BN210" s="334"/>
      <c r="BO210" s="334"/>
      <c r="BP210" s="334"/>
      <c r="BQ210" s="334"/>
      <c r="BR210" s="334"/>
      <c r="BS210" s="334"/>
      <c r="BT210" s="334"/>
      <c r="BU210" s="334"/>
      <c r="BV210" s="334"/>
      <c r="BW210" s="334"/>
      <c r="BX210" s="334"/>
      <c r="BY210" s="334"/>
      <c r="BZ210" s="334"/>
      <c r="CA210" s="334"/>
      <c r="CB210" s="330"/>
      <c r="CC210" s="330"/>
      <c r="CD210" s="330"/>
      <c r="CE210" s="330"/>
    </row>
    <row r="211" spans="2:83" s="34" customFormat="1" ht="16.5" customHeight="1">
      <c r="D211" s="685"/>
      <c r="E211" s="336"/>
      <c r="F211" s="345"/>
      <c r="G211" s="347"/>
      <c r="H211" s="347"/>
      <c r="I211" s="347"/>
      <c r="J211" s="347"/>
      <c r="K211" s="347"/>
      <c r="L211" s="347"/>
      <c r="M211" s="347"/>
      <c r="N211" s="347"/>
      <c r="O211" s="347"/>
      <c r="P211" s="347"/>
      <c r="Q211" s="347"/>
      <c r="R211" s="347"/>
      <c r="S211" s="347"/>
      <c r="T211" s="347"/>
      <c r="U211" s="345"/>
      <c r="V211" s="337"/>
      <c r="W211" s="336"/>
      <c r="X211" s="345"/>
      <c r="Y211" s="347"/>
      <c r="Z211" s="347"/>
      <c r="AA211" s="347"/>
      <c r="AB211" s="347"/>
      <c r="AC211" s="347"/>
      <c r="AD211" s="347"/>
      <c r="AE211" s="347"/>
      <c r="AF211" s="347"/>
      <c r="AG211" s="347"/>
      <c r="AH211" s="347"/>
      <c r="AI211" s="347"/>
      <c r="AJ211" s="347"/>
      <c r="AK211" s="347"/>
      <c r="AL211" s="347"/>
      <c r="AM211" s="345"/>
      <c r="AN211" s="337"/>
      <c r="AO211" s="336"/>
      <c r="AP211" s="345"/>
      <c r="AQ211" s="347"/>
      <c r="AR211" s="347"/>
      <c r="AS211" s="347"/>
      <c r="AT211" s="347"/>
      <c r="AU211" s="347"/>
      <c r="AV211" s="347"/>
      <c r="AW211" s="347"/>
      <c r="AX211" s="347"/>
      <c r="AY211" s="347"/>
      <c r="AZ211" s="347"/>
      <c r="BA211" s="347"/>
      <c r="BB211" s="347"/>
      <c r="BC211" s="347"/>
      <c r="BD211" s="347"/>
      <c r="BE211" s="345"/>
      <c r="BF211" s="337"/>
      <c r="BG211" s="37"/>
      <c r="BJ211" s="336"/>
      <c r="BK211" s="342"/>
      <c r="BL211" s="342"/>
      <c r="BM211" s="342"/>
      <c r="BN211" s="342"/>
      <c r="BO211" s="342"/>
      <c r="BP211" s="342"/>
      <c r="BQ211" s="342"/>
      <c r="BR211" s="342"/>
      <c r="BS211" s="342"/>
      <c r="BT211" s="342"/>
      <c r="BU211" s="342"/>
      <c r="BV211" s="342"/>
      <c r="BW211" s="342"/>
      <c r="BX211" s="342"/>
      <c r="BY211" s="342"/>
      <c r="BZ211" s="342"/>
      <c r="CA211" s="342"/>
      <c r="CB211" s="331"/>
      <c r="CC211" s="331"/>
      <c r="CD211" s="331"/>
      <c r="CE211" s="331"/>
    </row>
    <row r="212" spans="2:83" s="35" customFormat="1" ht="16.5" customHeight="1">
      <c r="B212" s="34"/>
      <c r="D212" s="685"/>
      <c r="E212" s="336"/>
      <c r="F212" s="345"/>
      <c r="G212" s="347"/>
      <c r="H212" s="682"/>
      <c r="I212" s="682"/>
      <c r="J212" s="682"/>
      <c r="K212" s="682"/>
      <c r="L212" s="682"/>
      <c r="M212" s="682"/>
      <c r="N212" s="682"/>
      <c r="O212" s="682"/>
      <c r="P212" s="682"/>
      <c r="Q212" s="682"/>
      <c r="R212" s="682"/>
      <c r="S212" s="682"/>
      <c r="T212" s="347"/>
      <c r="U212" s="345"/>
      <c r="V212" s="337"/>
      <c r="W212" s="336"/>
      <c r="X212" s="345"/>
      <c r="Y212" s="347"/>
      <c r="Z212" s="682"/>
      <c r="AA212" s="682"/>
      <c r="AB212" s="682"/>
      <c r="AC212" s="682"/>
      <c r="AD212" s="682"/>
      <c r="AE212" s="682"/>
      <c r="AF212" s="682"/>
      <c r="AG212" s="682"/>
      <c r="AH212" s="682"/>
      <c r="AI212" s="682"/>
      <c r="AJ212" s="682"/>
      <c r="AK212" s="682"/>
      <c r="AL212" s="347"/>
      <c r="AM212" s="345"/>
      <c r="AN212" s="337"/>
      <c r="AO212" s="336"/>
      <c r="AP212" s="345"/>
      <c r="AQ212" s="347"/>
      <c r="AR212" s="682"/>
      <c r="AS212" s="682"/>
      <c r="AT212" s="682"/>
      <c r="AU212" s="682"/>
      <c r="AV212" s="682"/>
      <c r="AW212" s="682"/>
      <c r="AX212" s="682"/>
      <c r="AY212" s="682"/>
      <c r="AZ212" s="682"/>
      <c r="BA212" s="682"/>
      <c r="BB212" s="682"/>
      <c r="BC212" s="682"/>
      <c r="BD212" s="347"/>
      <c r="BE212" s="345"/>
      <c r="BF212" s="337"/>
      <c r="BG212" s="37"/>
      <c r="BJ212" s="336"/>
      <c r="BK212" s="342"/>
      <c r="BL212" s="342"/>
      <c r="BM212" s="342"/>
      <c r="BN212" s="342"/>
      <c r="BO212" s="342"/>
      <c r="BP212" s="342"/>
      <c r="BQ212" s="342"/>
      <c r="BR212" s="342"/>
      <c r="BS212" s="342"/>
      <c r="BT212" s="342"/>
      <c r="BU212" s="342"/>
      <c r="BV212" s="342"/>
      <c r="BW212" s="342"/>
      <c r="BX212" s="342"/>
      <c r="BY212" s="342"/>
      <c r="BZ212" s="342"/>
      <c r="CA212" s="342"/>
      <c r="CB212" s="332"/>
      <c r="CC212" s="332"/>
      <c r="CD212" s="332"/>
      <c r="CE212" s="332"/>
    </row>
    <row r="213" spans="2:83" s="35" customFormat="1" ht="16.5" customHeight="1">
      <c r="B213" s="34"/>
      <c r="D213" s="329"/>
      <c r="E213" s="336"/>
      <c r="F213" s="345"/>
      <c r="G213" s="347"/>
      <c r="H213" s="682"/>
      <c r="I213" s="682"/>
      <c r="J213" s="682"/>
      <c r="K213" s="682"/>
      <c r="L213" s="682"/>
      <c r="M213" s="682"/>
      <c r="N213" s="682"/>
      <c r="O213" s="682"/>
      <c r="P213" s="682"/>
      <c r="Q213" s="682"/>
      <c r="R213" s="682"/>
      <c r="S213" s="682"/>
      <c r="T213" s="347"/>
      <c r="U213" s="345"/>
      <c r="V213" s="337"/>
      <c r="W213" s="336"/>
      <c r="X213" s="345"/>
      <c r="Y213" s="347"/>
      <c r="Z213" s="682"/>
      <c r="AA213" s="682"/>
      <c r="AB213" s="682"/>
      <c r="AC213" s="682"/>
      <c r="AD213" s="682"/>
      <c r="AE213" s="682"/>
      <c r="AF213" s="682"/>
      <c r="AG213" s="682"/>
      <c r="AH213" s="682"/>
      <c r="AI213" s="682"/>
      <c r="AJ213" s="682"/>
      <c r="AK213" s="682"/>
      <c r="AL213" s="347"/>
      <c r="AM213" s="345"/>
      <c r="AN213" s="337"/>
      <c r="AO213" s="336"/>
      <c r="AP213" s="345"/>
      <c r="AQ213" s="347"/>
      <c r="AR213" s="682"/>
      <c r="AS213" s="682"/>
      <c r="AT213" s="682"/>
      <c r="AU213" s="682"/>
      <c r="AV213" s="682"/>
      <c r="AW213" s="682"/>
      <c r="AX213" s="682"/>
      <c r="AY213" s="682"/>
      <c r="AZ213" s="682"/>
      <c r="BA213" s="682"/>
      <c r="BB213" s="682"/>
      <c r="BC213" s="682"/>
      <c r="BD213" s="347"/>
      <c r="BE213" s="345"/>
      <c r="BF213" s="337"/>
      <c r="BG213" s="37"/>
      <c r="BJ213" s="336"/>
      <c r="BK213" s="342"/>
      <c r="BL213" s="342"/>
      <c r="BM213" s="342"/>
      <c r="BN213" s="342"/>
      <c r="BO213" s="342"/>
      <c r="BP213" s="342"/>
      <c r="BQ213" s="342"/>
      <c r="BR213" s="342"/>
      <c r="BS213" s="342"/>
      <c r="BT213" s="342"/>
      <c r="BU213" s="342"/>
      <c r="BV213" s="342"/>
      <c r="BW213" s="342"/>
      <c r="BX213" s="342"/>
      <c r="BY213" s="342"/>
      <c r="BZ213" s="342"/>
      <c r="CA213" s="342"/>
      <c r="CB213" s="332"/>
      <c r="CC213" s="332"/>
      <c r="CD213" s="332"/>
      <c r="CE213" s="332"/>
    </row>
    <row r="214" spans="2:83" ht="16.5" customHeight="1">
      <c r="B214" s="34"/>
      <c r="D214" s="329"/>
      <c r="E214" s="336"/>
      <c r="F214" s="345"/>
      <c r="G214" s="347"/>
      <c r="H214" s="682"/>
      <c r="I214" s="682"/>
      <c r="J214" s="682"/>
      <c r="K214" s="682"/>
      <c r="L214" s="682"/>
      <c r="M214" s="682"/>
      <c r="N214" s="682"/>
      <c r="O214" s="682"/>
      <c r="P214" s="682"/>
      <c r="Q214" s="682"/>
      <c r="R214" s="682"/>
      <c r="S214" s="682"/>
      <c r="T214" s="347"/>
      <c r="U214" s="345"/>
      <c r="V214" s="337"/>
      <c r="W214" s="336"/>
      <c r="X214" s="345"/>
      <c r="Y214" s="347"/>
      <c r="Z214" s="682"/>
      <c r="AA214" s="682"/>
      <c r="AB214" s="682"/>
      <c r="AC214" s="682"/>
      <c r="AD214" s="682"/>
      <c r="AE214" s="682"/>
      <c r="AF214" s="682"/>
      <c r="AG214" s="682"/>
      <c r="AH214" s="682"/>
      <c r="AI214" s="682"/>
      <c r="AJ214" s="682"/>
      <c r="AK214" s="682"/>
      <c r="AL214" s="347"/>
      <c r="AM214" s="345"/>
      <c r="AN214" s="337"/>
      <c r="AO214" s="336"/>
      <c r="AP214" s="345"/>
      <c r="AQ214" s="347"/>
      <c r="AR214" s="682"/>
      <c r="AS214" s="682"/>
      <c r="AT214" s="682"/>
      <c r="AU214" s="682"/>
      <c r="AV214" s="682"/>
      <c r="AW214" s="682"/>
      <c r="AX214" s="682"/>
      <c r="AY214" s="682"/>
      <c r="AZ214" s="682"/>
      <c r="BA214" s="682"/>
      <c r="BB214" s="682"/>
      <c r="BC214" s="682"/>
      <c r="BD214" s="347"/>
      <c r="BE214" s="345"/>
      <c r="BF214" s="337"/>
      <c r="BG214" s="37"/>
      <c r="BJ214" s="336"/>
      <c r="BK214" s="342"/>
      <c r="BL214" s="342"/>
      <c r="BM214" s="342"/>
      <c r="BN214" s="342"/>
      <c r="BO214" s="342"/>
      <c r="BP214" s="342"/>
      <c r="BQ214" s="342"/>
      <c r="BR214" s="342"/>
      <c r="BS214" s="342"/>
      <c r="BT214" s="342"/>
      <c r="BU214" s="342"/>
      <c r="BV214" s="342"/>
      <c r="BW214" s="342"/>
      <c r="BX214" s="342"/>
      <c r="BY214" s="342"/>
      <c r="BZ214" s="342"/>
      <c r="CA214" s="342"/>
      <c r="CB214" s="330"/>
      <c r="CC214" s="330"/>
      <c r="CD214" s="330"/>
      <c r="CE214" s="330"/>
    </row>
    <row r="215" spans="2:83" ht="16.5" customHeight="1">
      <c r="B215" s="34"/>
      <c r="D215" s="45"/>
      <c r="E215" s="338"/>
      <c r="F215" s="681"/>
      <c r="G215" s="681"/>
      <c r="H215" s="681"/>
      <c r="I215" s="681"/>
      <c r="J215" s="681"/>
      <c r="K215" s="681"/>
      <c r="L215" s="683"/>
      <c r="M215" s="681"/>
      <c r="N215" s="681"/>
      <c r="O215" s="681"/>
      <c r="P215" s="681"/>
      <c r="Q215" s="681"/>
      <c r="R215" s="681"/>
      <c r="S215" s="681"/>
      <c r="T215" s="681"/>
      <c r="U215" s="681"/>
      <c r="V215" s="339"/>
      <c r="W215" s="338"/>
      <c r="X215" s="681"/>
      <c r="Y215" s="681"/>
      <c r="Z215" s="681"/>
      <c r="AA215" s="681"/>
      <c r="AB215" s="681"/>
      <c r="AC215" s="681"/>
      <c r="AD215" s="683"/>
      <c r="AE215" s="681"/>
      <c r="AF215" s="681"/>
      <c r="AG215" s="681"/>
      <c r="AH215" s="681"/>
      <c r="AI215" s="681"/>
      <c r="AJ215" s="681"/>
      <c r="AK215" s="681"/>
      <c r="AL215" s="681"/>
      <c r="AM215" s="681"/>
      <c r="AN215" s="339"/>
      <c r="AO215" s="338"/>
      <c r="AP215" s="681"/>
      <c r="AQ215" s="681"/>
      <c r="AR215" s="681"/>
      <c r="AS215" s="681"/>
      <c r="AT215" s="681"/>
      <c r="AU215" s="681"/>
      <c r="AV215" s="683"/>
      <c r="AW215" s="681"/>
      <c r="AX215" s="681"/>
      <c r="AY215" s="681"/>
      <c r="AZ215" s="681"/>
      <c r="BA215" s="681"/>
      <c r="BB215" s="681"/>
      <c r="BC215" s="681"/>
      <c r="BD215" s="681"/>
      <c r="BE215" s="681"/>
      <c r="BF215" s="339"/>
      <c r="BG215" s="38"/>
      <c r="BJ215" s="338"/>
      <c r="BK215" s="343"/>
      <c r="BL215" s="343"/>
      <c r="BM215" s="343"/>
      <c r="BN215" s="343"/>
      <c r="BO215" s="343"/>
      <c r="BP215" s="343"/>
      <c r="BQ215" s="343"/>
      <c r="BR215" s="343"/>
      <c r="BS215" s="343"/>
      <c r="BT215" s="343"/>
      <c r="BU215" s="343"/>
      <c r="BV215" s="343"/>
      <c r="BW215" s="343"/>
      <c r="BX215" s="343"/>
      <c r="BY215" s="343"/>
      <c r="BZ215" s="343"/>
      <c r="CA215" s="343"/>
      <c r="CB215" s="330"/>
      <c r="CC215" s="330"/>
      <c r="CD215" s="330"/>
      <c r="CE215" s="330"/>
    </row>
    <row r="216" spans="2:83" ht="16.5" customHeight="1">
      <c r="B216" s="34"/>
      <c r="D216" s="45"/>
      <c r="E216" s="338"/>
      <c r="F216" s="346"/>
      <c r="G216" s="346"/>
      <c r="H216" s="346"/>
      <c r="I216" s="346"/>
      <c r="J216" s="346"/>
      <c r="K216" s="346"/>
      <c r="L216" s="346"/>
      <c r="M216" s="346"/>
      <c r="N216" s="346"/>
      <c r="O216" s="346"/>
      <c r="P216" s="346"/>
      <c r="Q216" s="346"/>
      <c r="R216" s="346"/>
      <c r="S216" s="346"/>
      <c r="T216" s="346"/>
      <c r="U216" s="346"/>
      <c r="V216" s="339"/>
      <c r="W216" s="338"/>
      <c r="X216" s="346"/>
      <c r="Y216" s="346"/>
      <c r="Z216" s="346"/>
      <c r="AA216" s="346"/>
      <c r="AB216" s="346"/>
      <c r="AC216" s="346"/>
      <c r="AD216" s="346"/>
      <c r="AE216" s="346"/>
      <c r="AF216" s="346"/>
      <c r="AG216" s="346"/>
      <c r="AH216" s="346"/>
      <c r="AI216" s="346"/>
      <c r="AJ216" s="346"/>
      <c r="AK216" s="346"/>
      <c r="AL216" s="346"/>
      <c r="AM216" s="346"/>
      <c r="AN216" s="339"/>
      <c r="AO216" s="338"/>
      <c r="AP216" s="346"/>
      <c r="AQ216" s="346"/>
      <c r="AR216" s="346"/>
      <c r="AS216" s="346"/>
      <c r="AT216" s="346"/>
      <c r="AU216" s="346"/>
      <c r="AV216" s="346"/>
      <c r="AW216" s="346"/>
      <c r="AX216" s="346"/>
      <c r="AY216" s="346"/>
      <c r="AZ216" s="346"/>
      <c r="BA216" s="346"/>
      <c r="BB216" s="346"/>
      <c r="BC216" s="346"/>
      <c r="BD216" s="346"/>
      <c r="BE216" s="346"/>
      <c r="BF216" s="339"/>
      <c r="BG216" s="38"/>
      <c r="BJ216" s="338"/>
      <c r="BK216" s="343"/>
      <c r="BL216" s="343"/>
      <c r="BM216" s="343"/>
      <c r="BN216" s="343"/>
      <c r="BO216" s="343"/>
      <c r="BP216" s="343"/>
      <c r="BQ216" s="343"/>
      <c r="BR216" s="343"/>
      <c r="BS216" s="343"/>
      <c r="BT216" s="343"/>
      <c r="BU216" s="343"/>
      <c r="BV216" s="343"/>
      <c r="BW216" s="343"/>
      <c r="BX216" s="343"/>
      <c r="BY216" s="343"/>
      <c r="BZ216" s="343"/>
      <c r="CA216" s="343"/>
      <c r="CB216" s="330"/>
      <c r="CC216" s="330"/>
      <c r="CD216" s="330"/>
      <c r="CE216" s="330"/>
    </row>
    <row r="217" spans="2:83" s="34" customFormat="1" ht="16.5" customHeight="1">
      <c r="D217" s="46"/>
      <c r="E217" s="340"/>
      <c r="F217" s="344"/>
      <c r="G217" s="344"/>
      <c r="H217" s="344"/>
      <c r="I217" s="344"/>
      <c r="J217" s="344"/>
      <c r="K217" s="344"/>
      <c r="L217" s="344"/>
      <c r="M217" s="344"/>
      <c r="N217" s="344"/>
      <c r="O217" s="344"/>
      <c r="P217" s="344"/>
      <c r="Q217" s="344"/>
      <c r="R217" s="344"/>
      <c r="S217" s="344"/>
      <c r="T217" s="344"/>
      <c r="U217" s="344"/>
      <c r="V217" s="341"/>
      <c r="W217" s="340"/>
      <c r="X217" s="344"/>
      <c r="Y217" s="344"/>
      <c r="Z217" s="344"/>
      <c r="AA217" s="344"/>
      <c r="AB217" s="344"/>
      <c r="AC217" s="344"/>
      <c r="AD217" s="344"/>
      <c r="AE217" s="344"/>
      <c r="AF217" s="344"/>
      <c r="AG217" s="344"/>
      <c r="AH217" s="344"/>
      <c r="AI217" s="344"/>
      <c r="AJ217" s="344"/>
      <c r="AK217" s="344"/>
      <c r="AL217" s="344"/>
      <c r="AM217" s="344"/>
      <c r="AN217" s="341"/>
      <c r="AO217" s="340"/>
      <c r="AP217" s="344"/>
      <c r="AQ217" s="344"/>
      <c r="AR217" s="344"/>
      <c r="AS217" s="344"/>
      <c r="AT217" s="344"/>
      <c r="AU217" s="344"/>
      <c r="AV217" s="344"/>
      <c r="AW217" s="344"/>
      <c r="AX217" s="344"/>
      <c r="AY217" s="344"/>
      <c r="AZ217" s="344"/>
      <c r="BA217" s="344"/>
      <c r="BB217" s="344"/>
      <c r="BC217" s="344"/>
      <c r="BD217" s="344"/>
      <c r="BE217" s="344"/>
      <c r="BF217" s="341"/>
      <c r="BG217" s="42"/>
      <c r="BJ217" s="340"/>
      <c r="BK217" s="344"/>
      <c r="BL217" s="344"/>
      <c r="BM217" s="344"/>
      <c r="BN217" s="344"/>
      <c r="BO217" s="344"/>
      <c r="BP217" s="344"/>
      <c r="BQ217" s="344"/>
      <c r="BR217" s="344"/>
      <c r="BS217" s="344"/>
      <c r="BT217" s="344"/>
      <c r="BU217" s="344"/>
      <c r="BV217" s="344"/>
      <c r="BW217" s="344"/>
      <c r="BX217" s="344"/>
      <c r="BY217" s="344"/>
      <c r="BZ217" s="344"/>
      <c r="CA217" s="344"/>
      <c r="CB217" s="331"/>
      <c r="CC217" s="331"/>
      <c r="CD217" s="331"/>
      <c r="CE217" s="331"/>
    </row>
    <row r="218" spans="2:83" ht="16.5" customHeight="1">
      <c r="B218" s="34"/>
      <c r="D218" s="43"/>
      <c r="E218" s="333"/>
      <c r="F218" s="334"/>
      <c r="G218" s="334"/>
      <c r="H218" s="334"/>
      <c r="I218" s="334"/>
      <c r="J218" s="334"/>
      <c r="K218" s="334"/>
      <c r="L218" s="334"/>
      <c r="M218" s="334"/>
      <c r="N218" s="334"/>
      <c r="O218" s="334"/>
      <c r="P218" s="334"/>
      <c r="Q218" s="334"/>
      <c r="R218" s="334"/>
      <c r="S218" s="334"/>
      <c r="T218" s="334"/>
      <c r="U218" s="334"/>
      <c r="V218" s="335"/>
      <c r="W218" s="333"/>
      <c r="X218" s="334"/>
      <c r="Y218" s="334"/>
      <c r="Z218" s="334"/>
      <c r="AA218" s="334"/>
      <c r="AB218" s="334"/>
      <c r="AC218" s="334"/>
      <c r="AD218" s="334"/>
      <c r="AE218" s="334"/>
      <c r="AF218" s="334"/>
      <c r="AG218" s="334"/>
      <c r="AH218" s="334"/>
      <c r="AI218" s="334"/>
      <c r="AJ218" s="334"/>
      <c r="AK218" s="334"/>
      <c r="AL218" s="334"/>
      <c r="AM218" s="334"/>
      <c r="AN218" s="335"/>
      <c r="AO218" s="333"/>
      <c r="AP218" s="334"/>
      <c r="AQ218" s="334"/>
      <c r="AR218" s="334"/>
      <c r="AS218" s="334"/>
      <c r="AT218" s="334"/>
      <c r="AU218" s="334"/>
      <c r="AV218" s="334"/>
      <c r="AW218" s="334"/>
      <c r="AX218" s="334"/>
      <c r="AY218" s="334"/>
      <c r="AZ218" s="334"/>
      <c r="BA218" s="334"/>
      <c r="BB218" s="334"/>
      <c r="BC218" s="334"/>
      <c r="BD218" s="334"/>
      <c r="BE218" s="334"/>
      <c r="BF218" s="335"/>
      <c r="BG218" s="41"/>
      <c r="BJ218" s="333"/>
      <c r="BK218" s="334"/>
      <c r="BL218" s="334"/>
      <c r="BM218" s="334"/>
      <c r="BN218" s="334"/>
      <c r="BO218" s="334"/>
      <c r="BP218" s="334"/>
      <c r="BQ218" s="334"/>
      <c r="BR218" s="334"/>
      <c r="BS218" s="334"/>
      <c r="BT218" s="334"/>
      <c r="BU218" s="334"/>
      <c r="BV218" s="334"/>
      <c r="BW218" s="334"/>
      <c r="BX218" s="334"/>
      <c r="BY218" s="334"/>
      <c r="BZ218" s="334"/>
      <c r="CA218" s="334"/>
      <c r="CB218" s="330"/>
      <c r="CC218" s="330"/>
      <c r="CD218" s="330"/>
      <c r="CE218" s="330"/>
    </row>
    <row r="219" spans="2:83" s="34" customFormat="1" ht="16.5" customHeight="1">
      <c r="D219" s="685"/>
      <c r="E219" s="336"/>
      <c r="F219" s="345"/>
      <c r="G219" s="347"/>
      <c r="H219" s="347"/>
      <c r="I219" s="347"/>
      <c r="J219" s="347"/>
      <c r="K219" s="347"/>
      <c r="L219" s="347"/>
      <c r="M219" s="347"/>
      <c r="N219" s="347"/>
      <c r="O219" s="347"/>
      <c r="P219" s="347"/>
      <c r="Q219" s="347"/>
      <c r="R219" s="347"/>
      <c r="S219" s="347"/>
      <c r="T219" s="347"/>
      <c r="U219" s="345"/>
      <c r="V219" s="337"/>
      <c r="W219" s="336"/>
      <c r="X219" s="345"/>
      <c r="Y219" s="347"/>
      <c r="Z219" s="347"/>
      <c r="AA219" s="347"/>
      <c r="AB219" s="347"/>
      <c r="AC219" s="347"/>
      <c r="AD219" s="347"/>
      <c r="AE219" s="347"/>
      <c r="AF219" s="347"/>
      <c r="AG219" s="347"/>
      <c r="AH219" s="347"/>
      <c r="AI219" s="347"/>
      <c r="AJ219" s="347"/>
      <c r="AK219" s="347"/>
      <c r="AL219" s="347"/>
      <c r="AM219" s="345"/>
      <c r="AN219" s="337"/>
      <c r="AO219" s="336"/>
      <c r="AP219" s="345"/>
      <c r="AQ219" s="347"/>
      <c r="AR219" s="347"/>
      <c r="AS219" s="347"/>
      <c r="AT219" s="347"/>
      <c r="AU219" s="347"/>
      <c r="AV219" s="347"/>
      <c r="AW219" s="347"/>
      <c r="AX219" s="347"/>
      <c r="AY219" s="347"/>
      <c r="AZ219" s="347"/>
      <c r="BA219" s="347"/>
      <c r="BB219" s="347"/>
      <c r="BC219" s="347"/>
      <c r="BD219" s="347"/>
      <c r="BE219" s="345"/>
      <c r="BF219" s="337"/>
      <c r="BG219" s="37"/>
      <c r="BJ219" s="336"/>
      <c r="BK219" s="342"/>
      <c r="BL219" s="342"/>
      <c r="BM219" s="342"/>
      <c r="BN219" s="342"/>
      <c r="BO219" s="342"/>
      <c r="BP219" s="342"/>
      <c r="BQ219" s="342"/>
      <c r="BR219" s="342"/>
      <c r="BS219" s="342"/>
      <c r="BT219" s="342"/>
      <c r="BU219" s="342"/>
      <c r="BV219" s="342"/>
      <c r="BW219" s="342"/>
      <c r="BX219" s="342"/>
      <c r="BY219" s="342"/>
      <c r="BZ219" s="342"/>
      <c r="CA219" s="342"/>
      <c r="CB219" s="331"/>
      <c r="CC219" s="331"/>
      <c r="CD219" s="331"/>
      <c r="CE219" s="331"/>
    </row>
    <row r="220" spans="2:83" s="35" customFormat="1" ht="16.5" customHeight="1">
      <c r="B220" s="34"/>
      <c r="D220" s="685"/>
      <c r="E220" s="336"/>
      <c r="F220" s="345"/>
      <c r="G220" s="347"/>
      <c r="H220" s="682"/>
      <c r="I220" s="682"/>
      <c r="J220" s="682"/>
      <c r="K220" s="682"/>
      <c r="L220" s="682"/>
      <c r="M220" s="682"/>
      <c r="N220" s="682"/>
      <c r="O220" s="682"/>
      <c r="P220" s="682"/>
      <c r="Q220" s="682"/>
      <c r="R220" s="682"/>
      <c r="S220" s="682"/>
      <c r="T220" s="347"/>
      <c r="U220" s="345"/>
      <c r="V220" s="337"/>
      <c r="W220" s="336"/>
      <c r="X220" s="345"/>
      <c r="Y220" s="347"/>
      <c r="Z220" s="682"/>
      <c r="AA220" s="682"/>
      <c r="AB220" s="682"/>
      <c r="AC220" s="682"/>
      <c r="AD220" s="682"/>
      <c r="AE220" s="682"/>
      <c r="AF220" s="682"/>
      <c r="AG220" s="682"/>
      <c r="AH220" s="682"/>
      <c r="AI220" s="682"/>
      <c r="AJ220" s="682"/>
      <c r="AK220" s="682"/>
      <c r="AL220" s="347"/>
      <c r="AM220" s="345"/>
      <c r="AN220" s="337"/>
      <c r="AO220" s="336"/>
      <c r="AP220" s="345"/>
      <c r="AQ220" s="347"/>
      <c r="AR220" s="682"/>
      <c r="AS220" s="682"/>
      <c r="AT220" s="682"/>
      <c r="AU220" s="682"/>
      <c r="AV220" s="682"/>
      <c r="AW220" s="682"/>
      <c r="AX220" s="682"/>
      <c r="AY220" s="682"/>
      <c r="AZ220" s="682"/>
      <c r="BA220" s="682"/>
      <c r="BB220" s="682"/>
      <c r="BC220" s="682"/>
      <c r="BD220" s="347"/>
      <c r="BE220" s="345"/>
      <c r="BF220" s="337"/>
      <c r="BG220" s="37"/>
      <c r="BJ220" s="336"/>
      <c r="BK220" s="342"/>
      <c r="BL220" s="342"/>
      <c r="BM220" s="342"/>
      <c r="BN220" s="342"/>
      <c r="BO220" s="342"/>
      <c r="BP220" s="342"/>
      <c r="BQ220" s="342"/>
      <c r="BR220" s="342"/>
      <c r="BS220" s="342"/>
      <c r="BT220" s="342"/>
      <c r="BU220" s="342"/>
      <c r="BV220" s="342"/>
      <c r="BW220" s="342"/>
      <c r="BX220" s="342"/>
      <c r="BY220" s="342"/>
      <c r="BZ220" s="342"/>
      <c r="CA220" s="342"/>
      <c r="CB220" s="332"/>
      <c r="CC220" s="332"/>
      <c r="CD220" s="332"/>
      <c r="CE220" s="332"/>
    </row>
    <row r="221" spans="2:83" s="35" customFormat="1" ht="16.5" customHeight="1">
      <c r="B221" s="34"/>
      <c r="D221" s="329"/>
      <c r="E221" s="336"/>
      <c r="F221" s="345"/>
      <c r="G221" s="347"/>
      <c r="H221" s="682"/>
      <c r="I221" s="682"/>
      <c r="J221" s="682"/>
      <c r="K221" s="682"/>
      <c r="L221" s="682"/>
      <c r="M221" s="682"/>
      <c r="N221" s="682"/>
      <c r="O221" s="682"/>
      <c r="P221" s="682"/>
      <c r="Q221" s="682"/>
      <c r="R221" s="682"/>
      <c r="S221" s="682"/>
      <c r="T221" s="347"/>
      <c r="U221" s="345"/>
      <c r="V221" s="337"/>
      <c r="W221" s="336"/>
      <c r="X221" s="345"/>
      <c r="Y221" s="347"/>
      <c r="Z221" s="682"/>
      <c r="AA221" s="682"/>
      <c r="AB221" s="682"/>
      <c r="AC221" s="682"/>
      <c r="AD221" s="682"/>
      <c r="AE221" s="682"/>
      <c r="AF221" s="682"/>
      <c r="AG221" s="682"/>
      <c r="AH221" s="682"/>
      <c r="AI221" s="682"/>
      <c r="AJ221" s="682"/>
      <c r="AK221" s="682"/>
      <c r="AL221" s="347"/>
      <c r="AM221" s="345"/>
      <c r="AN221" s="337"/>
      <c r="AO221" s="336"/>
      <c r="AP221" s="345"/>
      <c r="AQ221" s="347"/>
      <c r="AR221" s="682"/>
      <c r="AS221" s="682"/>
      <c r="AT221" s="682"/>
      <c r="AU221" s="682"/>
      <c r="AV221" s="682"/>
      <c r="AW221" s="682"/>
      <c r="AX221" s="682"/>
      <c r="AY221" s="682"/>
      <c r="AZ221" s="682"/>
      <c r="BA221" s="682"/>
      <c r="BB221" s="682"/>
      <c r="BC221" s="682"/>
      <c r="BD221" s="347"/>
      <c r="BE221" s="345"/>
      <c r="BF221" s="337"/>
      <c r="BG221" s="37"/>
      <c r="BJ221" s="336"/>
      <c r="BK221" s="342"/>
      <c r="BL221" s="342"/>
      <c r="BM221" s="342"/>
      <c r="BN221" s="342"/>
      <c r="BO221" s="342"/>
      <c r="BP221" s="342"/>
      <c r="BQ221" s="342"/>
      <c r="BR221" s="342"/>
      <c r="BS221" s="342"/>
      <c r="BT221" s="342"/>
      <c r="BU221" s="342"/>
      <c r="BV221" s="342"/>
      <c r="BW221" s="342"/>
      <c r="BX221" s="342"/>
      <c r="BY221" s="342"/>
      <c r="BZ221" s="342"/>
      <c r="CA221" s="342"/>
      <c r="CB221" s="332"/>
      <c r="CC221" s="332"/>
      <c r="CD221" s="332"/>
      <c r="CE221" s="332"/>
    </row>
    <row r="222" spans="2:83" ht="16.5" customHeight="1">
      <c r="B222" s="34"/>
      <c r="D222" s="329"/>
      <c r="E222" s="336"/>
      <c r="F222" s="345"/>
      <c r="G222" s="347"/>
      <c r="H222" s="682"/>
      <c r="I222" s="682"/>
      <c r="J222" s="682"/>
      <c r="K222" s="682"/>
      <c r="L222" s="682"/>
      <c r="M222" s="682"/>
      <c r="N222" s="682"/>
      <c r="O222" s="682"/>
      <c r="P222" s="682"/>
      <c r="Q222" s="682"/>
      <c r="R222" s="682"/>
      <c r="S222" s="682"/>
      <c r="T222" s="347"/>
      <c r="U222" s="345"/>
      <c r="V222" s="337"/>
      <c r="W222" s="336"/>
      <c r="X222" s="345"/>
      <c r="Y222" s="347"/>
      <c r="Z222" s="682"/>
      <c r="AA222" s="682"/>
      <c r="AB222" s="682"/>
      <c r="AC222" s="682"/>
      <c r="AD222" s="682"/>
      <c r="AE222" s="682"/>
      <c r="AF222" s="682"/>
      <c r="AG222" s="682"/>
      <c r="AH222" s="682"/>
      <c r="AI222" s="682"/>
      <c r="AJ222" s="682"/>
      <c r="AK222" s="682"/>
      <c r="AL222" s="347"/>
      <c r="AM222" s="345"/>
      <c r="AN222" s="337"/>
      <c r="AO222" s="336"/>
      <c r="AP222" s="345"/>
      <c r="AQ222" s="347"/>
      <c r="AR222" s="682"/>
      <c r="AS222" s="682"/>
      <c r="AT222" s="682"/>
      <c r="AU222" s="682"/>
      <c r="AV222" s="682"/>
      <c r="AW222" s="682"/>
      <c r="AX222" s="682"/>
      <c r="AY222" s="682"/>
      <c r="AZ222" s="682"/>
      <c r="BA222" s="682"/>
      <c r="BB222" s="682"/>
      <c r="BC222" s="682"/>
      <c r="BD222" s="347"/>
      <c r="BE222" s="345"/>
      <c r="BF222" s="337"/>
      <c r="BG222" s="37"/>
      <c r="BJ222" s="336"/>
      <c r="BK222" s="342"/>
      <c r="BL222" s="342"/>
      <c r="BM222" s="342"/>
      <c r="BN222" s="342"/>
      <c r="BO222" s="342"/>
      <c r="BP222" s="342"/>
      <c r="BQ222" s="342"/>
      <c r="BR222" s="342"/>
      <c r="BS222" s="342"/>
      <c r="BT222" s="342"/>
      <c r="BU222" s="342"/>
      <c r="BV222" s="342"/>
      <c r="BW222" s="342"/>
      <c r="BX222" s="342"/>
      <c r="BY222" s="342"/>
      <c r="BZ222" s="342"/>
      <c r="CA222" s="342"/>
      <c r="CB222" s="330"/>
      <c r="CC222" s="330"/>
      <c r="CD222" s="330"/>
      <c r="CE222" s="330"/>
    </row>
    <row r="223" spans="2:83" ht="16.5" customHeight="1">
      <c r="B223" s="34"/>
      <c r="D223" s="45"/>
      <c r="E223" s="338"/>
      <c r="F223" s="681"/>
      <c r="G223" s="681"/>
      <c r="H223" s="681"/>
      <c r="I223" s="681"/>
      <c r="J223" s="681"/>
      <c r="K223" s="681"/>
      <c r="L223" s="683"/>
      <c r="M223" s="681"/>
      <c r="N223" s="681"/>
      <c r="O223" s="681"/>
      <c r="P223" s="681"/>
      <c r="Q223" s="681"/>
      <c r="R223" s="681"/>
      <c r="S223" s="681"/>
      <c r="T223" s="681"/>
      <c r="U223" s="681"/>
      <c r="V223" s="339"/>
      <c r="W223" s="338"/>
      <c r="X223" s="681"/>
      <c r="Y223" s="681"/>
      <c r="Z223" s="681"/>
      <c r="AA223" s="681"/>
      <c r="AB223" s="681"/>
      <c r="AC223" s="681"/>
      <c r="AD223" s="683"/>
      <c r="AE223" s="681"/>
      <c r="AF223" s="681"/>
      <c r="AG223" s="681"/>
      <c r="AH223" s="681"/>
      <c r="AI223" s="681"/>
      <c r="AJ223" s="681"/>
      <c r="AK223" s="681"/>
      <c r="AL223" s="681"/>
      <c r="AM223" s="681"/>
      <c r="AN223" s="339"/>
      <c r="AO223" s="338"/>
      <c r="AP223" s="681"/>
      <c r="AQ223" s="681"/>
      <c r="AR223" s="681"/>
      <c r="AS223" s="681"/>
      <c r="AT223" s="681"/>
      <c r="AU223" s="681"/>
      <c r="AV223" s="683"/>
      <c r="AW223" s="681"/>
      <c r="AX223" s="681"/>
      <c r="AY223" s="681"/>
      <c r="AZ223" s="681"/>
      <c r="BA223" s="681"/>
      <c r="BB223" s="681"/>
      <c r="BC223" s="681"/>
      <c r="BD223" s="681"/>
      <c r="BE223" s="681"/>
      <c r="BF223" s="339"/>
      <c r="BG223" s="38"/>
      <c r="BJ223" s="338"/>
      <c r="BK223" s="343"/>
      <c r="BL223" s="343"/>
      <c r="BM223" s="343"/>
      <c r="BN223" s="343"/>
      <c r="BO223" s="343"/>
      <c r="BP223" s="343"/>
      <c r="BQ223" s="343"/>
      <c r="BR223" s="343"/>
      <c r="BS223" s="343"/>
      <c r="BT223" s="343"/>
      <c r="BU223" s="343"/>
      <c r="BV223" s="343"/>
      <c r="BW223" s="343"/>
      <c r="BX223" s="343"/>
      <c r="BY223" s="343"/>
      <c r="BZ223" s="343"/>
      <c r="CA223" s="343"/>
      <c r="CB223" s="330"/>
      <c r="CC223" s="330"/>
      <c r="CD223" s="330"/>
      <c r="CE223" s="330"/>
    </row>
    <row r="224" spans="2:83" ht="16.5" customHeight="1">
      <c r="B224" s="34"/>
      <c r="D224" s="45"/>
      <c r="E224" s="338"/>
      <c r="F224" s="346"/>
      <c r="G224" s="346"/>
      <c r="H224" s="346"/>
      <c r="I224" s="346"/>
      <c r="J224" s="346"/>
      <c r="K224" s="346"/>
      <c r="L224" s="346"/>
      <c r="M224" s="346"/>
      <c r="N224" s="346"/>
      <c r="O224" s="346"/>
      <c r="P224" s="346"/>
      <c r="Q224" s="346"/>
      <c r="R224" s="346"/>
      <c r="S224" s="346"/>
      <c r="T224" s="346"/>
      <c r="U224" s="346"/>
      <c r="V224" s="339"/>
      <c r="W224" s="338"/>
      <c r="X224" s="346"/>
      <c r="Y224" s="346"/>
      <c r="Z224" s="346"/>
      <c r="AA224" s="346"/>
      <c r="AB224" s="346"/>
      <c r="AC224" s="346"/>
      <c r="AD224" s="346"/>
      <c r="AE224" s="346"/>
      <c r="AF224" s="346"/>
      <c r="AG224" s="346"/>
      <c r="AH224" s="346"/>
      <c r="AI224" s="346"/>
      <c r="AJ224" s="346"/>
      <c r="AK224" s="346"/>
      <c r="AL224" s="346"/>
      <c r="AM224" s="346"/>
      <c r="AN224" s="339"/>
      <c r="AO224" s="338"/>
      <c r="AP224" s="346"/>
      <c r="AQ224" s="346"/>
      <c r="AR224" s="346"/>
      <c r="AS224" s="346"/>
      <c r="AT224" s="346"/>
      <c r="AU224" s="346"/>
      <c r="AV224" s="346"/>
      <c r="AW224" s="346"/>
      <c r="AX224" s="346"/>
      <c r="AY224" s="346"/>
      <c r="AZ224" s="346"/>
      <c r="BA224" s="346"/>
      <c r="BB224" s="346"/>
      <c r="BC224" s="346"/>
      <c r="BD224" s="346"/>
      <c r="BE224" s="346"/>
      <c r="BF224" s="339"/>
      <c r="BG224" s="38"/>
      <c r="BJ224" s="338"/>
      <c r="BK224" s="343"/>
      <c r="BL224" s="343"/>
      <c r="BM224" s="343"/>
      <c r="BN224" s="343"/>
      <c r="BO224" s="343"/>
      <c r="BP224" s="343"/>
      <c r="BQ224" s="343"/>
      <c r="BR224" s="343"/>
      <c r="BS224" s="343"/>
      <c r="BT224" s="343"/>
      <c r="BU224" s="343"/>
      <c r="BV224" s="343"/>
      <c r="BW224" s="343"/>
      <c r="BX224" s="343"/>
      <c r="BY224" s="343"/>
      <c r="BZ224" s="343"/>
      <c r="CA224" s="343"/>
      <c r="CB224" s="330"/>
      <c r="CC224" s="330"/>
      <c r="CD224" s="330"/>
      <c r="CE224" s="330"/>
    </row>
    <row r="225" spans="4:83" s="34" customFormat="1" ht="16.5" customHeight="1">
      <c r="D225" s="46"/>
      <c r="E225" s="340"/>
      <c r="F225" s="344"/>
      <c r="G225" s="344"/>
      <c r="H225" s="344"/>
      <c r="I225" s="344"/>
      <c r="J225" s="344"/>
      <c r="K225" s="344"/>
      <c r="L225" s="344"/>
      <c r="M225" s="344"/>
      <c r="N225" s="344"/>
      <c r="O225" s="344"/>
      <c r="P225" s="344"/>
      <c r="Q225" s="344"/>
      <c r="R225" s="344"/>
      <c r="S225" s="344"/>
      <c r="T225" s="344"/>
      <c r="U225" s="344"/>
      <c r="V225" s="341"/>
      <c r="W225" s="340"/>
      <c r="X225" s="344"/>
      <c r="Y225" s="344"/>
      <c r="Z225" s="344"/>
      <c r="AA225" s="344"/>
      <c r="AB225" s="344"/>
      <c r="AC225" s="344"/>
      <c r="AD225" s="344"/>
      <c r="AE225" s="344"/>
      <c r="AF225" s="344"/>
      <c r="AG225" s="344"/>
      <c r="AH225" s="344"/>
      <c r="AI225" s="344"/>
      <c r="AJ225" s="344"/>
      <c r="AK225" s="344"/>
      <c r="AL225" s="344"/>
      <c r="AM225" s="344"/>
      <c r="AN225" s="341"/>
      <c r="AO225" s="340"/>
      <c r="AP225" s="344"/>
      <c r="AQ225" s="344"/>
      <c r="AR225" s="344"/>
      <c r="AS225" s="344"/>
      <c r="AT225" s="344"/>
      <c r="AU225" s="344"/>
      <c r="AV225" s="344"/>
      <c r="AW225" s="344"/>
      <c r="AX225" s="344"/>
      <c r="AY225" s="344"/>
      <c r="AZ225" s="344"/>
      <c r="BA225" s="344"/>
      <c r="BB225" s="344"/>
      <c r="BC225" s="344"/>
      <c r="BD225" s="344"/>
      <c r="BE225" s="344"/>
      <c r="BF225" s="341"/>
      <c r="BG225" s="42"/>
      <c r="BJ225" s="340"/>
      <c r="BK225" s="344"/>
      <c r="BL225" s="344"/>
      <c r="BM225" s="344"/>
      <c r="BN225" s="344"/>
      <c r="BO225" s="344"/>
      <c r="BP225" s="344"/>
      <c r="BQ225" s="344"/>
      <c r="BR225" s="344"/>
      <c r="BS225" s="344"/>
      <c r="BT225" s="344"/>
      <c r="BU225" s="344"/>
      <c r="BV225" s="344"/>
      <c r="BW225" s="344"/>
      <c r="BX225" s="344"/>
      <c r="BY225" s="344"/>
      <c r="BZ225" s="344"/>
      <c r="CA225" s="344"/>
      <c r="CB225" s="331"/>
      <c r="CC225" s="331"/>
      <c r="CD225" s="331"/>
      <c r="CE225" s="331"/>
    </row>
  </sheetData>
  <mergeCells count="392">
    <mergeCell ref="H124:S126"/>
    <mergeCell ref="F111:K111"/>
    <mergeCell ref="L111:O111"/>
    <mergeCell ref="P111:U111"/>
    <mergeCell ref="X111:AC111"/>
    <mergeCell ref="AD111:AG111"/>
    <mergeCell ref="AH111:AM111"/>
    <mergeCell ref="Z124:AK126"/>
    <mergeCell ref="AR124:BC126"/>
    <mergeCell ref="F119:K119"/>
    <mergeCell ref="L119:O119"/>
    <mergeCell ref="P119:U119"/>
    <mergeCell ref="X119:AC119"/>
    <mergeCell ref="AD119:AG119"/>
    <mergeCell ref="AH119:AM119"/>
    <mergeCell ref="AP119:AU119"/>
    <mergeCell ref="AV119:AY119"/>
    <mergeCell ref="AZ119:BE119"/>
    <mergeCell ref="AZ111:BE111"/>
    <mergeCell ref="H116:S118"/>
    <mergeCell ref="Z116:AK118"/>
    <mergeCell ref="AR116:BC118"/>
    <mergeCell ref="D219:D220"/>
    <mergeCell ref="D203:D204"/>
    <mergeCell ref="D211:D212"/>
    <mergeCell ref="D195:D196"/>
    <mergeCell ref="AP111:AU111"/>
    <mergeCell ref="H188:S190"/>
    <mergeCell ref="Z188:AK190"/>
    <mergeCell ref="AR188:BC190"/>
    <mergeCell ref="F183:K183"/>
    <mergeCell ref="L183:O183"/>
    <mergeCell ref="P183:U183"/>
    <mergeCell ref="X183:AC183"/>
    <mergeCell ref="AZ135:BE135"/>
    <mergeCell ref="F127:K127"/>
    <mergeCell ref="L127:O127"/>
    <mergeCell ref="P127:U127"/>
    <mergeCell ref="X127:AC127"/>
    <mergeCell ref="AD127:AG127"/>
    <mergeCell ref="AH127:AM127"/>
    <mergeCell ref="AP127:AU127"/>
    <mergeCell ref="AV127:AY127"/>
    <mergeCell ref="AV111:AY111"/>
    <mergeCell ref="F151:K151"/>
    <mergeCell ref="L151:O151"/>
    <mergeCell ref="D147:D148"/>
    <mergeCell ref="F135:K135"/>
    <mergeCell ref="L135:O135"/>
    <mergeCell ref="P135:U135"/>
    <mergeCell ref="X135:AC135"/>
    <mergeCell ref="AD135:AG135"/>
    <mergeCell ref="AH135:AM135"/>
    <mergeCell ref="AP135:AU135"/>
    <mergeCell ref="AV135:AY135"/>
    <mergeCell ref="H148:S150"/>
    <mergeCell ref="Z148:AK150"/>
    <mergeCell ref="AR148:BC150"/>
    <mergeCell ref="F143:K143"/>
    <mergeCell ref="L143:O143"/>
    <mergeCell ref="P143:U143"/>
    <mergeCell ref="X143:AC143"/>
    <mergeCell ref="AD143:AG143"/>
    <mergeCell ref="AH143:AM143"/>
    <mergeCell ref="AP143:AU143"/>
    <mergeCell ref="AV143:AY143"/>
    <mergeCell ref="H140:S142"/>
    <mergeCell ref="Z140:AK142"/>
    <mergeCell ref="AR140:BC142"/>
    <mergeCell ref="AZ143:BE143"/>
    <mergeCell ref="D83:D84"/>
    <mergeCell ref="D67:D68"/>
    <mergeCell ref="AP71:AU71"/>
    <mergeCell ref="AV71:AY71"/>
    <mergeCell ref="H92:S94"/>
    <mergeCell ref="Z92:AK94"/>
    <mergeCell ref="AR92:BC94"/>
    <mergeCell ref="H100:S102"/>
    <mergeCell ref="Z100:AK102"/>
    <mergeCell ref="AR100:BC102"/>
    <mergeCell ref="F95:K95"/>
    <mergeCell ref="L95:O95"/>
    <mergeCell ref="P95:U95"/>
    <mergeCell ref="X95:AC95"/>
    <mergeCell ref="D99:D100"/>
    <mergeCell ref="F87:K87"/>
    <mergeCell ref="L87:O87"/>
    <mergeCell ref="P87:U87"/>
    <mergeCell ref="X87:AC87"/>
    <mergeCell ref="AD87:AG87"/>
    <mergeCell ref="AH87:AM87"/>
    <mergeCell ref="AP87:AU87"/>
    <mergeCell ref="AV87:AY87"/>
    <mergeCell ref="X71:AC71"/>
    <mergeCell ref="D43:D44"/>
    <mergeCell ref="D51:D52"/>
    <mergeCell ref="D35:D36"/>
    <mergeCell ref="D75:D76"/>
    <mergeCell ref="D59:D60"/>
    <mergeCell ref="F63:K63"/>
    <mergeCell ref="L63:O63"/>
    <mergeCell ref="D187:D188"/>
    <mergeCell ref="D179:D180"/>
    <mergeCell ref="D163:D164"/>
    <mergeCell ref="D155:D156"/>
    <mergeCell ref="D139:D140"/>
    <mergeCell ref="D131:D132"/>
    <mergeCell ref="D115:D116"/>
    <mergeCell ref="D107:D108"/>
    <mergeCell ref="D91:D92"/>
    <mergeCell ref="D123:D124"/>
    <mergeCell ref="D171:D172"/>
    <mergeCell ref="H36:S38"/>
    <mergeCell ref="H44:S46"/>
    <mergeCell ref="H52:S54"/>
    <mergeCell ref="F55:K55"/>
    <mergeCell ref="L55:O55"/>
    <mergeCell ref="P55:U55"/>
    <mergeCell ref="L7:O7"/>
    <mergeCell ref="F7:K7"/>
    <mergeCell ref="P7:U7"/>
    <mergeCell ref="X7:AC7"/>
    <mergeCell ref="AD7:AG7"/>
    <mergeCell ref="AH7:AM7"/>
    <mergeCell ref="H4:S6"/>
    <mergeCell ref="Z4:AK6"/>
    <mergeCell ref="D27:D28"/>
    <mergeCell ref="D3:D5"/>
    <mergeCell ref="D11:D12"/>
    <mergeCell ref="D19:D20"/>
    <mergeCell ref="H12:S14"/>
    <mergeCell ref="Z12:AK14"/>
    <mergeCell ref="H20:S22"/>
    <mergeCell ref="Z20:AK22"/>
    <mergeCell ref="AP7:AU7"/>
    <mergeCell ref="AV7:AY7"/>
    <mergeCell ref="AZ7:BE7"/>
    <mergeCell ref="BK7:BP7"/>
    <mergeCell ref="BQ7:BT7"/>
    <mergeCell ref="BU7:BZ7"/>
    <mergeCell ref="BK11:BZ14"/>
    <mergeCell ref="AR4:BC6"/>
    <mergeCell ref="BM4:BX6"/>
    <mergeCell ref="AR12:BC14"/>
    <mergeCell ref="BQ47:BT47"/>
    <mergeCell ref="BU47:BZ47"/>
    <mergeCell ref="BK51:BZ54"/>
    <mergeCell ref="BK15:BP15"/>
    <mergeCell ref="BQ15:BT15"/>
    <mergeCell ref="BU15:BZ15"/>
    <mergeCell ref="BK19:BZ22"/>
    <mergeCell ref="BK23:BP23"/>
    <mergeCell ref="BQ23:BT23"/>
    <mergeCell ref="BU23:BZ23"/>
    <mergeCell ref="BK27:BZ30"/>
    <mergeCell ref="BK31:BP31"/>
    <mergeCell ref="BQ31:BT31"/>
    <mergeCell ref="BU31:BZ31"/>
    <mergeCell ref="BK55:BP55"/>
    <mergeCell ref="BQ55:BT55"/>
    <mergeCell ref="BU55:BZ55"/>
    <mergeCell ref="F15:K15"/>
    <mergeCell ref="L15:O15"/>
    <mergeCell ref="P15:U15"/>
    <mergeCell ref="X15:AC15"/>
    <mergeCell ref="AD15:AG15"/>
    <mergeCell ref="AH15:AM15"/>
    <mergeCell ref="AP15:AU15"/>
    <mergeCell ref="AV15:AY15"/>
    <mergeCell ref="AZ15:BE15"/>
    <mergeCell ref="F23:K23"/>
    <mergeCell ref="L23:O23"/>
    <mergeCell ref="P23:U23"/>
    <mergeCell ref="X23:AC23"/>
    <mergeCell ref="AD23:AG23"/>
    <mergeCell ref="AH23:AM23"/>
    <mergeCell ref="BK35:BZ38"/>
    <mergeCell ref="BK39:BP39"/>
    <mergeCell ref="BQ39:BT39"/>
    <mergeCell ref="BU39:BZ39"/>
    <mergeCell ref="BK43:BZ46"/>
    <mergeCell ref="BK47:BP47"/>
    <mergeCell ref="F31:K31"/>
    <mergeCell ref="L31:O31"/>
    <mergeCell ref="P31:U31"/>
    <mergeCell ref="X31:AC31"/>
    <mergeCell ref="AD31:AG31"/>
    <mergeCell ref="AH31:AM31"/>
    <mergeCell ref="AP31:AU31"/>
    <mergeCell ref="AV31:AY31"/>
    <mergeCell ref="AZ31:BE31"/>
    <mergeCell ref="AH39:AM39"/>
    <mergeCell ref="AP39:AU39"/>
    <mergeCell ref="AV39:AY39"/>
    <mergeCell ref="AZ39:BE39"/>
    <mergeCell ref="Z36:AK38"/>
    <mergeCell ref="AR36:BC38"/>
    <mergeCell ref="AP23:AU23"/>
    <mergeCell ref="AV23:AY23"/>
    <mergeCell ref="AZ23:BE23"/>
    <mergeCell ref="F47:K47"/>
    <mergeCell ref="L47:O47"/>
    <mergeCell ref="P47:U47"/>
    <mergeCell ref="X47:AC47"/>
    <mergeCell ref="AD47:AG47"/>
    <mergeCell ref="AH47:AM47"/>
    <mergeCell ref="AP47:AU47"/>
    <mergeCell ref="AV47:AY47"/>
    <mergeCell ref="AZ47:BE47"/>
    <mergeCell ref="H172:S174"/>
    <mergeCell ref="Z172:AK174"/>
    <mergeCell ref="AR172:BC174"/>
    <mergeCell ref="AP159:AU159"/>
    <mergeCell ref="AV159:AY159"/>
    <mergeCell ref="AD71:AG71"/>
    <mergeCell ref="AH71:AM71"/>
    <mergeCell ref="Z52:AK54"/>
    <mergeCell ref="AR52:BC54"/>
    <mergeCell ref="AV63:AY63"/>
    <mergeCell ref="AZ71:BE71"/>
    <mergeCell ref="P63:U63"/>
    <mergeCell ref="X63:AC63"/>
    <mergeCell ref="AD63:AG63"/>
    <mergeCell ref="AH63:AM63"/>
    <mergeCell ref="AP63:AU63"/>
    <mergeCell ref="AZ127:BE127"/>
    <mergeCell ref="H132:S134"/>
    <mergeCell ref="Z132:AK134"/>
    <mergeCell ref="AR132:BC134"/>
    <mergeCell ref="X159:AC159"/>
    <mergeCell ref="AD159:AG159"/>
    <mergeCell ref="AH159:AM159"/>
    <mergeCell ref="P151:U151"/>
    <mergeCell ref="H180:S182"/>
    <mergeCell ref="Z180:AK182"/>
    <mergeCell ref="AR180:BC182"/>
    <mergeCell ref="F175:K175"/>
    <mergeCell ref="L175:O175"/>
    <mergeCell ref="P175:U175"/>
    <mergeCell ref="X175:AC175"/>
    <mergeCell ref="AD175:AG175"/>
    <mergeCell ref="AH175:AM175"/>
    <mergeCell ref="AP175:AU175"/>
    <mergeCell ref="AV175:AY175"/>
    <mergeCell ref="AZ175:BE175"/>
    <mergeCell ref="AD183:AG183"/>
    <mergeCell ref="AH183:AM183"/>
    <mergeCell ref="AP183:AU183"/>
    <mergeCell ref="AV183:AY183"/>
    <mergeCell ref="AZ183:BE183"/>
    <mergeCell ref="H196:S198"/>
    <mergeCell ref="Z196:AK198"/>
    <mergeCell ref="AR196:BC198"/>
    <mergeCell ref="F191:K191"/>
    <mergeCell ref="L191:O191"/>
    <mergeCell ref="P191:U191"/>
    <mergeCell ref="X191:AC191"/>
    <mergeCell ref="AD191:AG191"/>
    <mergeCell ref="AH191:AM191"/>
    <mergeCell ref="AP191:AU191"/>
    <mergeCell ref="AV191:AY191"/>
    <mergeCell ref="AZ191:BE191"/>
    <mergeCell ref="H204:S206"/>
    <mergeCell ref="Z204:AK206"/>
    <mergeCell ref="AR204:BC206"/>
    <mergeCell ref="F199:K199"/>
    <mergeCell ref="L199:O199"/>
    <mergeCell ref="P199:U199"/>
    <mergeCell ref="X199:AC199"/>
    <mergeCell ref="AD199:AG199"/>
    <mergeCell ref="AH199:AM199"/>
    <mergeCell ref="AP199:AU199"/>
    <mergeCell ref="AV199:AY199"/>
    <mergeCell ref="AZ199:BE199"/>
    <mergeCell ref="H212:S214"/>
    <mergeCell ref="Z212:AK214"/>
    <mergeCell ref="AR212:BC214"/>
    <mergeCell ref="F207:K207"/>
    <mergeCell ref="L207:O207"/>
    <mergeCell ref="P207:U207"/>
    <mergeCell ref="X207:AC207"/>
    <mergeCell ref="AD207:AG207"/>
    <mergeCell ref="AH207:AM207"/>
    <mergeCell ref="AP207:AU207"/>
    <mergeCell ref="AV207:AY207"/>
    <mergeCell ref="AZ207:BE207"/>
    <mergeCell ref="H220:S222"/>
    <mergeCell ref="Z220:AK222"/>
    <mergeCell ref="AR220:BC222"/>
    <mergeCell ref="F215:K215"/>
    <mergeCell ref="L215:O215"/>
    <mergeCell ref="P215:U215"/>
    <mergeCell ref="X215:AC215"/>
    <mergeCell ref="AD215:AG215"/>
    <mergeCell ref="AH215:AM215"/>
    <mergeCell ref="AP215:AU215"/>
    <mergeCell ref="AV215:AY215"/>
    <mergeCell ref="AZ215:BE215"/>
    <mergeCell ref="F223:K223"/>
    <mergeCell ref="L223:O223"/>
    <mergeCell ref="P223:U223"/>
    <mergeCell ref="X223:AC223"/>
    <mergeCell ref="AD223:AG223"/>
    <mergeCell ref="AH223:AM223"/>
    <mergeCell ref="AP223:AU223"/>
    <mergeCell ref="AV223:AY223"/>
    <mergeCell ref="AZ223:BE223"/>
    <mergeCell ref="AR20:BC22"/>
    <mergeCell ref="H28:S30"/>
    <mergeCell ref="Z28:AK30"/>
    <mergeCell ref="AR28:BC30"/>
    <mergeCell ref="H60:S62"/>
    <mergeCell ref="Z60:AK62"/>
    <mergeCell ref="AR60:BC62"/>
    <mergeCell ref="H68:S70"/>
    <mergeCell ref="Z68:AK70"/>
    <mergeCell ref="AR68:BC70"/>
    <mergeCell ref="AZ63:BE63"/>
    <mergeCell ref="X55:AC55"/>
    <mergeCell ref="AD55:AG55"/>
    <mergeCell ref="AH55:AM55"/>
    <mergeCell ref="AP55:AU55"/>
    <mergeCell ref="AV55:AY55"/>
    <mergeCell ref="AZ55:BE55"/>
    <mergeCell ref="Z44:AK46"/>
    <mergeCell ref="AR44:BC46"/>
    <mergeCell ref="F39:K39"/>
    <mergeCell ref="L39:O39"/>
    <mergeCell ref="P39:U39"/>
    <mergeCell ref="X39:AC39"/>
    <mergeCell ref="AD39:AG39"/>
    <mergeCell ref="H76:S78"/>
    <mergeCell ref="Z76:AK78"/>
    <mergeCell ref="AR76:BC78"/>
    <mergeCell ref="F71:K71"/>
    <mergeCell ref="L71:O71"/>
    <mergeCell ref="P71:U71"/>
    <mergeCell ref="AD95:AG95"/>
    <mergeCell ref="AH95:AM95"/>
    <mergeCell ref="AP95:AU95"/>
    <mergeCell ref="AV95:AY95"/>
    <mergeCell ref="AZ95:BE95"/>
    <mergeCell ref="AZ87:BE87"/>
    <mergeCell ref="H84:S86"/>
    <mergeCell ref="Z84:AK86"/>
    <mergeCell ref="AR84:BC86"/>
    <mergeCell ref="F79:K79"/>
    <mergeCell ref="L79:O79"/>
    <mergeCell ref="P79:U79"/>
    <mergeCell ref="X79:AC79"/>
    <mergeCell ref="AD79:AG79"/>
    <mergeCell ref="AH79:AM79"/>
    <mergeCell ref="AP79:AU79"/>
    <mergeCell ref="AV79:AY79"/>
    <mergeCell ref="AZ79:BE79"/>
    <mergeCell ref="H108:S110"/>
    <mergeCell ref="Z108:AK110"/>
    <mergeCell ref="AR108:BC110"/>
    <mergeCell ref="F103:K103"/>
    <mergeCell ref="L103:O103"/>
    <mergeCell ref="P103:U103"/>
    <mergeCell ref="X103:AC103"/>
    <mergeCell ref="AD103:AG103"/>
    <mergeCell ref="AH103:AM103"/>
    <mergeCell ref="AP103:AU103"/>
    <mergeCell ref="AV103:AY103"/>
    <mergeCell ref="AZ103:BE103"/>
    <mergeCell ref="F167:K167"/>
    <mergeCell ref="L167:O167"/>
    <mergeCell ref="P167:U167"/>
    <mergeCell ref="X167:AC167"/>
    <mergeCell ref="AD167:AG167"/>
    <mergeCell ref="AH167:AM167"/>
    <mergeCell ref="AP167:AU167"/>
    <mergeCell ref="AV167:AY167"/>
    <mergeCell ref="AZ167:BE167"/>
    <mergeCell ref="AZ151:BE151"/>
    <mergeCell ref="H156:S158"/>
    <mergeCell ref="Z156:AK158"/>
    <mergeCell ref="AR156:BC158"/>
    <mergeCell ref="H164:S166"/>
    <mergeCell ref="Z164:AK166"/>
    <mergeCell ref="AR164:BC166"/>
    <mergeCell ref="X151:AC151"/>
    <mergeCell ref="AD151:AG151"/>
    <mergeCell ref="AH151:AM151"/>
    <mergeCell ref="AZ159:BE159"/>
    <mergeCell ref="F159:K159"/>
    <mergeCell ref="L159:O159"/>
    <mergeCell ref="P159:U159"/>
    <mergeCell ref="AP151:AU151"/>
    <mergeCell ref="AV151:AY151"/>
  </mergeCells>
  <phoneticPr fontId="22" type="noConversion"/>
  <pageMargins left="0.23622047244094491" right="0.23622047244094491" top="0.74803149606299213" bottom="0.74803149606299213" header="0.31496062992125984" footer="0.31496062992125984"/>
  <pageSetup paperSize="9" scale="59" fitToHeight="0" orientation="portrait" r:id="rId1"/>
  <headerFooter>
    <oddHeader xml:space="preserve">&amp;CPetites étiquettes </oddHeader>
    <oddFooter>&amp;L&amp;D&amp;C&amp;F&amp;RPage &amp;P de &amp;N</oddFooter>
  </headerFooter>
  <rowBreaks count="4" manualBreakCount="4">
    <brk id="57" max="16383" man="1"/>
    <brk id="113" max="16383" man="1"/>
    <brk id="169" max="16383" man="1"/>
    <brk id="22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2" r:id="rId4" name="Button 2">
              <controlPr defaultSize="0" print="0" autoFill="0" autoPict="0" macro="[0]!btnRecopierStyle1ereEtiquette">
                <anchor moveWithCells="1" sizeWithCells="1">
                  <from>
                    <xdr:col>1</xdr:col>
                    <xdr:colOff>19050</xdr:colOff>
                    <xdr:row>7</xdr:row>
                    <xdr:rowOff>171450</xdr:rowOff>
                  </from>
                  <to>
                    <xdr:col>2</xdr:col>
                    <xdr:colOff>31750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5" name="Button 3">
              <controlPr defaultSize="0" print="0" autoFill="0" autoPict="0" macro="[0]!btnRecopierModeleEtiquette">
                <anchor moveWithCells="1" sizeWithCells="1">
                  <from>
                    <xdr:col>81</xdr:col>
                    <xdr:colOff>133350</xdr:colOff>
                    <xdr:row>1</xdr:row>
                    <xdr:rowOff>184150</xdr:rowOff>
                  </from>
                  <to>
                    <xdr:col>84</xdr:col>
                    <xdr:colOff>266700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6" name="Button 4">
              <controlPr defaultSize="0" print="0" autoFill="0" autoPict="0" macro="[0]!btnImprimerPDFEtiquettesPetites">
                <anchor moveWithCells="1" sizeWithCells="1">
                  <from>
                    <xdr:col>0</xdr:col>
                    <xdr:colOff>222250</xdr:colOff>
                    <xdr:row>3</xdr:row>
                    <xdr:rowOff>203200</xdr:rowOff>
                  </from>
                  <to>
                    <xdr:col>2</xdr:col>
                    <xdr:colOff>12700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7" name="Button 5">
              <controlPr defaultSize="0" print="0" autoFill="0" autoPict="0" macro="[0]!btnEtiquetteMAJProduits">
                <anchor moveWithCells="1" sizeWithCells="1">
                  <from>
                    <xdr:col>1</xdr:col>
                    <xdr:colOff>12700</xdr:colOff>
                    <xdr:row>1</xdr:row>
                    <xdr:rowOff>0</xdr:rowOff>
                  </from>
                  <to>
                    <xdr:col>2</xdr:col>
                    <xdr:colOff>19050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S13"/>
  <sheetViews>
    <sheetView zoomScale="85" zoomScaleNormal="85" workbookViewId="0">
      <pane ySplit="1" topLeftCell="A2" activePane="bottomLeft" state="frozen"/>
      <selection pane="bottomLeft" activeCell="I3" sqref="I3"/>
    </sheetView>
  </sheetViews>
  <sheetFormatPr baseColWidth="10" defaultRowHeight="14.5"/>
  <cols>
    <col min="1" max="1" width="10.7265625" bestFit="1" customWidth="1"/>
    <col min="2" max="2" width="13.7265625" bestFit="1" customWidth="1"/>
    <col min="3" max="3" width="15.7265625" bestFit="1" customWidth="1"/>
    <col min="4" max="4" width="21.1796875" customWidth="1"/>
    <col min="5" max="5" width="6.1796875" bestFit="1" customWidth="1"/>
    <col min="6" max="6" width="10" bestFit="1" customWidth="1"/>
    <col min="7" max="7" width="13.7265625" bestFit="1" customWidth="1"/>
    <col min="8" max="9" width="21.1796875" customWidth="1"/>
    <col min="10" max="10" width="16.453125" style="10" bestFit="1" customWidth="1"/>
    <col min="11" max="11" width="7.1796875" bestFit="1" customWidth="1"/>
    <col min="12" max="12" width="15.7265625" style="10" bestFit="1" customWidth="1"/>
    <col min="13" max="13" width="15.1796875" bestFit="1" customWidth="1"/>
    <col min="14" max="14" width="16.7265625" bestFit="1" customWidth="1"/>
    <col min="15" max="15" width="17.453125" bestFit="1" customWidth="1"/>
    <col min="16" max="16" width="17.453125" style="10" bestFit="1" customWidth="1"/>
    <col min="17" max="17" width="13.7265625" customWidth="1"/>
    <col min="18" max="18" width="15.453125" style="10" customWidth="1"/>
    <col min="19" max="19" width="26" customWidth="1"/>
  </cols>
  <sheetData>
    <row r="1" spans="1:19" s="122" customFormat="1">
      <c r="A1" s="130" t="s">
        <v>332</v>
      </c>
      <c r="B1" s="122" t="s">
        <v>174</v>
      </c>
      <c r="C1" s="122" t="s">
        <v>321</v>
      </c>
      <c r="D1" s="122" t="s">
        <v>322</v>
      </c>
      <c r="E1" s="122" t="s">
        <v>323</v>
      </c>
      <c r="F1" s="122" t="s">
        <v>324</v>
      </c>
      <c r="G1" s="122" t="s">
        <v>175</v>
      </c>
      <c r="H1" s="122" t="s">
        <v>277</v>
      </c>
      <c r="I1" s="122" t="s">
        <v>95</v>
      </c>
      <c r="J1" s="131" t="s">
        <v>369</v>
      </c>
      <c r="K1" s="122" t="s">
        <v>370</v>
      </c>
      <c r="L1" s="131" t="s">
        <v>371</v>
      </c>
      <c r="M1" s="122" t="s">
        <v>331</v>
      </c>
      <c r="N1" s="122" t="s">
        <v>176</v>
      </c>
      <c r="O1" s="122" t="s">
        <v>376</v>
      </c>
      <c r="P1" s="131" t="s">
        <v>377</v>
      </c>
      <c r="Q1" s="122" t="s">
        <v>375</v>
      </c>
      <c r="R1" s="131" t="s">
        <v>374</v>
      </c>
      <c r="S1" s="122" t="s">
        <v>334</v>
      </c>
    </row>
    <row r="2" spans="1:19">
      <c r="A2" s="3">
        <v>42317</v>
      </c>
      <c r="B2" t="s">
        <v>173</v>
      </c>
      <c r="C2" t="s">
        <v>160</v>
      </c>
      <c r="E2">
        <v>92150</v>
      </c>
      <c r="F2" t="s">
        <v>161</v>
      </c>
      <c r="G2" t="s">
        <v>162</v>
      </c>
      <c r="I2" s="140" t="s">
        <v>493</v>
      </c>
      <c r="J2" s="10">
        <v>6.15</v>
      </c>
      <c r="M2" t="s">
        <v>373</v>
      </c>
    </row>
    <row r="3" spans="1:19">
      <c r="A3" s="3">
        <v>42317</v>
      </c>
      <c r="B3" t="s">
        <v>177</v>
      </c>
      <c r="C3" t="s">
        <v>160</v>
      </c>
      <c r="E3">
        <v>92150</v>
      </c>
      <c r="F3" t="s">
        <v>161</v>
      </c>
      <c r="G3" t="s">
        <v>162</v>
      </c>
      <c r="J3" s="10">
        <v>19.45</v>
      </c>
      <c r="M3" t="s">
        <v>373</v>
      </c>
    </row>
    <row r="4" spans="1:19">
      <c r="A4" s="3">
        <v>42317</v>
      </c>
      <c r="B4" t="s">
        <v>178</v>
      </c>
      <c r="C4" t="s">
        <v>160</v>
      </c>
      <c r="E4">
        <v>92150</v>
      </c>
      <c r="F4" t="s">
        <v>161</v>
      </c>
      <c r="G4" t="s">
        <v>162</v>
      </c>
      <c r="J4" s="10">
        <v>25.45</v>
      </c>
      <c r="M4" t="s">
        <v>373</v>
      </c>
    </row>
    <row r="5" spans="1:19">
      <c r="A5" s="3"/>
    </row>
    <row r="6" spans="1:19">
      <c r="A6" s="3"/>
      <c r="M6" s="3"/>
    </row>
    <row r="7" spans="1:19">
      <c r="A7" s="3"/>
    </row>
    <row r="8" spans="1:19">
      <c r="A8" s="3"/>
    </row>
    <row r="9" spans="1:19">
      <c r="A9" s="3"/>
    </row>
    <row r="10" spans="1:19">
      <c r="A10" s="3"/>
    </row>
    <row r="11" spans="1:19">
      <c r="A11" s="3"/>
    </row>
    <row r="12" spans="1:19">
      <c r="A12" s="3"/>
    </row>
    <row r="13" spans="1:19">
      <c r="A13" s="3"/>
    </row>
  </sheetData>
  <autoFilter ref="A1:S19"/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E1"/>
  <sheetViews>
    <sheetView workbookViewId="0">
      <pane ySplit="1" topLeftCell="A2" activePane="bottomLeft" state="frozen"/>
      <selection pane="bottomLeft" sqref="A1:IV1"/>
    </sheetView>
  </sheetViews>
  <sheetFormatPr baseColWidth="10" defaultRowHeight="14.5"/>
  <cols>
    <col min="1" max="1" width="17.453125" customWidth="1"/>
    <col min="2" max="2" width="18.7265625" customWidth="1"/>
    <col min="3" max="3" width="22.453125" customWidth="1"/>
    <col min="4" max="4" width="20" customWidth="1"/>
    <col min="5" max="5" width="21.26953125" customWidth="1"/>
  </cols>
  <sheetData>
    <row r="1" spans="1:5" s="122" customFormat="1">
      <c r="A1" s="122" t="s">
        <v>332</v>
      </c>
      <c r="B1" s="122" t="s">
        <v>345</v>
      </c>
      <c r="C1" s="122" t="s">
        <v>346</v>
      </c>
      <c r="D1" s="122" t="s">
        <v>321</v>
      </c>
      <c r="E1" s="122" t="s">
        <v>334</v>
      </c>
    </row>
  </sheetData>
  <autoFilter ref="A1:E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F1"/>
  <sheetViews>
    <sheetView workbookViewId="0">
      <pane ySplit="1" topLeftCell="A2" activePane="bottomLeft" state="frozen"/>
      <selection pane="bottomLeft" sqref="A1:IV1"/>
    </sheetView>
  </sheetViews>
  <sheetFormatPr baseColWidth="10" defaultRowHeight="14.5"/>
  <cols>
    <col min="1" max="1" width="16.1796875" customWidth="1"/>
    <col min="2" max="3" width="16" customWidth="1"/>
    <col min="5" max="5" width="14.453125" customWidth="1"/>
  </cols>
  <sheetData>
    <row r="1" spans="1:6" s="122" customFormat="1">
      <c r="A1" s="122" t="s">
        <v>347</v>
      </c>
      <c r="B1" s="122" t="s">
        <v>348</v>
      </c>
      <c r="C1" s="122" t="s">
        <v>349</v>
      </c>
      <c r="D1" s="122" t="s">
        <v>321</v>
      </c>
      <c r="E1" s="122" t="s">
        <v>331</v>
      </c>
      <c r="F1" s="122" t="s">
        <v>334</v>
      </c>
    </row>
  </sheetData>
  <autoFilter ref="A1:F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2"/>
  <dimension ref="A1:D10"/>
  <sheetViews>
    <sheetView zoomScale="85" zoomScaleNormal="85" workbookViewId="0">
      <pane ySplit="1" topLeftCell="A2" activePane="bottomLeft" state="frozen"/>
      <selection pane="bottomLeft"/>
    </sheetView>
  </sheetViews>
  <sheetFormatPr baseColWidth="10" defaultRowHeight="14.5"/>
  <cols>
    <col min="1" max="1" width="36.453125" bestFit="1" customWidth="1"/>
    <col min="2" max="2" width="46.26953125" customWidth="1"/>
    <col min="3" max="4" width="53.453125" customWidth="1"/>
    <col min="5" max="5" width="26.26953125" customWidth="1"/>
  </cols>
  <sheetData>
    <row r="1" spans="1:4" s="121" customFormat="1">
      <c r="A1" s="121" t="s">
        <v>321</v>
      </c>
      <c r="B1" s="121" t="s">
        <v>98</v>
      </c>
      <c r="C1" s="121" t="s">
        <v>337</v>
      </c>
      <c r="D1" s="121" t="s">
        <v>108</v>
      </c>
    </row>
    <row r="2" spans="1:4">
      <c r="A2" t="s">
        <v>101</v>
      </c>
      <c r="B2" t="s">
        <v>159</v>
      </c>
      <c r="C2" t="s">
        <v>106</v>
      </c>
      <c r="D2" t="s">
        <v>159</v>
      </c>
    </row>
    <row r="3" spans="1:4">
      <c r="A3" t="s">
        <v>99</v>
      </c>
      <c r="B3" t="s">
        <v>151</v>
      </c>
      <c r="C3" t="s">
        <v>107</v>
      </c>
      <c r="D3" t="s">
        <v>151</v>
      </c>
    </row>
    <row r="4" spans="1:4">
      <c r="A4" t="s">
        <v>102</v>
      </c>
      <c r="B4" t="s">
        <v>179</v>
      </c>
      <c r="C4" t="s">
        <v>104</v>
      </c>
      <c r="D4" t="s">
        <v>179</v>
      </c>
    </row>
    <row r="5" spans="1:4">
      <c r="A5" t="s">
        <v>100</v>
      </c>
      <c r="B5" t="s">
        <v>152</v>
      </c>
      <c r="C5" t="s">
        <v>105</v>
      </c>
      <c r="D5" t="s">
        <v>152</v>
      </c>
    </row>
    <row r="6" spans="1:4">
      <c r="A6" t="s">
        <v>103</v>
      </c>
      <c r="B6" t="s">
        <v>95</v>
      </c>
      <c r="C6" t="s">
        <v>109</v>
      </c>
      <c r="D6" t="s">
        <v>95</v>
      </c>
    </row>
    <row r="7" spans="1:4">
      <c r="A7" t="s">
        <v>84</v>
      </c>
      <c r="B7" t="s">
        <v>85</v>
      </c>
      <c r="C7" t="s">
        <v>37</v>
      </c>
    </row>
    <row r="8" spans="1:4">
      <c r="A8" t="s">
        <v>426</v>
      </c>
      <c r="B8" t="s">
        <v>428</v>
      </c>
      <c r="C8" t="s">
        <v>427</v>
      </c>
      <c r="D8" t="s">
        <v>428</v>
      </c>
    </row>
    <row r="9" spans="1:4">
      <c r="A9" t="s">
        <v>430</v>
      </c>
      <c r="B9" t="s">
        <v>431</v>
      </c>
      <c r="C9" t="s">
        <v>432</v>
      </c>
      <c r="D9" t="s">
        <v>431</v>
      </c>
    </row>
    <row r="10" spans="1:4">
      <c r="A10" t="s">
        <v>442</v>
      </c>
      <c r="B10" t="s">
        <v>443</v>
      </c>
      <c r="C10" t="s">
        <v>444</v>
      </c>
      <c r="D10" t="s">
        <v>443</v>
      </c>
    </row>
  </sheetData>
  <autoFilter ref="A1:D1"/>
  <pageMargins left="0.7" right="0.7" top="0.75" bottom="0.75" header="0.3" footer="0.3"/>
  <pageSetup paperSize="9" orientation="portrait" verticalDpi="0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G1"/>
  <sheetViews>
    <sheetView workbookViewId="0">
      <pane ySplit="1" topLeftCell="A2" activePane="bottomLeft" state="frozen"/>
      <selection pane="bottomLeft" sqref="A1:IV1"/>
    </sheetView>
  </sheetViews>
  <sheetFormatPr baseColWidth="10" defaultRowHeight="14.5"/>
  <cols>
    <col min="2" max="2" width="14.26953125" customWidth="1"/>
    <col min="3" max="3" width="15.453125" customWidth="1"/>
    <col min="4" max="4" width="15.81640625" customWidth="1"/>
    <col min="6" max="6" width="14.26953125" customWidth="1"/>
  </cols>
  <sheetData>
    <row r="1" spans="1:7" s="122" customFormat="1">
      <c r="A1" s="122" t="s">
        <v>327</v>
      </c>
      <c r="B1" s="122" t="s">
        <v>339</v>
      </c>
      <c r="C1" s="122" t="s">
        <v>330</v>
      </c>
      <c r="D1" s="122" t="s">
        <v>332</v>
      </c>
      <c r="E1" s="122" t="s">
        <v>340</v>
      </c>
      <c r="F1" s="122" t="s">
        <v>342</v>
      </c>
      <c r="G1" s="122" t="s">
        <v>341</v>
      </c>
    </row>
  </sheetData>
  <autoFilter ref="A1:G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D1"/>
  <sheetViews>
    <sheetView workbookViewId="0">
      <pane ySplit="1" topLeftCell="A2" activePane="bottomLeft" state="frozen"/>
      <selection pane="bottomLeft" activeCell="D16" sqref="D16"/>
    </sheetView>
  </sheetViews>
  <sheetFormatPr baseColWidth="10" defaultColWidth="17" defaultRowHeight="14.5"/>
  <sheetData>
    <row r="1" spans="1:4" s="122" customFormat="1">
      <c r="A1" s="122" t="s">
        <v>332</v>
      </c>
      <c r="B1" s="122" t="s">
        <v>331</v>
      </c>
      <c r="C1" s="122" t="s">
        <v>350</v>
      </c>
      <c r="D1" s="122" t="s">
        <v>352</v>
      </c>
    </row>
  </sheetData>
  <autoFilter ref="A1:D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workbookViewId="0"/>
  </sheetViews>
  <sheetFormatPr baseColWidth="10"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27</vt:i4>
      </vt:variant>
      <vt:variant>
        <vt:lpstr>Plages nommées</vt:lpstr>
      </vt:variant>
      <vt:variant>
        <vt:i4>130</vt:i4>
      </vt:variant>
    </vt:vector>
  </HeadingPairs>
  <TitlesOfParts>
    <vt:vector size="157" baseType="lpstr">
      <vt:lpstr>Accueil</vt:lpstr>
      <vt:lpstr>Notes</vt:lpstr>
      <vt:lpstr>Contacts</vt:lpstr>
      <vt:lpstr>Planning</vt:lpstr>
      <vt:lpstr>Cmd Resto</vt:lpstr>
      <vt:lpstr>Cmd Resto S.</vt:lpstr>
      <vt:lpstr>Cmd Resto M.</vt:lpstr>
      <vt:lpstr>Frm facture</vt:lpstr>
      <vt:lpstr>Factures</vt:lpstr>
      <vt:lpstr>Factures fournisseur</vt:lpstr>
      <vt:lpstr>TCD FF</vt:lpstr>
      <vt:lpstr>Pdts fournisseurs</vt:lpstr>
      <vt:lpstr>Produits</vt:lpstr>
      <vt:lpstr>Exp produits</vt:lpstr>
      <vt:lpstr>Exp produits (2)</vt:lpstr>
      <vt:lpstr>Exp famille</vt:lpstr>
      <vt:lpstr>Entrants restants</vt:lpstr>
      <vt:lpstr>Caisse</vt:lpstr>
      <vt:lpstr>Simu Caisse</vt:lpstr>
      <vt:lpstr>Etiquettes petites</vt:lpstr>
      <vt:lpstr>Commandes</vt:lpstr>
      <vt:lpstr>CRA</vt:lpstr>
      <vt:lpstr>Congés</vt:lpstr>
      <vt:lpstr>Paramètres</vt:lpstr>
      <vt:lpstr>Contrats</vt:lpstr>
      <vt:lpstr>Caisses</vt:lpstr>
      <vt:lpstr>Feuil1</vt:lpstr>
      <vt:lpstr>Paramètres!_FilterDatabase</vt:lpstr>
      <vt:lpstr>CaisseBoutonGroupe1</vt:lpstr>
      <vt:lpstr>CaisseBoutonGroupe2</vt:lpstr>
      <vt:lpstr>CaisseBoutonGroupe3</vt:lpstr>
      <vt:lpstr>CaisseBoutonGroupe4</vt:lpstr>
      <vt:lpstr>CaisseBoutonGroupe5</vt:lpstr>
      <vt:lpstr>CaisseBoutonGroupe6</vt:lpstr>
      <vt:lpstr>CaisseCategorie</vt:lpstr>
      <vt:lpstr>CaisseGroupe</vt:lpstr>
      <vt:lpstr>CaisseGroupe6</vt:lpstr>
      <vt:lpstr>CaisseTouchesCaisse</vt:lpstr>
      <vt:lpstr>CaisseTouchesCaisse1</vt:lpstr>
      <vt:lpstr>CaisseTouchesCaisse2</vt:lpstr>
      <vt:lpstr>CmdRestoBoulangerie</vt:lpstr>
      <vt:lpstr>CmdRestoCommandesJour</vt:lpstr>
      <vt:lpstr>CmdRestoDate</vt:lpstr>
      <vt:lpstr>CmdRestoTotalMois</vt:lpstr>
      <vt:lpstr>CmdRestoTotalMoisSelection</vt:lpstr>
      <vt:lpstr>ContactsColAdresse1</vt:lpstr>
      <vt:lpstr>ContactsColAdresse2</vt:lpstr>
      <vt:lpstr>ContactsColCedex</vt:lpstr>
      <vt:lpstr>ContactsColCP</vt:lpstr>
      <vt:lpstr>ContactsColEmail</vt:lpstr>
      <vt:lpstr>ContactsColPays</vt:lpstr>
      <vt:lpstr>ContactsColSociete</vt:lpstr>
      <vt:lpstr>ContactsColTel1</vt:lpstr>
      <vt:lpstr>ContactsColVille</vt:lpstr>
      <vt:lpstr>ContactsRef</vt:lpstr>
      <vt:lpstr>ContactsSociete</vt:lpstr>
      <vt:lpstr>DossierCommandesClients</vt:lpstr>
      <vt:lpstr>DossierDocuments</vt:lpstr>
      <vt:lpstr>DossierDocumentsFournisseurs</vt:lpstr>
      <vt:lpstr>DossierDocumentsFournisseursBilan</vt:lpstr>
      <vt:lpstr>DossierFacturesClients</vt:lpstr>
      <vt:lpstr>FrmFactureBoulangerie</vt:lpstr>
      <vt:lpstr>FrmFactureBoulangerieAdresse1</vt:lpstr>
      <vt:lpstr>FrmFactureBoulangerieAdresse2</vt:lpstr>
      <vt:lpstr>FrmFactureBoulangerieEmail</vt:lpstr>
      <vt:lpstr>FrmFactureBoulangerieNom</vt:lpstr>
      <vt:lpstr>FrmFactureBoulangerieTel1</vt:lpstr>
      <vt:lpstr>FrmFactureBoulangerieVille</vt:lpstr>
      <vt:lpstr>FrmFactureBtnAujourdhui</vt:lpstr>
      <vt:lpstr>FrmFactureBtnClientsPrincipaux</vt:lpstr>
      <vt:lpstr>FrmFactureBtnDerniereFacture</vt:lpstr>
      <vt:lpstr>FrmFactureBtnEffacerListeProduits</vt:lpstr>
      <vt:lpstr>FrmFactureBtnEffacerListeProsuitsBrut</vt:lpstr>
      <vt:lpstr>FrmFactureBtnEffacerPanier</vt:lpstr>
      <vt:lpstr>FrmFactureBtnEnregistrer</vt:lpstr>
      <vt:lpstr>FrmFactureBtnExporterPDF</vt:lpstr>
      <vt:lpstr>FrmFactureBtnGenererBDC</vt:lpstr>
      <vt:lpstr>FrmFactureBtnGenererBL</vt:lpstr>
      <vt:lpstr>FrmFactureBtnImprimer</vt:lpstr>
      <vt:lpstr>FrmFactureBtnListeProduitsBrutVersPanier</vt:lpstr>
      <vt:lpstr>FrmFactureBtnListeProduitsVersPanier</vt:lpstr>
      <vt:lpstr>FrmFactureBtnListeProduitsVersPanierPlus</vt:lpstr>
      <vt:lpstr>FrmFactureBtnLOL</vt:lpstr>
      <vt:lpstr>FrmFactureBtnMAR</vt:lpstr>
      <vt:lpstr>FrmFactureBtnNouveauNoFacture</vt:lpstr>
      <vt:lpstr>FrmFactureBtnReinitFacture</vt:lpstr>
      <vt:lpstr>FrmFactureClientAdresse1</vt:lpstr>
      <vt:lpstr>FrmFactureClientAdresse2</vt:lpstr>
      <vt:lpstr>FrmFactureClientCP</vt:lpstr>
      <vt:lpstr>FrmFactureClientEmail</vt:lpstr>
      <vt:lpstr>FrmFactureClientNom</vt:lpstr>
      <vt:lpstr>FrmFactureClientTel1</vt:lpstr>
      <vt:lpstr>FrmFactureClientVille</vt:lpstr>
      <vt:lpstr>FrmFactureDate</vt:lpstr>
      <vt:lpstr>FrmFactureDerniereLigneFacture</vt:lpstr>
      <vt:lpstr>FrmFactureEcheance</vt:lpstr>
      <vt:lpstr>FrmFactureEscompte</vt:lpstr>
      <vt:lpstr>FrmFactureLignesFacture</vt:lpstr>
      <vt:lpstr>FrmFactureListeProduits</vt:lpstr>
      <vt:lpstr>FrmFactureListeProduitsAnalysee</vt:lpstr>
      <vt:lpstr>FrmFactureListeProduitsBrut</vt:lpstr>
      <vt:lpstr>FrmFactureListeProduitsFacture</vt:lpstr>
      <vt:lpstr>FrmFactureListeProduitsPanier</vt:lpstr>
      <vt:lpstr>FrmFactureListeProduitsQuantite</vt:lpstr>
      <vt:lpstr>FrmFactureNoFacture</vt:lpstr>
      <vt:lpstr>FrmFactureNom</vt:lpstr>
      <vt:lpstr>FrmFactureTitre</vt:lpstr>
      <vt:lpstr>FrmFactureTotal</vt:lpstr>
      <vt:lpstr>'Cmd Resto'!Impression_des_titres</vt:lpstr>
      <vt:lpstr>'Factures fournisseur'!Impression_des_titres</vt:lpstr>
      <vt:lpstr>Produits!Impression_des_titres</vt:lpstr>
      <vt:lpstr>'TCD FF'!Impression_des_titres</vt:lpstr>
      <vt:lpstr>ListeProduitsCatégories</vt:lpstr>
      <vt:lpstr>ListeProduitsCategrorie</vt:lpstr>
      <vt:lpstr>ListeProduitsColProduit</vt:lpstr>
      <vt:lpstr>ListeProduitsListeProduitsJour</vt:lpstr>
      <vt:lpstr>ListeProduitsListeProduitsSemaine</vt:lpstr>
      <vt:lpstr>NomFichierCommandeClient</vt:lpstr>
      <vt:lpstr>NomFichierFactureClient</vt:lpstr>
      <vt:lpstr>NomFichierProduits</vt:lpstr>
      <vt:lpstr>NomFichierStatsFacturesFournisseurs</vt:lpstr>
      <vt:lpstr>ProduitsColAbbreviation</vt:lpstr>
      <vt:lpstr>ProduitsColBoutonCaisse</vt:lpstr>
      <vt:lpstr>ProduitsColEntrantsSortants</vt:lpstr>
      <vt:lpstr>ProduitsColEtiquette1</vt:lpstr>
      <vt:lpstr>ProduitsColEtiquette2</vt:lpstr>
      <vt:lpstr>ProduitsColEtiquettePrix</vt:lpstr>
      <vt:lpstr>ProduitsColFamille</vt:lpstr>
      <vt:lpstr>ProduitsColFormat</vt:lpstr>
      <vt:lpstr>ProduitsColGroupe</vt:lpstr>
      <vt:lpstr>ProduitsColNoFamille</vt:lpstr>
      <vt:lpstr>ProduitsColNoGroupe</vt:lpstr>
      <vt:lpstr>ProduitsColNomCourt</vt:lpstr>
      <vt:lpstr>ProduitsColOrdre</vt:lpstr>
      <vt:lpstr>ProduitsColPrix</vt:lpstr>
      <vt:lpstr>ProduitsColPrixFormate</vt:lpstr>
      <vt:lpstr>ProduitsColPrixHT</vt:lpstr>
      <vt:lpstr>ProduitsColProduit</vt:lpstr>
      <vt:lpstr>ProduitsColRef</vt:lpstr>
      <vt:lpstr>ProduitsColSousFamille</vt:lpstr>
      <vt:lpstr>ProduitsNomCourt</vt:lpstr>
      <vt:lpstr>SimuCaisseTouchesCaisse</vt:lpstr>
      <vt:lpstr>TableProduits</vt:lpstr>
      <vt:lpstr>Caisse!Zone_d_impression</vt:lpstr>
      <vt:lpstr>'Cmd Resto'!Zone_d_impression</vt:lpstr>
      <vt:lpstr>'Cmd Resto M.'!Zone_d_impression</vt:lpstr>
      <vt:lpstr>'Cmd Resto S.'!Zone_d_impression</vt:lpstr>
      <vt:lpstr>Contacts!Zone_d_impression</vt:lpstr>
      <vt:lpstr>'Entrants restants'!Zone_d_impression</vt:lpstr>
      <vt:lpstr>'Etiquettes petites'!Zone_d_impression</vt:lpstr>
      <vt:lpstr>'Factures fournisseur'!Zone_d_impression</vt:lpstr>
      <vt:lpstr>'Frm facture'!Zone_d_impression</vt:lpstr>
      <vt:lpstr>Paramètres!Zone_d_impression</vt:lpstr>
      <vt:lpstr>'Pdts fournisseurs'!Zone_d_impression</vt:lpstr>
      <vt:lpstr>Planning!Zone_d_impression</vt:lpstr>
      <vt:lpstr>Produits!Zone_d_impression</vt:lpstr>
      <vt:lpstr>'TCD FF'!Zone_d_impression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RAFFAULT</dc:creator>
  <cp:lastModifiedBy>Svetlana</cp:lastModifiedBy>
  <cp:lastPrinted>2016-12-12T12:04:29Z</cp:lastPrinted>
  <dcterms:created xsi:type="dcterms:W3CDTF">2006-09-12T15:06:44Z</dcterms:created>
  <dcterms:modified xsi:type="dcterms:W3CDTF">2016-12-12T12:10:59Z</dcterms:modified>
</cp:coreProperties>
</file>