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/>
  </bookViews>
  <sheets>
    <sheet name="Components" sheetId="4" r:id="rId1"/>
    <sheet name="Commands" sheetId="3" r:id="rId2"/>
    <sheet name="Triggers" sheetId="1" r:id="rId3"/>
    <sheet name="Action" sheetId="2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0" i="4" l="1"/>
  <c r="M59" i="4"/>
  <c r="M58" i="4"/>
  <c r="M57" i="4"/>
  <c r="M56" i="4"/>
  <c r="M55" i="4"/>
  <c r="M54" i="4"/>
  <c r="M53" i="4"/>
  <c r="M52" i="4"/>
  <c r="M51" i="4"/>
  <c r="M50" i="4"/>
  <c r="M49" i="4"/>
  <c r="J48" i="4"/>
  <c r="J29" i="4"/>
  <c r="J34" i="4"/>
  <c r="M46" i="4"/>
  <c r="M45" i="4"/>
  <c r="M44" i="4"/>
  <c r="M43" i="4"/>
  <c r="M42" i="4"/>
  <c r="M41" i="4"/>
  <c r="M40" i="4"/>
  <c r="M39" i="4"/>
  <c r="M38" i="4"/>
  <c r="M37" i="4"/>
  <c r="M36" i="4"/>
  <c r="M35" i="4"/>
  <c r="G25" i="4"/>
  <c r="I24" i="4"/>
  <c r="J24" i="4" s="1"/>
  <c r="G23" i="4"/>
  <c r="I22" i="4"/>
  <c r="J22" i="4" s="1"/>
  <c r="G21" i="4"/>
  <c r="I17" i="4"/>
  <c r="J17" i="4" s="1"/>
  <c r="H17" i="4"/>
  <c r="G17" i="4"/>
  <c r="I16" i="4"/>
  <c r="J16" i="4" s="1"/>
  <c r="H16" i="4"/>
  <c r="G16" i="4"/>
  <c r="M32" i="4"/>
  <c r="M31" i="4"/>
  <c r="M30" i="4"/>
  <c r="G15" i="4"/>
  <c r="J13" i="4"/>
  <c r="J12" i="4"/>
  <c r="H5" i="4"/>
  <c r="H6" i="4"/>
  <c r="H7" i="4"/>
  <c r="H8" i="4"/>
  <c r="H4" i="4"/>
  <c r="I8" i="4"/>
  <c r="J8" i="4" s="1"/>
  <c r="G8" i="4"/>
  <c r="I7" i="4"/>
  <c r="J7" i="4" s="1"/>
  <c r="G7" i="4"/>
  <c r="I6" i="4"/>
  <c r="J6" i="4" s="1"/>
  <c r="G6" i="4"/>
  <c r="J5" i="4"/>
  <c r="J4" i="4"/>
  <c r="I5" i="4"/>
  <c r="I4" i="4"/>
  <c r="G5" i="4"/>
  <c r="G4" i="4"/>
  <c r="G3" i="4"/>
  <c r="G64" i="4"/>
  <c r="M149" i="4"/>
  <c r="M148" i="4"/>
  <c r="M147" i="4"/>
  <c r="M146" i="4"/>
  <c r="G145" i="4"/>
  <c r="M143" i="4"/>
  <c r="M142" i="4"/>
  <c r="M141" i="4"/>
  <c r="M140" i="4"/>
  <c r="G139" i="4"/>
  <c r="M137" i="4"/>
  <c r="M136" i="4"/>
  <c r="M135" i="4"/>
  <c r="M134" i="4"/>
  <c r="G133" i="4"/>
  <c r="M132" i="4"/>
  <c r="M131" i="4"/>
  <c r="M130" i="4"/>
  <c r="M129" i="4"/>
  <c r="M128" i="4"/>
  <c r="G127" i="4"/>
  <c r="M126" i="4"/>
  <c r="M125" i="4"/>
  <c r="M124" i="4"/>
  <c r="G123" i="4"/>
  <c r="M122" i="4"/>
  <c r="M121" i="4"/>
  <c r="M120" i="4"/>
  <c r="M119" i="4"/>
  <c r="M118" i="4"/>
  <c r="G117" i="4"/>
  <c r="M116" i="4"/>
  <c r="M115" i="4"/>
  <c r="G114" i="4"/>
  <c r="M113" i="4"/>
  <c r="M112" i="4"/>
  <c r="M111" i="4"/>
  <c r="M110" i="4"/>
  <c r="G109" i="4"/>
  <c r="M108" i="4"/>
  <c r="M107" i="4"/>
  <c r="M106" i="4"/>
  <c r="M105" i="4"/>
  <c r="M104" i="4"/>
  <c r="M103" i="4"/>
  <c r="M102" i="4"/>
  <c r="G101" i="4"/>
  <c r="M100" i="4"/>
  <c r="M99" i="4"/>
  <c r="M98" i="4"/>
  <c r="M97" i="4"/>
  <c r="G96" i="4"/>
  <c r="M95" i="4"/>
  <c r="M94" i="4"/>
  <c r="M93" i="4"/>
  <c r="M92" i="4"/>
  <c r="M91" i="4"/>
  <c r="M90" i="4"/>
  <c r="M89" i="4"/>
  <c r="M88" i="4"/>
  <c r="M87" i="4"/>
  <c r="M86" i="4"/>
  <c r="M85" i="4"/>
  <c r="M84" i="4"/>
  <c r="G83" i="4"/>
  <c r="M82" i="4"/>
  <c r="M81" i="4"/>
  <c r="M80" i="4"/>
  <c r="M79" i="4"/>
  <c r="M78" i="4"/>
  <c r="M77" i="4"/>
  <c r="M76" i="4"/>
  <c r="M75" i="4"/>
  <c r="M74" i="4"/>
  <c r="M73" i="4"/>
  <c r="M72" i="4"/>
  <c r="M71" i="4"/>
  <c r="G70" i="4"/>
  <c r="M69" i="4"/>
  <c r="M68" i="4"/>
  <c r="M67" i="4"/>
  <c r="M66" i="4"/>
  <c r="G65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<sst xmlns="http://schemas.openxmlformats.org/spreadsheetml/2006/main" count="1615" uniqueCount="437">
  <si>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</si>
  <si>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</si>
  <si>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</si>
  <si>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</si>
  <si>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</si>
  <si>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</si>
  <si>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</si>
  <si>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</si>
  <si>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</si>
  <si>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</si>
  <si>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</si>
  <si>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</si>
  <si>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</si>
  <si>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</si>
  <si>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</si>
  <si>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</si>
  <si>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</si>
  <si>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</si>
  <si>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</si>
  <si>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</si>
  <si>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</si>
  <si>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</si>
  <si>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</si>
  <si>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</si>
  <si>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</si>
  <si>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</si>
  <si>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</si>
  <si>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</si>
  <si>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</si>
  <si>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</si>
  <si>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</si>
  <si>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</si>
  <si>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</si>
  <si>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</si>
  <si>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</si>
  <si>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</si>
  <si>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</si>
  <si>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</si>
  <si>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</si>
  <si>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</si>
  <si>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</si>
  <si>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</si>
  <si>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</si>
  <si>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</si>
  <si>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</si>
  <si>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</si>
  <si>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</si>
  <si>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</si>
  <si>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</si>
  <si>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</si>
  <si>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</si>
  <si>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</si>
  <si>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</si>
  <si>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</si>
  <si>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</si>
  <si>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</si>
  <si>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</si>
  <si>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</si>
  <si>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</si>
  <si>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</si>
  <si>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</si>
  <si>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</si>
  <si>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</si>
  <si>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</si>
  <si>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</si>
  <si>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</si>
  <si>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</si>
  <si>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</si>
  <si>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</si>
  <si>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</si>
  <si>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</si>
  <si>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</si>
  <si>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</si>
  <si>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</si>
  <si>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</si>
  <si>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</si>
  <si>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</si>
  <si>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</si>
  <si>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</si>
  <si>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</si>
  <si>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</si>
  <si>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</si>
  <si>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</si>
  <si>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</si>
  <si>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</si>
  <si>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</si>
  <si>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</si>
  <si>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</si>
  <si>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</si>
  <si>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</si>
  <si>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</si>
  <si>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</si>
  <si>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</si>
  <si>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</si>
  <si>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</si>
  <si>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</si>
  <si>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</si>
  <si>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</si>
  <si>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</si>
  <si>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</si>
  <si>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</si>
  <si>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</si>
  <si>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</si>
  <si>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</si>
  <si>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</si>
  <si>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</si>
  <si>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</si>
  <si>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</si>
  <si>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</si>
  <si>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</si>
  <si>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</si>
  <si>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</si>
  <si>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</si>
  <si>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</si>
  <si>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</si>
  <si>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</si>
  <si>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</si>
  <si>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</si>
  <si>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</si>
  <si>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</si>
  <si>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</si>
  <si>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</si>
  <si>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</si>
  <si>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</si>
  <si>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</si>
  <si>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</si>
  <si>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</si>
  <si>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</si>
  <si>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</si>
  <si>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</si>
  <si>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</si>
  <si>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</si>
  <si>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</si>
  <si>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</si>
  <si>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</si>
  <si>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</si>
  <si>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</si>
  <si>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</si>
  <si>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</si>
  <si>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</si>
  <si>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</si>
  <si>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</si>
  <si>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</si>
  <si>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</si>
  <si>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</si>
  <si>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</si>
  <si>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</si>
  <si>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</si>
  <si>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</si>
  <si>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</si>
  <si>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</si>
  <si>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</si>
  <si>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</si>
  <si>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</si>
  <si>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</si>
  <si>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</si>
  <si>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</si>
  <si>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</si>
  <si>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</si>
  <si>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</si>
  <si>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</si>
  <si>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</si>
  <si>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</si>
  <si>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</si>
  <si>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</si>
  <si>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</si>
  <si>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</si>
  <si>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</si>
  <si>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</si>
  <si>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</si>
  <si>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</si>
  <si>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</si>
  <si>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</si>
  <si>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</si>
  <si>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</si>
  <si>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</si>
  <si>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</si>
  <si>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</si>
  <si>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</si>
  <si>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</si>
  <si>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</si>
  <si>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</si>
  <si>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</si>
  <si>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</si>
  <si>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</si>
  <si>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</si>
  <si>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</si>
  <si>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</si>
  <si>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</si>
  <si>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</si>
  <si>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</si>
  <si>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</si>
  <si>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</si>
  <si>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</si>
  <si>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</si>
  <si>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</si>
  <si>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</si>
  <si>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</si>
  <si>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</si>
  <si>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</si>
  <si>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</si>
  <si>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</si>
  <si>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</si>
  <si>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</si>
  <si>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</si>
  <si>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</si>
  <si>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</si>
  <si>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</si>
  <si>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</si>
  <si>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</si>
  <si>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</si>
  <si>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</si>
  <si>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</si>
  <si>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</si>
  <si>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</si>
  <si>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</si>
  <si>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</si>
  <si>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</si>
  <si>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</si>
  <si>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</si>
  <si>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</si>
  <si>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</si>
  <si>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</si>
  <si>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</si>
  <si>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</si>
  <si>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</si>
  <si>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</si>
  <si>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</si>
  <si>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</si>
  <si>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</si>
  <si>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</si>
  <si>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</si>
  <si>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</si>
  <si>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</si>
  <si>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</si>
  <si>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</si>
  <si>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</si>
  <si>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</si>
  <si>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</si>
  <si>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</si>
  <si>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</si>
  <si>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</si>
  <si>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</si>
  <si>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</si>
  <si>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</si>
  <si>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</si>
  <si>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</si>
  <si>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</si>
  <si>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</si>
  <si>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</si>
  <si>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</si>
  <si>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</si>
  <si>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</si>
  <si>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</si>
  <si>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</si>
  <si>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</si>
  <si>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</si>
  <si>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</si>
  <si>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</si>
  <si>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</si>
  <si>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</si>
  <si>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</si>
  <si>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</si>
  <si>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</si>
  <si>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</si>
  <si>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</si>
  <si>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</si>
  <si>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</si>
  <si>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</si>
  <si>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</si>
  <si>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</si>
  <si>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</si>
  <si>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</si>
  <si>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</si>
  <si>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</si>
  <si>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</si>
  <si>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</si>
  <si>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</si>
  <si>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</si>
  <si>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</si>
  <si>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</si>
  <si>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</si>
  <si>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</si>
  <si>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</si>
  <si>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</si>
  <si>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</si>
  <si>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</si>
  <si>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</si>
  <si>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</si>
  <si>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</si>
  <si>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</si>
  <si>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</si>
  <si>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</si>
  <si>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</si>
  <si>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</si>
  <si>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</si>
  <si>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</si>
  <si>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</si>
  <si>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</si>
  <si>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</si>
  <si>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</si>
  <si>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</si>
  <si>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</si>
  <si>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</si>
  <si>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</si>
  <si>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</si>
  <si>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</si>
  <si>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</si>
  <si>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</si>
  <si>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</si>
  <si>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</si>
  <si>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</si>
  <si>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</si>
  <si>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</si>
  <si>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</si>
  <si>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</si>
  <si>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</si>
  <si>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</si>
  <si>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</si>
  <si>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</si>
  <si>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</si>
  <si>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</si>
  <si>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</si>
  <si>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</si>
  <si>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</si>
  <si>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</si>
  <si>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</si>
  <si>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</si>
  <si>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</si>
  <si>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</si>
  <si>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</si>
  <si>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</si>
  <si>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</si>
  <si>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</si>
  <si>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</si>
  <si>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</si>
  <si>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</si>
  <si>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</si>
  <si>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</si>
  <si>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</si>
  <si>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</si>
  <si>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</si>
  <si>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</si>
  <si>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</si>
  <si>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</si>
  <si>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</si>
  <si>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</si>
  <si>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</si>
  <si>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</si>
  <si>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</si>
  <si>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</si>
  <si>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</si>
  <si>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</si>
  <si>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</si>
  <si>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</si>
  <si>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</si>
  <si>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</si>
  <si>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</si>
  <si>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</si>
  <si>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</si>
  <si>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</si>
  <si>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</si>
  <si>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</si>
  <si>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</si>
  <si>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</si>
  <si>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</si>
  <si>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</si>
  <si>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</si>
  <si>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</si>
  <si>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</si>
  <si>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</si>
  <si>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</si>
  <si>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</si>
  <si>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</si>
  <si>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</si>
  <si>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</si>
  <si>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</si>
  <si>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</si>
  <si>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</si>
  <si>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</si>
  <si>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</si>
  <si>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</si>
  <si>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</si>
  <si>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</si>
  <si>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</si>
  <si>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</si>
  <si>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</si>
  <si>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</si>
  <si>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</si>
  <si>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</si>
  <si>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</si>
  <si>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</si>
  <si>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</si>
  <si>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</si>
  <si>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</si>
  <si>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</si>
  <si>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</si>
  <si>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</si>
  <si>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</si>
  <si>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</si>
  <si>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</si>
  <si>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</si>
  <si>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</si>
  <si>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</si>
  <si>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</si>
  <si>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</si>
  <si>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</si>
  <si>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</si>
  <si>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</si>
  <si>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</si>
  <si>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</si>
  <si>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</si>
  <si>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</si>
  <si>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</si>
  <si>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</si>
  <si>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</si>
  <si>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</si>
  <si>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</si>
  <si>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</si>
  <si>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</si>
  <si>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</si>
  <si>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</si>
  <si>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</si>
  <si>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</si>
  <si>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</si>
  <si>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</si>
  <si>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</si>
  <si>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</si>
  <si>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</si>
  <si>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ComponentGroup</t>
  </si>
  <si>
    <t>dropSalon</t>
  </si>
  <si>
    <t>cgSalon2</t>
  </si>
  <si>
    <t>cgStudio2</t>
  </si>
  <si>
    <t>devices</t>
  </si>
  <si>
    <t>end</t>
  </si>
  <si>
    <t>Lumières</t>
  </si>
  <si>
    <t>Ampli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</si>
</sst>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143691</xdr:colOff>
          <xdr:row>0</xdr:row>
          <xdr:rowOff>145869</xdr:rowOff>
        </xdr:from>
        <xdr:to>
          <xdr:col>0</xdr:col>
          <xdr:colOff>653143</xdr:colOff>
          <xdr:row>0</xdr:row>
          <xdr:rowOff>413657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92271C9-5D62-49C9-BB2C-801D20A01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89262</xdr:colOff>
          <xdr:row>0</xdr:row>
          <xdr:rowOff>43542</xdr:rowOff>
        </xdr:from>
        <xdr:to>
          <xdr:col>0</xdr:col>
          <xdr:colOff>668382</xdr:colOff>
          <xdr:row>0</xdr:row>
          <xdr:rowOff>272142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A37825-DF53-45BD-BF52-C02A1045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50"/>
  <sheetViews>
    <sheetView tabSelected="1" zoomScale="70" zoomScaleNormal="70" workbookViewId="0">
      <pane xSplit="9" ySplit="1" topLeftCell="J35" activePane="bottomRight" state="frozen"/>
      <selection pane="topRight" activeCell="F1" sqref="F1"/>
      <selection pane="bottomLeft" activeCell="A2" sqref="A2"/>
      <selection pane="bottomRight" activeCell="D58" sqref="D58"/>
    </sheetView>
  </sheetViews>
  <sheetFormatPr defaultRowHeight="14.4" x14ac:dyDescent="0.3"/>
  <cols>
    <col min="1" max="5" width="17.21875" customWidth="1"/>
    <col min="6" max="6" width="18.88671875" customWidth="1"/>
    <col min="7" max="8" width="18" customWidth="1"/>
    <col min="9" max="10" width="13.88671875" customWidth="1"/>
    <col min="11" max="11" width="25.6640625" customWidth="1"/>
    <col min="12" max="12" width="29.5546875" customWidth="1"/>
    <col min="13" max="13" width="33.21875" customWidth="1"/>
    <col min="14" max="14" width="10" customWidth="1"/>
    <col min="16" max="16" width="10.77734375" customWidth="1"/>
    <col min="17" max="17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404</v>
      </c>
      <c r="G1" s="9" t="s">
        <v>371</v>
      </c>
      <c r="H1" s="9" t="s">
        <v>417</v>
      </c>
      <c r="I1" s="9" t="s">
        <v>230</v>
      </c>
      <c r="J1" s="9" t="s">
        <v>354</v>
      </c>
      <c r="K1" s="9" t="s">
        <v>233</v>
      </c>
      <c r="L1" s="9" t="s">
        <v>334</v>
      </c>
      <c r="M1" s="9" t="s">
        <v>335</v>
      </c>
      <c r="N1" s="9" t="s">
        <v>353</v>
      </c>
      <c r="O1" s="9" t="s">
        <v>394</v>
      </c>
      <c r="P1" s="9" t="s">
        <v>396</v>
      </c>
      <c r="Q1" s="9" t="s">
        <v>426</v>
      </c>
      <c r="R1" s="9" t="s">
        <v>370</v>
      </c>
    </row>
    <row r="2" spans="1:18" s="1" customFormat="1" x14ac:dyDescent="0.3">
      <c r="A2" s="1" t="s">
        <v>429</v>
      </c>
      <c r="F2" s="1" t="s">
        <v>405</v>
      </c>
      <c r="G2" s="1" t="s">
        <v>408</v>
      </c>
    </row>
    <row r="3" spans="1:18" s="1" customFormat="1" x14ac:dyDescent="0.3">
      <c r="B3" s="1" t="s">
        <v>411</v>
      </c>
      <c r="F3" s="1" t="s">
        <v>407</v>
      </c>
      <c r="G3" s="1" t="str">
        <f>"tab"&amp;B3</f>
        <v>tabPrincipal</v>
      </c>
    </row>
    <row r="4" spans="1:18" s="10" customFormat="1" x14ac:dyDescent="0.3">
      <c r="C4" s="10" t="s">
        <v>263</v>
      </c>
      <c r="F4" s="10" t="s">
        <v>410</v>
      </c>
      <c r="G4" s="10" t="str">
        <f>"drop"&amp;C4</f>
        <v>dropMaison</v>
      </c>
      <c r="H4" s="10" t="str">
        <f>"cg"&amp;C4</f>
        <v>cgMaison</v>
      </c>
      <c r="I4" s="10" t="str">
        <f>C4</f>
        <v>Maison</v>
      </c>
      <c r="J4" s="10" t="str">
        <f>I4</f>
        <v>Maison</v>
      </c>
      <c r="K4" s="10" t="s">
        <v>412</v>
      </c>
      <c r="P4" s="10" t="s">
        <v>401</v>
      </c>
    </row>
    <row r="5" spans="1:18" s="10" customFormat="1" x14ac:dyDescent="0.3">
      <c r="C5" s="10" t="s">
        <v>232</v>
      </c>
      <c r="F5" s="10" t="s">
        <v>410</v>
      </c>
      <c r="G5" s="10" t="str">
        <f>"drop"&amp;C5</f>
        <v>dropSalon</v>
      </c>
      <c r="H5" s="10" t="str">
        <f t="shared" ref="H5:H8" si="0">"cg"&amp;C5</f>
        <v>cgSalon</v>
      </c>
      <c r="I5" s="10" t="str">
        <f>C5</f>
        <v>Salon</v>
      </c>
      <c r="J5" s="10" t="str">
        <f>I5</f>
        <v>Salon</v>
      </c>
      <c r="K5" s="10" t="s">
        <v>234</v>
      </c>
      <c r="P5" s="10" t="s">
        <v>397</v>
      </c>
    </row>
    <row r="6" spans="1:18" s="10" customFormat="1" x14ac:dyDescent="0.3">
      <c r="C6" s="10" t="s">
        <v>247</v>
      </c>
      <c r="F6" s="10" t="s">
        <v>410</v>
      </c>
      <c r="G6" s="10" t="str">
        <f>"drop"&amp;C6</f>
        <v>dropStudio</v>
      </c>
      <c r="H6" s="10" t="str">
        <f t="shared" si="0"/>
        <v>cgStudio</v>
      </c>
      <c r="I6" s="10" t="str">
        <f>C6</f>
        <v>Studio</v>
      </c>
      <c r="J6" s="10" t="str">
        <f>I6</f>
        <v>Studio</v>
      </c>
      <c r="K6" s="10" t="s">
        <v>234</v>
      </c>
      <c r="P6" s="10" t="s">
        <v>397</v>
      </c>
    </row>
    <row r="7" spans="1:18" s="10" customFormat="1" x14ac:dyDescent="0.3">
      <c r="C7" s="10" t="s">
        <v>273</v>
      </c>
      <c r="F7" s="10" t="s">
        <v>410</v>
      </c>
      <c r="G7" s="10" t="str">
        <f>"drop"&amp;C7</f>
        <v>dropTV</v>
      </c>
      <c r="H7" s="10" t="str">
        <f t="shared" si="0"/>
        <v>cgTV</v>
      </c>
      <c r="I7" s="10" t="str">
        <f>C7</f>
        <v>TV</v>
      </c>
      <c r="J7" s="10" t="str">
        <f>I7</f>
        <v>TV</v>
      </c>
      <c r="K7" s="10" t="s">
        <v>414</v>
      </c>
      <c r="P7" s="10" t="s">
        <v>399</v>
      </c>
    </row>
    <row r="8" spans="1:18" s="10" customFormat="1" x14ac:dyDescent="0.3">
      <c r="C8" s="10" t="s">
        <v>415</v>
      </c>
      <c r="F8" s="10" t="s">
        <v>410</v>
      </c>
      <c r="G8" s="10" t="str">
        <f>"drop"&amp;C8</f>
        <v>dropVP</v>
      </c>
      <c r="H8" s="10" t="str">
        <f t="shared" si="0"/>
        <v>cgVP</v>
      </c>
      <c r="I8" s="10" t="str">
        <f>C8</f>
        <v>VP</v>
      </c>
      <c r="J8" s="10" t="str">
        <f>I8</f>
        <v>VP</v>
      </c>
      <c r="K8" s="10" t="s">
        <v>416</v>
      </c>
      <c r="P8" s="10" t="s">
        <v>399</v>
      </c>
    </row>
    <row r="9" spans="1:18" x14ac:dyDescent="0.3">
      <c r="C9" t="s">
        <v>413</v>
      </c>
      <c r="F9" t="s">
        <v>413</v>
      </c>
      <c r="I9" s="7"/>
      <c r="J9" s="7"/>
    </row>
    <row r="10" spans="1:18" x14ac:dyDescent="0.3">
      <c r="C10" t="s">
        <v>417</v>
      </c>
      <c r="F10" t="s">
        <v>417</v>
      </c>
      <c r="H10" t="s">
        <v>423</v>
      </c>
      <c r="I10" s="7"/>
      <c r="J10" s="7"/>
    </row>
    <row r="11" spans="1:18" x14ac:dyDescent="0.3">
      <c r="C11" t="s">
        <v>413</v>
      </c>
      <c r="F11" t="s">
        <v>413</v>
      </c>
      <c r="I11" s="7"/>
      <c r="J11" s="7"/>
    </row>
    <row r="12" spans="1:18" x14ac:dyDescent="0.3">
      <c r="C12" t="s">
        <v>424</v>
      </c>
      <c r="F12" t="s">
        <v>424</v>
      </c>
      <c r="I12" s="7" t="s">
        <v>425</v>
      </c>
      <c r="J12" s="7" t="str">
        <f>I12</f>
        <v>Webcams</v>
      </c>
    </row>
    <row r="13" spans="1:18" x14ac:dyDescent="0.3">
      <c r="C13" t="s">
        <v>426</v>
      </c>
      <c r="F13" t="s">
        <v>426</v>
      </c>
      <c r="I13" s="7" t="s">
        <v>232</v>
      </c>
      <c r="J13" s="7" t="str">
        <f>I13</f>
        <v>Salon</v>
      </c>
      <c r="Q13" t="s">
        <v>427</v>
      </c>
    </row>
    <row r="14" spans="1:18" x14ac:dyDescent="0.3">
      <c r="C14" t="s">
        <v>413</v>
      </c>
      <c r="F14" t="s">
        <v>413</v>
      </c>
      <c r="I14" s="7"/>
      <c r="J14" s="7"/>
    </row>
    <row r="15" spans="1:18" s="1" customFormat="1" x14ac:dyDescent="0.3">
      <c r="B15" s="1" t="s">
        <v>428</v>
      </c>
      <c r="F15" s="1" t="s">
        <v>407</v>
      </c>
      <c r="G15" s="1" t="str">
        <f>"tab"&amp;B15</f>
        <v>tabMédia</v>
      </c>
    </row>
    <row r="16" spans="1:18" s="10" customFormat="1" x14ac:dyDescent="0.3">
      <c r="C16" s="10" t="s">
        <v>273</v>
      </c>
      <c r="F16" s="10" t="s">
        <v>410</v>
      </c>
      <c r="G16" s="10" t="str">
        <f>"drop"&amp;C16</f>
        <v>dropTV</v>
      </c>
      <c r="H16" s="10" t="str">
        <f t="shared" ref="H16:H17" si="1">"cg"&amp;C16</f>
        <v>cgTV</v>
      </c>
      <c r="I16" s="10" t="str">
        <f>C16</f>
        <v>TV</v>
      </c>
      <c r="J16" s="10" t="str">
        <f>I16</f>
        <v>TV</v>
      </c>
      <c r="K16" s="10" t="s">
        <v>414</v>
      </c>
      <c r="P16" s="10" t="s">
        <v>399</v>
      </c>
    </row>
    <row r="17" spans="1:17" s="10" customFormat="1" x14ac:dyDescent="0.3">
      <c r="C17" s="10" t="s">
        <v>415</v>
      </c>
      <c r="F17" s="10" t="s">
        <v>410</v>
      </c>
      <c r="G17" s="10" t="str">
        <f>"drop"&amp;C17</f>
        <v>dropVP</v>
      </c>
      <c r="H17" s="10" t="str">
        <f t="shared" si="1"/>
        <v>cgVP</v>
      </c>
      <c r="I17" s="10" t="str">
        <f>C17</f>
        <v>VP</v>
      </c>
      <c r="J17" s="10" t="str">
        <f>I17</f>
        <v>VP</v>
      </c>
      <c r="K17" s="10" t="s">
        <v>416</v>
      </c>
      <c r="P17" s="10" t="s">
        <v>399</v>
      </c>
    </row>
    <row r="18" spans="1:17" x14ac:dyDescent="0.3">
      <c r="C18" t="s">
        <v>413</v>
      </c>
      <c r="F18" t="s">
        <v>413</v>
      </c>
      <c r="I18" s="7"/>
      <c r="J18" s="7"/>
    </row>
    <row r="19" spans="1:17" x14ac:dyDescent="0.3">
      <c r="C19" t="s">
        <v>417</v>
      </c>
      <c r="F19" t="s">
        <v>417</v>
      </c>
      <c r="H19" t="s">
        <v>423</v>
      </c>
      <c r="I19" s="7"/>
      <c r="J19" s="7"/>
    </row>
    <row r="20" spans="1:17" x14ac:dyDescent="0.3">
      <c r="C20" t="s">
        <v>413</v>
      </c>
      <c r="F20" t="s">
        <v>413</v>
      </c>
      <c r="I20" s="7"/>
      <c r="J20" s="7"/>
    </row>
    <row r="21" spans="1:17" s="1" customFormat="1" x14ac:dyDescent="0.3">
      <c r="B21" s="1" t="s">
        <v>232</v>
      </c>
      <c r="F21" s="1" t="s">
        <v>407</v>
      </c>
      <c r="G21" s="1" t="str">
        <f>"tab"&amp;B21</f>
        <v>tabSalon</v>
      </c>
    </row>
    <row r="22" spans="1:17" s="10" customFormat="1" x14ac:dyDescent="0.3">
      <c r="C22" s="10" t="s">
        <v>232</v>
      </c>
      <c r="F22" s="10" t="s">
        <v>410</v>
      </c>
      <c r="G22" s="10" t="s">
        <v>430</v>
      </c>
      <c r="H22" s="10" t="s">
        <v>431</v>
      </c>
      <c r="I22" s="10" t="str">
        <f>C22</f>
        <v>Salon</v>
      </c>
      <c r="J22" s="10" t="str">
        <f>I22</f>
        <v>Salon</v>
      </c>
      <c r="K22" s="10" t="s">
        <v>234</v>
      </c>
      <c r="P22" s="10" t="s">
        <v>399</v>
      </c>
    </row>
    <row r="23" spans="1:17" s="1" customFormat="1" x14ac:dyDescent="0.3">
      <c r="B23" s="1" t="s">
        <v>247</v>
      </c>
      <c r="F23" s="1" t="s">
        <v>407</v>
      </c>
      <c r="G23" s="1" t="str">
        <f>"tab"&amp;B23</f>
        <v>tabStudio</v>
      </c>
    </row>
    <row r="24" spans="1:17" s="10" customFormat="1" x14ac:dyDescent="0.3">
      <c r="C24" s="10" t="s">
        <v>247</v>
      </c>
      <c r="F24" s="10" t="s">
        <v>410</v>
      </c>
      <c r="G24" s="10" t="s">
        <v>430</v>
      </c>
      <c r="H24" s="10" t="s">
        <v>432</v>
      </c>
      <c r="I24" s="10" t="str">
        <f>C24</f>
        <v>Studio</v>
      </c>
      <c r="J24" s="10" t="str">
        <f>I24</f>
        <v>Studio</v>
      </c>
      <c r="K24" s="10" t="s">
        <v>234</v>
      </c>
      <c r="P24" s="10" t="s">
        <v>399</v>
      </c>
    </row>
    <row r="25" spans="1:17" s="1" customFormat="1" x14ac:dyDescent="0.3">
      <c r="B25" s="1" t="s">
        <v>409</v>
      </c>
      <c r="F25" s="1" t="s">
        <v>407</v>
      </c>
      <c r="G25" s="1" t="str">
        <f>"tab"&amp;B25</f>
        <v>tabDevices</v>
      </c>
    </row>
    <row r="26" spans="1:17" s="10" customFormat="1" x14ac:dyDescent="0.3">
      <c r="C26" s="10" t="s">
        <v>409</v>
      </c>
      <c r="F26" s="10" t="s">
        <v>433</v>
      </c>
      <c r="K26" s="10" t="s">
        <v>409</v>
      </c>
      <c r="P26" s="10" t="s">
        <v>399</v>
      </c>
    </row>
    <row r="27" spans="1:17" s="11" customFormat="1" x14ac:dyDescent="0.3"/>
    <row r="28" spans="1:17" s="1" customFormat="1" x14ac:dyDescent="0.3">
      <c r="A28" s="1" t="s">
        <v>429</v>
      </c>
      <c r="F28" s="1" t="s">
        <v>417</v>
      </c>
      <c r="G28" s="1" t="s">
        <v>423</v>
      </c>
    </row>
    <row r="29" spans="1:17" x14ac:dyDescent="0.3">
      <c r="F29" t="s">
        <v>424</v>
      </c>
      <c r="I29" s="7" t="s">
        <v>436</v>
      </c>
      <c r="J29" s="7" t="str">
        <f>I29</f>
        <v>Ampli</v>
      </c>
    </row>
    <row r="30" spans="1:17" x14ac:dyDescent="0.3">
      <c r="F30" t="s">
        <v>422</v>
      </c>
      <c r="G30" t="s">
        <v>44</v>
      </c>
      <c r="I30" t="s">
        <v>304</v>
      </c>
      <c r="J30" t="s">
        <v>304</v>
      </c>
      <c r="L30" t="s">
        <v>336</v>
      </c>
      <c r="M30" t="str">
        <f>G30</f>
        <v>ampli.volp</v>
      </c>
    </row>
    <row r="31" spans="1:17" x14ac:dyDescent="0.3">
      <c r="F31" t="s">
        <v>422</v>
      </c>
      <c r="G31" t="s">
        <v>45</v>
      </c>
      <c r="I31" t="s">
        <v>305</v>
      </c>
      <c r="J31" t="s">
        <v>305</v>
      </c>
      <c r="L31" t="s">
        <v>336</v>
      </c>
      <c r="M31" t="str">
        <f>G31</f>
        <v>ampli.volm</v>
      </c>
    </row>
    <row r="32" spans="1:17" x14ac:dyDescent="0.3">
      <c r="F32" t="s">
        <v>422</v>
      </c>
      <c r="G32" t="s">
        <v>46</v>
      </c>
      <c r="I32" t="s">
        <v>283</v>
      </c>
      <c r="J32" t="s">
        <v>283</v>
      </c>
      <c r="L32" t="s">
        <v>336</v>
      </c>
      <c r="M32" t="str">
        <f>G32</f>
        <v>ampli.mute</v>
      </c>
      <c r="O32" s="7" t="s">
        <v>395</v>
      </c>
      <c r="P32" s="7"/>
      <c r="Q32" s="7"/>
    </row>
    <row r="33" spans="1:17" s="1" customFormat="1" x14ac:dyDescent="0.3">
      <c r="A33" s="1" t="s">
        <v>429</v>
      </c>
      <c r="F33" s="1" t="s">
        <v>417</v>
      </c>
      <c r="G33" s="1" t="s">
        <v>418</v>
      </c>
    </row>
    <row r="34" spans="1:17" x14ac:dyDescent="0.3">
      <c r="F34" t="s">
        <v>424</v>
      </c>
      <c r="I34" s="7" t="s">
        <v>435</v>
      </c>
      <c r="J34" s="7" t="str">
        <f>I34</f>
        <v>Lumières</v>
      </c>
    </row>
    <row r="35" spans="1:17" x14ac:dyDescent="0.3">
      <c r="F35" t="s">
        <v>422</v>
      </c>
      <c r="G35" t="s">
        <v>52</v>
      </c>
      <c r="I35" t="s">
        <v>236</v>
      </c>
      <c r="J35" t="s">
        <v>325</v>
      </c>
      <c r="K35" t="s">
        <v>236</v>
      </c>
      <c r="L35" t="s">
        <v>336</v>
      </c>
      <c r="M35" t="str">
        <f t="shared" ref="M35:M46" si="2">G35</f>
        <v>salon.on</v>
      </c>
    </row>
    <row r="36" spans="1:17" x14ac:dyDescent="0.3">
      <c r="F36" t="s">
        <v>422</v>
      </c>
      <c r="G36" t="s">
        <v>51</v>
      </c>
      <c r="I36" t="s">
        <v>235</v>
      </c>
      <c r="J36" t="s">
        <v>326</v>
      </c>
      <c r="K36" t="s">
        <v>235</v>
      </c>
      <c r="L36" t="s">
        <v>336</v>
      </c>
      <c r="M36" t="str">
        <f t="shared" si="2"/>
        <v>salon.off</v>
      </c>
      <c r="O36" s="7" t="s">
        <v>395</v>
      </c>
      <c r="P36" s="7"/>
      <c r="Q36" s="7"/>
    </row>
    <row r="37" spans="1:17" x14ac:dyDescent="0.3">
      <c r="F37" t="s">
        <v>422</v>
      </c>
      <c r="G37" t="s">
        <v>4</v>
      </c>
      <c r="I37" t="s">
        <v>237</v>
      </c>
      <c r="J37" t="s">
        <v>355</v>
      </c>
      <c r="K37" t="s">
        <v>237</v>
      </c>
      <c r="L37" t="s">
        <v>336</v>
      </c>
      <c r="M37" t="str">
        <f t="shared" si="2"/>
        <v>salon.1.on</v>
      </c>
      <c r="N37" t="s">
        <v>382</v>
      </c>
    </row>
    <row r="38" spans="1:17" x14ac:dyDescent="0.3">
      <c r="F38" t="s">
        <v>422</v>
      </c>
      <c r="G38" t="s">
        <v>9</v>
      </c>
      <c r="I38" t="s">
        <v>246</v>
      </c>
      <c r="J38" t="s">
        <v>356</v>
      </c>
      <c r="K38" t="s">
        <v>246</v>
      </c>
      <c r="L38" t="s">
        <v>336</v>
      </c>
      <c r="M38" t="str">
        <f t="shared" si="2"/>
        <v>salon.1.off</v>
      </c>
      <c r="N38" t="s">
        <v>382</v>
      </c>
      <c r="O38" s="7" t="s">
        <v>395</v>
      </c>
      <c r="P38" s="7"/>
      <c r="Q38" s="7"/>
    </row>
    <row r="39" spans="1:17" x14ac:dyDescent="0.3">
      <c r="F39" t="s">
        <v>422</v>
      </c>
      <c r="G39" t="s">
        <v>5</v>
      </c>
      <c r="I39" t="s">
        <v>238</v>
      </c>
      <c r="J39" t="s">
        <v>357</v>
      </c>
      <c r="K39" t="s">
        <v>238</v>
      </c>
      <c r="L39" t="s">
        <v>336</v>
      </c>
      <c r="M39" t="str">
        <f t="shared" si="2"/>
        <v>salon.2.on</v>
      </c>
      <c r="N39" t="s">
        <v>383</v>
      </c>
    </row>
    <row r="40" spans="1:17" x14ac:dyDescent="0.3">
      <c r="F40" t="s">
        <v>422</v>
      </c>
      <c r="G40" t="s">
        <v>10</v>
      </c>
      <c r="I40" t="s">
        <v>239</v>
      </c>
      <c r="J40" t="s">
        <v>358</v>
      </c>
      <c r="K40" t="s">
        <v>239</v>
      </c>
      <c r="L40" t="s">
        <v>336</v>
      </c>
      <c r="M40" t="str">
        <f t="shared" si="2"/>
        <v>salon.2.off</v>
      </c>
      <c r="N40" t="s">
        <v>383</v>
      </c>
      <c r="O40" s="7" t="s">
        <v>395</v>
      </c>
      <c r="P40" s="7"/>
      <c r="Q40" s="7"/>
    </row>
    <row r="41" spans="1:17" x14ac:dyDescent="0.3">
      <c r="F41" t="s">
        <v>422</v>
      </c>
      <c r="G41" t="s">
        <v>6</v>
      </c>
      <c r="I41" t="s">
        <v>240</v>
      </c>
      <c r="J41" t="s">
        <v>359</v>
      </c>
      <c r="K41" t="s">
        <v>240</v>
      </c>
      <c r="L41" t="s">
        <v>336</v>
      </c>
      <c r="M41" t="str">
        <f t="shared" si="2"/>
        <v>salon.3.on</v>
      </c>
      <c r="N41" t="s">
        <v>384</v>
      </c>
    </row>
    <row r="42" spans="1:17" x14ac:dyDescent="0.3">
      <c r="F42" t="s">
        <v>422</v>
      </c>
      <c r="G42" t="s">
        <v>11</v>
      </c>
      <c r="I42" t="s">
        <v>241</v>
      </c>
      <c r="J42" t="s">
        <v>360</v>
      </c>
      <c r="K42" t="s">
        <v>241</v>
      </c>
      <c r="L42" t="s">
        <v>336</v>
      </c>
      <c r="M42" t="str">
        <f t="shared" si="2"/>
        <v>salon.3.off</v>
      </c>
      <c r="N42" t="s">
        <v>384</v>
      </c>
      <c r="O42" s="7" t="s">
        <v>395</v>
      </c>
      <c r="P42" s="7"/>
      <c r="Q42" s="7"/>
    </row>
    <row r="43" spans="1:17" x14ac:dyDescent="0.3">
      <c r="F43" t="s">
        <v>422</v>
      </c>
      <c r="G43" t="s">
        <v>12</v>
      </c>
      <c r="I43" t="s">
        <v>242</v>
      </c>
      <c r="J43" t="s">
        <v>361</v>
      </c>
      <c r="K43" t="s">
        <v>242</v>
      </c>
      <c r="L43" t="s">
        <v>336</v>
      </c>
      <c r="M43" t="str">
        <f t="shared" si="2"/>
        <v>salon.4.on</v>
      </c>
      <c r="N43" t="s">
        <v>385</v>
      </c>
    </row>
    <row r="44" spans="1:17" x14ac:dyDescent="0.3">
      <c r="F44" t="s">
        <v>422</v>
      </c>
      <c r="G44" t="s">
        <v>14</v>
      </c>
      <c r="I44" t="s">
        <v>243</v>
      </c>
      <c r="J44" t="s">
        <v>362</v>
      </c>
      <c r="K44" t="s">
        <v>243</v>
      </c>
      <c r="L44" t="s">
        <v>336</v>
      </c>
      <c r="M44" t="str">
        <f t="shared" si="2"/>
        <v>salon.4.off</v>
      </c>
      <c r="N44" t="s">
        <v>385</v>
      </c>
      <c r="O44" s="7" t="s">
        <v>395</v>
      </c>
      <c r="P44" s="7"/>
      <c r="Q44" s="7"/>
    </row>
    <row r="45" spans="1:17" x14ac:dyDescent="0.3">
      <c r="F45" t="s">
        <v>422</v>
      </c>
      <c r="G45" t="s">
        <v>13</v>
      </c>
      <c r="I45" t="s">
        <v>244</v>
      </c>
      <c r="J45" t="s">
        <v>363</v>
      </c>
      <c r="K45" t="s">
        <v>244</v>
      </c>
      <c r="L45" t="s">
        <v>336</v>
      </c>
      <c r="M45" t="str">
        <f t="shared" si="2"/>
        <v>salon.5.on</v>
      </c>
      <c r="N45" t="s">
        <v>386</v>
      </c>
    </row>
    <row r="46" spans="1:17" x14ac:dyDescent="0.3">
      <c r="F46" t="s">
        <v>422</v>
      </c>
      <c r="G46" t="s">
        <v>15</v>
      </c>
      <c r="I46" t="s">
        <v>245</v>
      </c>
      <c r="J46" t="s">
        <v>364</v>
      </c>
      <c r="K46" t="s">
        <v>245</v>
      </c>
      <c r="L46" t="s">
        <v>336</v>
      </c>
      <c r="M46" t="str">
        <f t="shared" si="2"/>
        <v>salon.5.off</v>
      </c>
      <c r="N46" t="s">
        <v>386</v>
      </c>
      <c r="O46" s="7" t="s">
        <v>395</v>
      </c>
      <c r="P46" s="7"/>
      <c r="Q46" s="7"/>
    </row>
    <row r="47" spans="1:17" s="1" customFormat="1" x14ac:dyDescent="0.3">
      <c r="A47" s="1" t="s">
        <v>429</v>
      </c>
      <c r="F47" s="1" t="s">
        <v>417</v>
      </c>
      <c r="G47" s="1" t="s">
        <v>419</v>
      </c>
    </row>
    <row r="48" spans="1:17" x14ac:dyDescent="0.3">
      <c r="F48" t="s">
        <v>424</v>
      </c>
      <c r="I48" s="7" t="s">
        <v>435</v>
      </c>
      <c r="J48" s="7" t="str">
        <f>I48</f>
        <v>Lumières</v>
      </c>
    </row>
    <row r="49" spans="1:17" x14ac:dyDescent="0.3">
      <c r="F49" t="s">
        <v>422</v>
      </c>
      <c r="G49" t="s">
        <v>261</v>
      </c>
      <c r="I49" t="s">
        <v>249</v>
      </c>
      <c r="J49" t="s">
        <v>325</v>
      </c>
      <c r="K49" t="s">
        <v>249</v>
      </c>
      <c r="L49" t="s">
        <v>336</v>
      </c>
      <c r="M49" t="str">
        <f t="shared" ref="M49:M60" si="3">G49</f>
        <v>studio.on</v>
      </c>
    </row>
    <row r="50" spans="1:17" x14ac:dyDescent="0.3">
      <c r="F50" t="s">
        <v>422</v>
      </c>
      <c r="G50" t="s">
        <v>262</v>
      </c>
      <c r="I50" t="s">
        <v>250</v>
      </c>
      <c r="J50" t="s">
        <v>326</v>
      </c>
      <c r="K50" t="s">
        <v>250</v>
      </c>
      <c r="L50" t="s">
        <v>336</v>
      </c>
      <c r="M50" t="str">
        <f t="shared" si="3"/>
        <v>studio.off</v>
      </c>
      <c r="O50" s="7" t="s">
        <v>395</v>
      </c>
      <c r="P50" s="7"/>
      <c r="Q50" s="7"/>
    </row>
    <row r="51" spans="1:17" x14ac:dyDescent="0.3">
      <c r="F51" t="s">
        <v>422</v>
      </c>
      <c r="G51" t="s">
        <v>372</v>
      </c>
      <c r="I51" t="s">
        <v>251</v>
      </c>
      <c r="J51" t="s">
        <v>355</v>
      </c>
      <c r="K51" t="s">
        <v>251</v>
      </c>
      <c r="L51" t="s">
        <v>336</v>
      </c>
      <c r="M51" t="str">
        <f t="shared" si="3"/>
        <v>studio.1.on</v>
      </c>
      <c r="N51" t="s">
        <v>387</v>
      </c>
    </row>
    <row r="52" spans="1:17" x14ac:dyDescent="0.3">
      <c r="F52" t="s">
        <v>422</v>
      </c>
      <c r="G52" t="s">
        <v>373</v>
      </c>
      <c r="I52" t="s">
        <v>252</v>
      </c>
      <c r="J52" t="s">
        <v>356</v>
      </c>
      <c r="K52" t="s">
        <v>252</v>
      </c>
      <c r="L52" t="s">
        <v>336</v>
      </c>
      <c r="M52" t="str">
        <f t="shared" si="3"/>
        <v>studio.1.off</v>
      </c>
      <c r="N52" t="s">
        <v>387</v>
      </c>
      <c r="O52" s="7" t="s">
        <v>395</v>
      </c>
      <c r="P52" s="7"/>
      <c r="Q52" s="7"/>
    </row>
    <row r="53" spans="1:17" x14ac:dyDescent="0.3">
      <c r="F53" t="s">
        <v>422</v>
      </c>
      <c r="G53" t="s">
        <v>374</v>
      </c>
      <c r="I53" t="s">
        <v>253</v>
      </c>
      <c r="J53" t="s">
        <v>357</v>
      </c>
      <c r="K53" t="s">
        <v>253</v>
      </c>
      <c r="L53" t="s">
        <v>336</v>
      </c>
      <c r="M53" t="str">
        <f t="shared" si="3"/>
        <v>studio.2.on</v>
      </c>
      <c r="N53" t="s">
        <v>388</v>
      </c>
    </row>
    <row r="54" spans="1:17" x14ac:dyDescent="0.3">
      <c r="F54" t="s">
        <v>422</v>
      </c>
      <c r="G54" t="s">
        <v>375</v>
      </c>
      <c r="I54" t="s">
        <v>254</v>
      </c>
      <c r="J54" t="s">
        <v>358</v>
      </c>
      <c r="K54" t="s">
        <v>254</v>
      </c>
      <c r="L54" t="s">
        <v>336</v>
      </c>
      <c r="M54" t="str">
        <f t="shared" si="3"/>
        <v>studio.2.off</v>
      </c>
      <c r="N54" t="s">
        <v>388</v>
      </c>
      <c r="O54" s="7" t="s">
        <v>395</v>
      </c>
      <c r="P54" s="7"/>
      <c r="Q54" s="7"/>
    </row>
    <row r="55" spans="1:17" x14ac:dyDescent="0.3">
      <c r="F55" t="s">
        <v>422</v>
      </c>
      <c r="G55" t="s">
        <v>376</v>
      </c>
      <c r="I55" t="s">
        <v>255</v>
      </c>
      <c r="J55" t="s">
        <v>359</v>
      </c>
      <c r="K55" t="s">
        <v>255</v>
      </c>
      <c r="L55" t="s">
        <v>336</v>
      </c>
      <c r="M55" t="str">
        <f t="shared" si="3"/>
        <v>studio.3.on</v>
      </c>
      <c r="N55" t="s">
        <v>389</v>
      </c>
    </row>
    <row r="56" spans="1:17" x14ac:dyDescent="0.3">
      <c r="F56" t="s">
        <v>422</v>
      </c>
      <c r="G56" t="s">
        <v>377</v>
      </c>
      <c r="I56" t="s">
        <v>256</v>
      </c>
      <c r="J56" t="s">
        <v>360</v>
      </c>
      <c r="K56" t="s">
        <v>256</v>
      </c>
      <c r="L56" t="s">
        <v>336</v>
      </c>
      <c r="M56" t="str">
        <f t="shared" si="3"/>
        <v>studio.3.off</v>
      </c>
      <c r="N56" t="s">
        <v>389</v>
      </c>
      <c r="O56" s="7" t="s">
        <v>395</v>
      </c>
      <c r="P56" s="7"/>
      <c r="Q56" s="7"/>
    </row>
    <row r="57" spans="1:17" x14ac:dyDescent="0.3">
      <c r="F57" t="s">
        <v>422</v>
      </c>
      <c r="G57" t="s">
        <v>378</v>
      </c>
      <c r="I57" t="s">
        <v>257</v>
      </c>
      <c r="J57" t="s">
        <v>361</v>
      </c>
      <c r="K57" t="s">
        <v>257</v>
      </c>
      <c r="L57" t="s">
        <v>336</v>
      </c>
      <c r="M57" t="str">
        <f t="shared" si="3"/>
        <v>studio.4.on</v>
      </c>
      <c r="N57" t="s">
        <v>390</v>
      </c>
    </row>
    <row r="58" spans="1:17" x14ac:dyDescent="0.3">
      <c r="F58" t="s">
        <v>422</v>
      </c>
      <c r="G58" t="s">
        <v>379</v>
      </c>
      <c r="I58" t="s">
        <v>258</v>
      </c>
      <c r="J58" t="s">
        <v>362</v>
      </c>
      <c r="K58" t="s">
        <v>258</v>
      </c>
      <c r="L58" t="s">
        <v>336</v>
      </c>
      <c r="M58" t="str">
        <f t="shared" si="3"/>
        <v>studio.4.off</v>
      </c>
      <c r="N58" t="s">
        <v>390</v>
      </c>
      <c r="O58" s="7" t="s">
        <v>395</v>
      </c>
      <c r="P58" s="7"/>
      <c r="Q58" s="7"/>
    </row>
    <row r="59" spans="1:17" x14ac:dyDescent="0.3">
      <c r="F59" t="s">
        <v>422</v>
      </c>
      <c r="G59" t="s">
        <v>380</v>
      </c>
      <c r="I59" t="s">
        <v>259</v>
      </c>
      <c r="J59" t="s">
        <v>363</v>
      </c>
      <c r="K59" t="s">
        <v>259</v>
      </c>
      <c r="L59" t="s">
        <v>336</v>
      </c>
      <c r="M59" t="str">
        <f t="shared" si="3"/>
        <v>studio.5.on</v>
      </c>
      <c r="N59" t="s">
        <v>391</v>
      </c>
    </row>
    <row r="60" spans="1:17" x14ac:dyDescent="0.3">
      <c r="F60" t="s">
        <v>422</v>
      </c>
      <c r="G60" t="s">
        <v>381</v>
      </c>
      <c r="I60" t="s">
        <v>260</v>
      </c>
      <c r="J60" t="s">
        <v>364</v>
      </c>
      <c r="K60" t="s">
        <v>260</v>
      </c>
      <c r="L60" t="s">
        <v>336</v>
      </c>
      <c r="M60" t="str">
        <f t="shared" si="3"/>
        <v>studio.5.off</v>
      </c>
      <c r="N60" t="s">
        <v>391</v>
      </c>
      <c r="O60" s="7" t="s">
        <v>395</v>
      </c>
      <c r="P60" s="7"/>
      <c r="Q60" s="7"/>
    </row>
    <row r="61" spans="1:17" x14ac:dyDescent="0.3">
      <c r="O61" s="7"/>
      <c r="P61" s="7"/>
      <c r="Q61" s="7"/>
    </row>
    <row r="62" spans="1:17" x14ac:dyDescent="0.3">
      <c r="A62" t="s">
        <v>434</v>
      </c>
      <c r="O62" s="7"/>
      <c r="P62" s="7"/>
      <c r="Q62" s="7"/>
    </row>
    <row r="63" spans="1:17" s="11" customFormat="1" x14ac:dyDescent="0.3"/>
    <row r="64" spans="1:17" s="1" customFormat="1" x14ac:dyDescent="0.3">
      <c r="B64" s="1" t="s">
        <v>409</v>
      </c>
      <c r="F64" s="1" t="s">
        <v>407</v>
      </c>
      <c r="G64" s="1" t="str">
        <f>"tab"&amp;B64</f>
        <v>tabDevices</v>
      </c>
    </row>
    <row r="65" spans="3:17" s="10" customFormat="1" x14ac:dyDescent="0.3">
      <c r="C65" s="10" t="s">
        <v>285</v>
      </c>
      <c r="G65" s="10" t="str">
        <f>"dev"&amp;C65</f>
        <v>devMacros</v>
      </c>
      <c r="I65" s="10" t="s">
        <v>285</v>
      </c>
      <c r="J65" s="10" t="s">
        <v>285</v>
      </c>
      <c r="P65" s="10" t="s">
        <v>398</v>
      </c>
    </row>
    <row r="66" spans="3:17" x14ac:dyDescent="0.3">
      <c r="G66" t="s">
        <v>47</v>
      </c>
      <c r="I66" s="7" t="s">
        <v>286</v>
      </c>
      <c r="J66" s="7" t="s">
        <v>286</v>
      </c>
      <c r="K66" t="s">
        <v>288</v>
      </c>
      <c r="L66" t="s">
        <v>336</v>
      </c>
      <c r="M66" t="str">
        <f>G66</f>
        <v>tvon</v>
      </c>
      <c r="N66" t="s">
        <v>47</v>
      </c>
    </row>
    <row r="67" spans="3:17" x14ac:dyDescent="0.3">
      <c r="G67" t="s">
        <v>48</v>
      </c>
      <c r="I67" s="7" t="s">
        <v>287</v>
      </c>
      <c r="J67" s="7" t="s">
        <v>287</v>
      </c>
      <c r="K67" t="s">
        <v>289</v>
      </c>
      <c r="L67" t="s">
        <v>336</v>
      </c>
      <c r="M67" t="str">
        <f>G67</f>
        <v>tvoff</v>
      </c>
      <c r="N67" t="s">
        <v>47</v>
      </c>
      <c r="O67" s="7" t="s">
        <v>395</v>
      </c>
      <c r="P67" s="7"/>
      <c r="Q67" s="7"/>
    </row>
    <row r="68" spans="3:17" x14ac:dyDescent="0.3">
      <c r="G68" t="s">
        <v>290</v>
      </c>
      <c r="I68" s="7" t="s">
        <v>292</v>
      </c>
      <c r="J68" s="7" t="s">
        <v>292</v>
      </c>
      <c r="K68" t="s">
        <v>294</v>
      </c>
      <c r="L68" t="s">
        <v>336</v>
      </c>
      <c r="M68" t="str">
        <f>G68</f>
        <v>vpon</v>
      </c>
      <c r="N68" t="s">
        <v>290</v>
      </c>
    </row>
    <row r="69" spans="3:17" x14ac:dyDescent="0.3">
      <c r="G69" t="s">
        <v>291</v>
      </c>
      <c r="I69" s="7" t="s">
        <v>293</v>
      </c>
      <c r="J69" s="7" t="s">
        <v>293</v>
      </c>
      <c r="K69" t="s">
        <v>295</v>
      </c>
      <c r="L69" t="s">
        <v>336</v>
      </c>
      <c r="M69" t="str">
        <f>G69</f>
        <v>vpoff</v>
      </c>
      <c r="N69" t="s">
        <v>290</v>
      </c>
      <c r="O69" s="7" t="s">
        <v>395</v>
      </c>
      <c r="P69" s="7"/>
      <c r="Q69" s="7"/>
    </row>
    <row r="70" spans="3:17" s="10" customFormat="1" x14ac:dyDescent="0.3">
      <c r="C70" s="10" t="s">
        <v>232</v>
      </c>
      <c r="G70" s="10" t="str">
        <f>"dev"&amp;C70</f>
        <v>devSalon</v>
      </c>
      <c r="I70" s="10" t="s">
        <v>232</v>
      </c>
      <c r="J70" s="10" t="s">
        <v>232</v>
      </c>
      <c r="K70" s="10" t="s">
        <v>234</v>
      </c>
      <c r="P70" s="10" t="s">
        <v>397</v>
      </c>
    </row>
    <row r="71" spans="3:17" x14ac:dyDescent="0.3">
      <c r="G71" t="s">
        <v>52</v>
      </c>
      <c r="I71" t="s">
        <v>236</v>
      </c>
      <c r="J71" t="s">
        <v>325</v>
      </c>
      <c r="K71" t="s">
        <v>236</v>
      </c>
      <c r="L71" t="s">
        <v>336</v>
      </c>
      <c r="M71" t="str">
        <f t="shared" ref="M71:M82" si="4">G71</f>
        <v>salon.on</v>
      </c>
    </row>
    <row r="72" spans="3:17" x14ac:dyDescent="0.3">
      <c r="G72" t="s">
        <v>51</v>
      </c>
      <c r="I72" t="s">
        <v>235</v>
      </c>
      <c r="J72" t="s">
        <v>326</v>
      </c>
      <c r="K72" t="s">
        <v>235</v>
      </c>
      <c r="L72" t="s">
        <v>336</v>
      </c>
      <c r="M72" t="str">
        <f t="shared" si="4"/>
        <v>salon.off</v>
      </c>
      <c r="O72" s="7" t="s">
        <v>395</v>
      </c>
      <c r="P72" s="7"/>
      <c r="Q72" s="7"/>
    </row>
    <row r="73" spans="3:17" x14ac:dyDescent="0.3">
      <c r="G73" t="s">
        <v>4</v>
      </c>
      <c r="I73" t="s">
        <v>237</v>
      </c>
      <c r="J73" t="s">
        <v>355</v>
      </c>
      <c r="K73" t="s">
        <v>237</v>
      </c>
      <c r="L73" t="s">
        <v>336</v>
      </c>
      <c r="M73" t="str">
        <f t="shared" si="4"/>
        <v>salon.1.on</v>
      </c>
      <c r="N73" t="s">
        <v>382</v>
      </c>
    </row>
    <row r="74" spans="3:17" x14ac:dyDescent="0.3">
      <c r="G74" t="s">
        <v>9</v>
      </c>
      <c r="I74" t="s">
        <v>246</v>
      </c>
      <c r="J74" t="s">
        <v>356</v>
      </c>
      <c r="K74" t="s">
        <v>246</v>
      </c>
      <c r="L74" t="s">
        <v>336</v>
      </c>
      <c r="M74" t="str">
        <f t="shared" si="4"/>
        <v>salon.1.off</v>
      </c>
      <c r="N74" t="s">
        <v>382</v>
      </c>
      <c r="O74" s="7" t="s">
        <v>395</v>
      </c>
      <c r="P74" s="7"/>
      <c r="Q74" s="7"/>
    </row>
    <row r="75" spans="3:17" x14ac:dyDescent="0.3">
      <c r="G75" t="s">
        <v>5</v>
      </c>
      <c r="I75" t="s">
        <v>238</v>
      </c>
      <c r="J75" t="s">
        <v>357</v>
      </c>
      <c r="K75" t="s">
        <v>238</v>
      </c>
      <c r="L75" t="s">
        <v>336</v>
      </c>
      <c r="M75" t="str">
        <f t="shared" si="4"/>
        <v>salon.2.on</v>
      </c>
      <c r="N75" t="s">
        <v>383</v>
      </c>
    </row>
    <row r="76" spans="3:17" x14ac:dyDescent="0.3">
      <c r="G76" t="s">
        <v>10</v>
      </c>
      <c r="I76" t="s">
        <v>239</v>
      </c>
      <c r="J76" t="s">
        <v>358</v>
      </c>
      <c r="K76" t="s">
        <v>239</v>
      </c>
      <c r="L76" t="s">
        <v>336</v>
      </c>
      <c r="M76" t="str">
        <f t="shared" si="4"/>
        <v>salon.2.off</v>
      </c>
      <c r="N76" t="s">
        <v>383</v>
      </c>
      <c r="O76" s="7" t="s">
        <v>395</v>
      </c>
      <c r="P76" s="7"/>
      <c r="Q76" s="7"/>
    </row>
    <row r="77" spans="3:17" x14ac:dyDescent="0.3">
      <c r="G77" t="s">
        <v>6</v>
      </c>
      <c r="I77" t="s">
        <v>240</v>
      </c>
      <c r="J77" t="s">
        <v>359</v>
      </c>
      <c r="K77" t="s">
        <v>240</v>
      </c>
      <c r="L77" t="s">
        <v>336</v>
      </c>
      <c r="M77" t="str">
        <f t="shared" si="4"/>
        <v>salon.3.on</v>
      </c>
      <c r="N77" t="s">
        <v>384</v>
      </c>
    </row>
    <row r="78" spans="3:17" x14ac:dyDescent="0.3">
      <c r="G78" t="s">
        <v>11</v>
      </c>
      <c r="I78" t="s">
        <v>241</v>
      </c>
      <c r="J78" t="s">
        <v>360</v>
      </c>
      <c r="K78" t="s">
        <v>241</v>
      </c>
      <c r="L78" t="s">
        <v>336</v>
      </c>
      <c r="M78" t="str">
        <f t="shared" si="4"/>
        <v>salon.3.off</v>
      </c>
      <c r="N78" t="s">
        <v>384</v>
      </c>
      <c r="O78" s="7" t="s">
        <v>395</v>
      </c>
      <c r="P78" s="7"/>
      <c r="Q78" s="7"/>
    </row>
    <row r="79" spans="3:17" x14ac:dyDescent="0.3">
      <c r="G79" t="s">
        <v>12</v>
      </c>
      <c r="I79" t="s">
        <v>242</v>
      </c>
      <c r="J79" t="s">
        <v>361</v>
      </c>
      <c r="K79" t="s">
        <v>242</v>
      </c>
      <c r="L79" t="s">
        <v>336</v>
      </c>
      <c r="M79" t="str">
        <f t="shared" si="4"/>
        <v>salon.4.on</v>
      </c>
      <c r="N79" t="s">
        <v>385</v>
      </c>
    </row>
    <row r="80" spans="3:17" x14ac:dyDescent="0.3">
      <c r="G80" t="s">
        <v>14</v>
      </c>
      <c r="I80" t="s">
        <v>243</v>
      </c>
      <c r="J80" t="s">
        <v>362</v>
      </c>
      <c r="K80" t="s">
        <v>243</v>
      </c>
      <c r="L80" t="s">
        <v>336</v>
      </c>
      <c r="M80" t="str">
        <f t="shared" si="4"/>
        <v>salon.4.off</v>
      </c>
      <c r="N80" t="s">
        <v>385</v>
      </c>
      <c r="O80" s="7" t="s">
        <v>395</v>
      </c>
      <c r="P80" s="7"/>
      <c r="Q80" s="7"/>
    </row>
    <row r="81" spans="3:17" x14ac:dyDescent="0.3">
      <c r="G81" t="s">
        <v>13</v>
      </c>
      <c r="I81" t="s">
        <v>244</v>
      </c>
      <c r="J81" t="s">
        <v>363</v>
      </c>
      <c r="K81" t="s">
        <v>244</v>
      </c>
      <c r="L81" t="s">
        <v>336</v>
      </c>
      <c r="M81" t="str">
        <f t="shared" si="4"/>
        <v>salon.5.on</v>
      </c>
      <c r="N81" t="s">
        <v>386</v>
      </c>
    </row>
    <row r="82" spans="3:17" x14ac:dyDescent="0.3">
      <c r="G82" t="s">
        <v>15</v>
      </c>
      <c r="I82" t="s">
        <v>245</v>
      </c>
      <c r="J82" t="s">
        <v>364</v>
      </c>
      <c r="K82" t="s">
        <v>245</v>
      </c>
      <c r="L82" t="s">
        <v>336</v>
      </c>
      <c r="M82" t="str">
        <f t="shared" si="4"/>
        <v>salon.5.off</v>
      </c>
      <c r="N82" t="s">
        <v>386</v>
      </c>
      <c r="O82" s="7" t="s">
        <v>395</v>
      </c>
      <c r="P82" s="7"/>
      <c r="Q82" s="7"/>
    </row>
    <row r="83" spans="3:17" s="10" customFormat="1" x14ac:dyDescent="0.3">
      <c r="C83" s="10" t="s">
        <v>247</v>
      </c>
      <c r="G83" s="10" t="str">
        <f>"dev"&amp;C83</f>
        <v>devStudio</v>
      </c>
      <c r="I83" s="10" t="s">
        <v>247</v>
      </c>
      <c r="J83" s="10" t="s">
        <v>247</v>
      </c>
      <c r="K83" s="10" t="s">
        <v>248</v>
      </c>
      <c r="P83" s="10" t="s">
        <v>397</v>
      </c>
    </row>
    <row r="84" spans="3:17" x14ac:dyDescent="0.3">
      <c r="G84" t="s">
        <v>261</v>
      </c>
      <c r="I84" t="s">
        <v>249</v>
      </c>
      <c r="J84" t="s">
        <v>325</v>
      </c>
      <c r="K84" t="s">
        <v>249</v>
      </c>
      <c r="L84" t="s">
        <v>336</v>
      </c>
      <c r="M84" t="str">
        <f t="shared" ref="M84:M95" si="5">G84</f>
        <v>studio.on</v>
      </c>
    </row>
    <row r="85" spans="3:17" x14ac:dyDescent="0.3">
      <c r="G85" t="s">
        <v>262</v>
      </c>
      <c r="I85" t="s">
        <v>250</v>
      </c>
      <c r="J85" t="s">
        <v>326</v>
      </c>
      <c r="K85" t="s">
        <v>250</v>
      </c>
      <c r="L85" t="s">
        <v>336</v>
      </c>
      <c r="M85" t="str">
        <f t="shared" si="5"/>
        <v>studio.off</v>
      </c>
      <c r="O85" s="7" t="s">
        <v>395</v>
      </c>
      <c r="P85" s="7"/>
      <c r="Q85" s="7"/>
    </row>
    <row r="86" spans="3:17" x14ac:dyDescent="0.3">
      <c r="G86" t="s">
        <v>372</v>
      </c>
      <c r="I86" t="s">
        <v>251</v>
      </c>
      <c r="J86" t="s">
        <v>355</v>
      </c>
      <c r="K86" t="s">
        <v>251</v>
      </c>
      <c r="L86" t="s">
        <v>336</v>
      </c>
      <c r="M86" t="str">
        <f t="shared" si="5"/>
        <v>studio.1.on</v>
      </c>
      <c r="N86" t="s">
        <v>387</v>
      </c>
    </row>
    <row r="87" spans="3:17" x14ac:dyDescent="0.3">
      <c r="G87" t="s">
        <v>373</v>
      </c>
      <c r="I87" t="s">
        <v>252</v>
      </c>
      <c r="J87" t="s">
        <v>356</v>
      </c>
      <c r="K87" t="s">
        <v>252</v>
      </c>
      <c r="L87" t="s">
        <v>336</v>
      </c>
      <c r="M87" t="str">
        <f t="shared" si="5"/>
        <v>studio.1.off</v>
      </c>
      <c r="N87" t="s">
        <v>387</v>
      </c>
      <c r="O87" s="7" t="s">
        <v>395</v>
      </c>
      <c r="P87" s="7"/>
      <c r="Q87" s="7"/>
    </row>
    <row r="88" spans="3:17" x14ac:dyDescent="0.3">
      <c r="G88" t="s">
        <v>374</v>
      </c>
      <c r="I88" t="s">
        <v>253</v>
      </c>
      <c r="J88" t="s">
        <v>357</v>
      </c>
      <c r="K88" t="s">
        <v>253</v>
      </c>
      <c r="L88" t="s">
        <v>336</v>
      </c>
      <c r="M88" t="str">
        <f t="shared" si="5"/>
        <v>studio.2.on</v>
      </c>
      <c r="N88" t="s">
        <v>388</v>
      </c>
    </row>
    <row r="89" spans="3:17" x14ac:dyDescent="0.3">
      <c r="G89" t="s">
        <v>375</v>
      </c>
      <c r="I89" t="s">
        <v>254</v>
      </c>
      <c r="J89" t="s">
        <v>358</v>
      </c>
      <c r="K89" t="s">
        <v>254</v>
      </c>
      <c r="L89" t="s">
        <v>336</v>
      </c>
      <c r="M89" t="str">
        <f t="shared" si="5"/>
        <v>studio.2.off</v>
      </c>
      <c r="N89" t="s">
        <v>388</v>
      </c>
      <c r="O89" s="7" t="s">
        <v>395</v>
      </c>
      <c r="P89" s="7"/>
      <c r="Q89" s="7"/>
    </row>
    <row r="90" spans="3:17" x14ac:dyDescent="0.3">
      <c r="G90" t="s">
        <v>376</v>
      </c>
      <c r="I90" t="s">
        <v>255</v>
      </c>
      <c r="J90" t="s">
        <v>359</v>
      </c>
      <c r="K90" t="s">
        <v>255</v>
      </c>
      <c r="L90" t="s">
        <v>336</v>
      </c>
      <c r="M90" t="str">
        <f t="shared" si="5"/>
        <v>studio.3.on</v>
      </c>
      <c r="N90" t="s">
        <v>389</v>
      </c>
    </row>
    <row r="91" spans="3:17" x14ac:dyDescent="0.3">
      <c r="G91" t="s">
        <v>377</v>
      </c>
      <c r="I91" t="s">
        <v>256</v>
      </c>
      <c r="J91" t="s">
        <v>360</v>
      </c>
      <c r="K91" t="s">
        <v>256</v>
      </c>
      <c r="L91" t="s">
        <v>336</v>
      </c>
      <c r="M91" t="str">
        <f t="shared" si="5"/>
        <v>studio.3.off</v>
      </c>
      <c r="N91" t="s">
        <v>389</v>
      </c>
      <c r="O91" s="7" t="s">
        <v>395</v>
      </c>
      <c r="P91" s="7"/>
      <c r="Q91" s="7"/>
    </row>
    <row r="92" spans="3:17" x14ac:dyDescent="0.3">
      <c r="G92" t="s">
        <v>378</v>
      </c>
      <c r="I92" t="s">
        <v>257</v>
      </c>
      <c r="J92" t="s">
        <v>361</v>
      </c>
      <c r="K92" t="s">
        <v>257</v>
      </c>
      <c r="L92" t="s">
        <v>336</v>
      </c>
      <c r="M92" t="str">
        <f t="shared" si="5"/>
        <v>studio.4.on</v>
      </c>
      <c r="N92" t="s">
        <v>390</v>
      </c>
    </row>
    <row r="93" spans="3:17" x14ac:dyDescent="0.3">
      <c r="G93" t="s">
        <v>379</v>
      </c>
      <c r="I93" t="s">
        <v>258</v>
      </c>
      <c r="J93" t="s">
        <v>362</v>
      </c>
      <c r="K93" t="s">
        <v>258</v>
      </c>
      <c r="L93" t="s">
        <v>336</v>
      </c>
      <c r="M93" t="str">
        <f t="shared" si="5"/>
        <v>studio.4.off</v>
      </c>
      <c r="N93" t="s">
        <v>390</v>
      </c>
      <c r="O93" s="7" t="s">
        <v>395</v>
      </c>
      <c r="P93" s="7"/>
      <c r="Q93" s="7"/>
    </row>
    <row r="94" spans="3:17" x14ac:dyDescent="0.3">
      <c r="G94" t="s">
        <v>380</v>
      </c>
      <c r="I94" t="s">
        <v>259</v>
      </c>
      <c r="J94" t="s">
        <v>363</v>
      </c>
      <c r="K94" t="s">
        <v>259</v>
      </c>
      <c r="L94" t="s">
        <v>336</v>
      </c>
      <c r="M94" t="str">
        <f t="shared" si="5"/>
        <v>studio.5.on</v>
      </c>
      <c r="N94" t="s">
        <v>391</v>
      </c>
    </row>
    <row r="95" spans="3:17" x14ac:dyDescent="0.3">
      <c r="G95" t="s">
        <v>381</v>
      </c>
      <c r="I95" t="s">
        <v>260</v>
      </c>
      <c r="J95" t="s">
        <v>364</v>
      </c>
      <c r="K95" t="s">
        <v>260</v>
      </c>
      <c r="L95" t="s">
        <v>336</v>
      </c>
      <c r="M95" t="str">
        <f t="shared" si="5"/>
        <v>studio.5.off</v>
      </c>
      <c r="N95" t="s">
        <v>391</v>
      </c>
      <c r="O95" s="7" t="s">
        <v>395</v>
      </c>
      <c r="P95" s="7"/>
      <c r="Q95" s="7"/>
    </row>
    <row r="96" spans="3:17" s="10" customFormat="1" x14ac:dyDescent="0.3">
      <c r="C96" s="10" t="s">
        <v>263</v>
      </c>
      <c r="G96" s="10" t="str">
        <f>"dev"&amp;C96</f>
        <v>devMaison</v>
      </c>
      <c r="I96" s="10" t="s">
        <v>263</v>
      </c>
      <c r="J96" s="10" t="s">
        <v>263</v>
      </c>
      <c r="K96" s="10" t="s">
        <v>272</v>
      </c>
      <c r="P96" s="10" t="s">
        <v>401</v>
      </c>
    </row>
    <row r="97" spans="3:17" x14ac:dyDescent="0.3">
      <c r="G97" t="s">
        <v>264</v>
      </c>
      <c r="I97" t="s">
        <v>266</v>
      </c>
      <c r="J97" t="s">
        <v>266</v>
      </c>
      <c r="K97" t="s">
        <v>266</v>
      </c>
      <c r="L97" t="s">
        <v>336</v>
      </c>
      <c r="M97" t="str">
        <f>G97</f>
        <v>jardin.on</v>
      </c>
      <c r="N97" t="s">
        <v>392</v>
      </c>
    </row>
    <row r="98" spans="3:17" x14ac:dyDescent="0.3">
      <c r="G98" t="s">
        <v>265</v>
      </c>
      <c r="I98" t="s">
        <v>267</v>
      </c>
      <c r="J98" t="s">
        <v>267</v>
      </c>
      <c r="K98" t="s">
        <v>267</v>
      </c>
      <c r="L98" t="s">
        <v>336</v>
      </c>
      <c r="M98" t="str">
        <f>G98</f>
        <v>jardin.off</v>
      </c>
      <c r="N98" t="s">
        <v>392</v>
      </c>
      <c r="O98" s="7" t="s">
        <v>395</v>
      </c>
      <c r="P98" s="7"/>
      <c r="Q98" s="7"/>
    </row>
    <row r="99" spans="3:17" x14ac:dyDescent="0.3">
      <c r="G99" t="s">
        <v>270</v>
      </c>
      <c r="I99" t="s">
        <v>344</v>
      </c>
      <c r="J99" t="s">
        <v>344</v>
      </c>
      <c r="K99" t="s">
        <v>268</v>
      </c>
      <c r="L99" t="s">
        <v>336</v>
      </c>
      <c r="M99" t="str">
        <f>G99</f>
        <v>volets.on</v>
      </c>
      <c r="N99" t="s">
        <v>393</v>
      </c>
    </row>
    <row r="100" spans="3:17" x14ac:dyDescent="0.3">
      <c r="G100" t="s">
        <v>271</v>
      </c>
      <c r="I100" t="s">
        <v>345</v>
      </c>
      <c r="J100" t="s">
        <v>345</v>
      </c>
      <c r="K100" t="s">
        <v>269</v>
      </c>
      <c r="L100" t="s">
        <v>336</v>
      </c>
      <c r="M100" t="str">
        <f>G100</f>
        <v>volets.off</v>
      </c>
      <c r="N100" t="s">
        <v>393</v>
      </c>
      <c r="O100" s="7" t="s">
        <v>395</v>
      </c>
      <c r="P100" s="7"/>
      <c r="Q100" s="7"/>
    </row>
    <row r="101" spans="3:17" s="10" customFormat="1" x14ac:dyDescent="0.3">
      <c r="C101" s="10" t="s">
        <v>273</v>
      </c>
      <c r="G101" s="10" t="str">
        <f>"dev"&amp;C101</f>
        <v>devTV</v>
      </c>
      <c r="I101" s="10" t="s">
        <v>307</v>
      </c>
      <c r="J101" s="10" t="s">
        <v>307</v>
      </c>
      <c r="K101" s="10" t="s">
        <v>307</v>
      </c>
      <c r="P101" s="10" t="s">
        <v>399</v>
      </c>
    </row>
    <row r="102" spans="3:17" x14ac:dyDescent="0.3">
      <c r="G102" t="s">
        <v>274</v>
      </c>
      <c r="I102" t="s">
        <v>281</v>
      </c>
      <c r="J102" t="s">
        <v>281</v>
      </c>
      <c r="L102" t="s">
        <v>336</v>
      </c>
      <c r="M102" t="str">
        <f t="shared" ref="M102:M108" si="6">G102</f>
        <v>tv.on</v>
      </c>
    </row>
    <row r="103" spans="3:17" x14ac:dyDescent="0.3">
      <c r="G103" t="s">
        <v>275</v>
      </c>
      <c r="I103" t="s">
        <v>282</v>
      </c>
      <c r="J103" t="s">
        <v>282</v>
      </c>
      <c r="L103" t="s">
        <v>336</v>
      </c>
      <c r="M103" t="str">
        <f t="shared" si="6"/>
        <v>tv.off</v>
      </c>
    </row>
    <row r="104" spans="3:17" x14ac:dyDescent="0.3">
      <c r="G104" t="s">
        <v>276</v>
      </c>
      <c r="I104" t="s">
        <v>283</v>
      </c>
      <c r="J104" t="s">
        <v>283</v>
      </c>
      <c r="L104" t="s">
        <v>336</v>
      </c>
      <c r="M104" t="str">
        <f t="shared" si="6"/>
        <v>tv.mute</v>
      </c>
      <c r="O104" s="7" t="s">
        <v>395</v>
      </c>
      <c r="P104" s="7"/>
      <c r="Q104" s="7"/>
    </row>
    <row r="105" spans="3:17" x14ac:dyDescent="0.3">
      <c r="G105" t="s">
        <v>277</v>
      </c>
      <c r="I105" t="s">
        <v>365</v>
      </c>
      <c r="J105" t="s">
        <v>365</v>
      </c>
      <c r="L105" t="s">
        <v>336</v>
      </c>
      <c r="M105" t="str">
        <f t="shared" si="6"/>
        <v>tv.entree.hdmi1</v>
      </c>
    </row>
    <row r="106" spans="3:17" x14ac:dyDescent="0.3">
      <c r="G106" t="s">
        <v>278</v>
      </c>
      <c r="I106" t="s">
        <v>366</v>
      </c>
      <c r="J106" t="s">
        <v>366</v>
      </c>
      <c r="L106" t="s">
        <v>336</v>
      </c>
      <c r="M106" t="str">
        <f t="shared" si="6"/>
        <v>tv.entree.hdmi2</v>
      </c>
    </row>
    <row r="107" spans="3:17" x14ac:dyDescent="0.3">
      <c r="G107" t="s">
        <v>279</v>
      </c>
      <c r="I107" t="s">
        <v>367</v>
      </c>
      <c r="J107" t="s">
        <v>367</v>
      </c>
      <c r="L107" t="s">
        <v>336</v>
      </c>
      <c r="M107" t="str">
        <f t="shared" si="6"/>
        <v>tv.entree.hdmi3</v>
      </c>
      <c r="O107" s="7" t="s">
        <v>395</v>
      </c>
      <c r="P107" s="7"/>
      <c r="Q107" s="7"/>
    </row>
    <row r="108" spans="3:17" x14ac:dyDescent="0.3">
      <c r="G108" t="s">
        <v>280</v>
      </c>
      <c r="I108" t="s">
        <v>284</v>
      </c>
      <c r="J108" t="s">
        <v>284</v>
      </c>
      <c r="L108" t="s">
        <v>336</v>
      </c>
      <c r="M108" t="str">
        <f t="shared" si="6"/>
        <v>tv.vol0</v>
      </c>
      <c r="O108" s="7" t="s">
        <v>395</v>
      </c>
      <c r="P108" s="7"/>
      <c r="Q108" s="7"/>
    </row>
    <row r="109" spans="3:17" s="10" customFormat="1" x14ac:dyDescent="0.3">
      <c r="C109" s="10" t="s">
        <v>347</v>
      </c>
      <c r="G109" s="10" t="str">
        <f>"dev"&amp;C109</f>
        <v>devVPSalon</v>
      </c>
      <c r="I109" s="10" t="s">
        <v>308</v>
      </c>
      <c r="J109" s="10" t="s">
        <v>308</v>
      </c>
      <c r="K109" s="10" t="s">
        <v>308</v>
      </c>
      <c r="P109" s="10" t="s">
        <v>399</v>
      </c>
    </row>
    <row r="110" spans="3:17" x14ac:dyDescent="0.3">
      <c r="G110" t="s">
        <v>310</v>
      </c>
      <c r="I110" t="s">
        <v>296</v>
      </c>
      <c r="J110" t="s">
        <v>296</v>
      </c>
      <c r="L110" t="s">
        <v>336</v>
      </c>
      <c r="M110" t="str">
        <f>G110</f>
        <v>vpsalon.on</v>
      </c>
    </row>
    <row r="111" spans="3:17" x14ac:dyDescent="0.3">
      <c r="G111" t="s">
        <v>311</v>
      </c>
      <c r="I111" t="s">
        <v>297</v>
      </c>
      <c r="J111" t="s">
        <v>297</v>
      </c>
      <c r="L111" t="s">
        <v>336</v>
      </c>
      <c r="M111" t="str">
        <f>G111</f>
        <v>vpsalon.off</v>
      </c>
      <c r="O111" s="7" t="s">
        <v>395</v>
      </c>
      <c r="P111" s="7"/>
      <c r="Q111" s="7"/>
    </row>
    <row r="112" spans="3:17" x14ac:dyDescent="0.3">
      <c r="G112" t="s">
        <v>299</v>
      </c>
      <c r="I112" t="s">
        <v>300</v>
      </c>
      <c r="J112" t="s">
        <v>300</v>
      </c>
      <c r="L112" t="s">
        <v>336</v>
      </c>
      <c r="M112" t="str">
        <f>G112</f>
        <v>ecran.haut</v>
      </c>
    </row>
    <row r="113" spans="3:17" x14ac:dyDescent="0.3">
      <c r="G113" t="s">
        <v>298</v>
      </c>
      <c r="I113" t="s">
        <v>301</v>
      </c>
      <c r="J113" t="s">
        <v>301</v>
      </c>
      <c r="L113" t="s">
        <v>336</v>
      </c>
      <c r="M113" t="str">
        <f>G113</f>
        <v>ecran.bas</v>
      </c>
      <c r="O113" s="7" t="s">
        <v>395</v>
      </c>
      <c r="P113" s="7"/>
      <c r="Q113" s="7"/>
    </row>
    <row r="114" spans="3:17" s="10" customFormat="1" x14ac:dyDescent="0.3">
      <c r="C114" s="10" t="s">
        <v>348</v>
      </c>
      <c r="G114" s="10" t="str">
        <f>"dev"&amp;C114</f>
        <v>devVPStudio</v>
      </c>
      <c r="I114" s="10" t="s">
        <v>312</v>
      </c>
      <c r="J114" s="10" t="s">
        <v>312</v>
      </c>
      <c r="K114" s="10" t="s">
        <v>312</v>
      </c>
      <c r="P114" s="10" t="s">
        <v>399</v>
      </c>
    </row>
    <row r="115" spans="3:17" x14ac:dyDescent="0.3">
      <c r="G115" t="s">
        <v>227</v>
      </c>
      <c r="I115" t="s">
        <v>296</v>
      </c>
      <c r="J115" t="s">
        <v>296</v>
      </c>
      <c r="L115" t="s">
        <v>336</v>
      </c>
      <c r="M115" t="str">
        <f>G115</f>
        <v>vpstudio.on</v>
      </c>
    </row>
    <row r="116" spans="3:17" x14ac:dyDescent="0.3">
      <c r="G116" t="s">
        <v>228</v>
      </c>
      <c r="I116" t="s">
        <v>297</v>
      </c>
      <c r="J116" t="s">
        <v>297</v>
      </c>
      <c r="L116" t="s">
        <v>336</v>
      </c>
      <c r="M116" t="str">
        <f>G116</f>
        <v>vpstudio.off</v>
      </c>
      <c r="O116" s="7" t="s">
        <v>395</v>
      </c>
      <c r="P116" s="7"/>
      <c r="Q116" s="7"/>
    </row>
    <row r="117" spans="3:17" s="10" customFormat="1" x14ac:dyDescent="0.3">
      <c r="C117" s="10" t="s">
        <v>349</v>
      </c>
      <c r="G117" s="10" t="str">
        <f>"dev"&amp;C117</f>
        <v>devAmpliSalon</v>
      </c>
      <c r="I117" s="10" t="s">
        <v>309</v>
      </c>
      <c r="J117" s="10" t="s">
        <v>309</v>
      </c>
      <c r="K117" s="10" t="s">
        <v>309</v>
      </c>
      <c r="P117" s="10" t="s">
        <v>399</v>
      </c>
    </row>
    <row r="118" spans="3:17" x14ac:dyDescent="0.3">
      <c r="G118" t="s">
        <v>50</v>
      </c>
      <c r="I118" t="s">
        <v>302</v>
      </c>
      <c r="J118" t="s">
        <v>302</v>
      </c>
      <c r="L118" t="s">
        <v>336</v>
      </c>
      <c r="M118" t="str">
        <f>G118</f>
        <v>ampli.on</v>
      </c>
    </row>
    <row r="119" spans="3:17" x14ac:dyDescent="0.3">
      <c r="G119" t="s">
        <v>49</v>
      </c>
      <c r="I119" t="s">
        <v>303</v>
      </c>
      <c r="J119" t="s">
        <v>303</v>
      </c>
      <c r="L119" t="s">
        <v>336</v>
      </c>
      <c r="M119" t="str">
        <f>G119</f>
        <v>ampli.off</v>
      </c>
      <c r="O119" s="7" t="s">
        <v>395</v>
      </c>
      <c r="P119" s="7"/>
      <c r="Q119" s="7"/>
    </row>
    <row r="120" spans="3:17" x14ac:dyDescent="0.3">
      <c r="G120" t="s">
        <v>44</v>
      </c>
      <c r="I120" t="s">
        <v>304</v>
      </c>
      <c r="J120" t="s">
        <v>304</v>
      </c>
      <c r="L120" t="s">
        <v>336</v>
      </c>
      <c r="M120" t="str">
        <f>G120</f>
        <v>ampli.volp</v>
      </c>
    </row>
    <row r="121" spans="3:17" x14ac:dyDescent="0.3">
      <c r="G121" t="s">
        <v>45</v>
      </c>
      <c r="I121" t="s">
        <v>305</v>
      </c>
      <c r="J121" t="s">
        <v>305</v>
      </c>
      <c r="L121" t="s">
        <v>336</v>
      </c>
      <c r="M121" t="str">
        <f>G121</f>
        <v>ampli.volm</v>
      </c>
    </row>
    <row r="122" spans="3:17" x14ac:dyDescent="0.3">
      <c r="G122" t="s">
        <v>46</v>
      </c>
      <c r="I122" t="s">
        <v>283</v>
      </c>
      <c r="J122" t="s">
        <v>283</v>
      </c>
      <c r="L122" t="s">
        <v>336</v>
      </c>
      <c r="M122" t="str">
        <f>G122</f>
        <v>ampli.mute</v>
      </c>
      <c r="O122" s="7" t="s">
        <v>395</v>
      </c>
      <c r="P122" s="7"/>
      <c r="Q122" s="7"/>
    </row>
    <row r="123" spans="3:17" s="10" customFormat="1" x14ac:dyDescent="0.3">
      <c r="C123" s="10" t="s">
        <v>350</v>
      </c>
      <c r="G123" s="10" t="str">
        <f>"dev"&amp;C123</f>
        <v>devAmpliStudio</v>
      </c>
      <c r="I123" s="10" t="s">
        <v>346</v>
      </c>
      <c r="J123" s="10" t="s">
        <v>346</v>
      </c>
      <c r="K123" s="10" t="s">
        <v>346</v>
      </c>
      <c r="P123" s="10" t="s">
        <v>399</v>
      </c>
    </row>
    <row r="124" spans="3:17" x14ac:dyDescent="0.3">
      <c r="G124" t="s">
        <v>351</v>
      </c>
      <c r="I124" t="s">
        <v>304</v>
      </c>
      <c r="J124" t="s">
        <v>304</v>
      </c>
      <c r="L124" t="s">
        <v>336</v>
      </c>
      <c r="M124" t="str">
        <f>G124</f>
        <v>preamp.volp</v>
      </c>
    </row>
    <row r="125" spans="3:17" x14ac:dyDescent="0.3">
      <c r="G125" t="s">
        <v>352</v>
      </c>
      <c r="I125" t="s">
        <v>305</v>
      </c>
      <c r="J125" t="s">
        <v>305</v>
      </c>
      <c r="L125" t="s">
        <v>336</v>
      </c>
      <c r="M125" t="str">
        <f>G125</f>
        <v>preamp.volm</v>
      </c>
    </row>
    <row r="126" spans="3:17" x14ac:dyDescent="0.3">
      <c r="G126" t="s">
        <v>229</v>
      </c>
      <c r="I126" t="s">
        <v>283</v>
      </c>
      <c r="J126" t="s">
        <v>283</v>
      </c>
      <c r="L126" t="s">
        <v>336</v>
      </c>
      <c r="M126" t="str">
        <f>G126</f>
        <v>preamp.mute</v>
      </c>
      <c r="O126" s="7" t="s">
        <v>395</v>
      </c>
      <c r="P126" s="7"/>
      <c r="Q126" s="7"/>
    </row>
    <row r="127" spans="3:17" s="10" customFormat="1" x14ac:dyDescent="0.3">
      <c r="C127" s="10" t="s">
        <v>306</v>
      </c>
      <c r="G127" s="10" t="str">
        <f>"dev"&amp;C127</f>
        <v>devHDMI</v>
      </c>
      <c r="I127" s="10" t="s">
        <v>306</v>
      </c>
      <c r="J127" s="10" t="s">
        <v>306</v>
      </c>
      <c r="K127" s="10" t="s">
        <v>314</v>
      </c>
      <c r="P127" s="10" t="s">
        <v>399</v>
      </c>
    </row>
    <row r="128" spans="3:17" x14ac:dyDescent="0.3">
      <c r="G128" t="s">
        <v>77</v>
      </c>
      <c r="I128" t="s">
        <v>365</v>
      </c>
      <c r="J128">
        <v>1</v>
      </c>
      <c r="L128" t="s">
        <v>336</v>
      </c>
      <c r="M128" t="str">
        <f>G128</f>
        <v>hdmi.1</v>
      </c>
    </row>
    <row r="129" spans="3:17" x14ac:dyDescent="0.3">
      <c r="G129" t="s">
        <v>78</v>
      </c>
      <c r="I129" t="s">
        <v>366</v>
      </c>
      <c r="J129">
        <v>2</v>
      </c>
      <c r="L129" t="s">
        <v>336</v>
      </c>
      <c r="M129" t="str">
        <f>G129</f>
        <v>hdmi.2</v>
      </c>
    </row>
    <row r="130" spans="3:17" x14ac:dyDescent="0.3">
      <c r="G130" t="s">
        <v>79</v>
      </c>
      <c r="I130" t="s">
        <v>367</v>
      </c>
      <c r="J130">
        <v>3</v>
      </c>
      <c r="L130" t="s">
        <v>336</v>
      </c>
      <c r="M130" t="str">
        <f>G130</f>
        <v>hdmi.3</v>
      </c>
    </row>
    <row r="131" spans="3:17" x14ac:dyDescent="0.3">
      <c r="G131" t="s">
        <v>80</v>
      </c>
      <c r="I131" t="s">
        <v>368</v>
      </c>
      <c r="J131">
        <v>4</v>
      </c>
      <c r="L131" t="s">
        <v>336</v>
      </c>
      <c r="M131" t="str">
        <f>G131</f>
        <v>hdmi.4</v>
      </c>
    </row>
    <row r="132" spans="3:17" x14ac:dyDescent="0.3">
      <c r="G132" t="s">
        <v>81</v>
      </c>
      <c r="I132" t="s">
        <v>369</v>
      </c>
      <c r="J132">
        <v>5</v>
      </c>
      <c r="L132" t="s">
        <v>336</v>
      </c>
      <c r="M132" t="str">
        <f>G132</f>
        <v>hdmi.5</v>
      </c>
      <c r="O132" s="7" t="s">
        <v>395</v>
      </c>
      <c r="P132" s="7"/>
      <c r="Q132" s="7"/>
    </row>
    <row r="133" spans="3:17" s="10" customFormat="1" x14ac:dyDescent="0.3">
      <c r="C133" s="10" t="s">
        <v>313</v>
      </c>
      <c r="G133" s="10" t="str">
        <f>"dev"&amp;C133</f>
        <v>devSonOff01</v>
      </c>
      <c r="I133" s="10" t="s">
        <v>313</v>
      </c>
      <c r="J133" s="10" t="s">
        <v>313</v>
      </c>
      <c r="K133" s="10" t="s">
        <v>313</v>
      </c>
      <c r="P133" s="10" t="s">
        <v>400</v>
      </c>
    </row>
    <row r="134" spans="3:17" x14ac:dyDescent="0.3">
      <c r="G134" t="s">
        <v>318</v>
      </c>
      <c r="I134" t="s">
        <v>316</v>
      </c>
      <c r="J134" t="s">
        <v>316</v>
      </c>
      <c r="L134" t="s">
        <v>338</v>
      </c>
      <c r="M134" t="str">
        <f>G134</f>
        <v>sonoff01.version</v>
      </c>
      <c r="O134" s="7" t="s">
        <v>395</v>
      </c>
      <c r="P134" s="7"/>
      <c r="Q134" s="7"/>
    </row>
    <row r="135" spans="3:17" x14ac:dyDescent="0.3">
      <c r="G135" t="s">
        <v>323</v>
      </c>
      <c r="I135" t="s">
        <v>325</v>
      </c>
      <c r="J135" t="s">
        <v>325</v>
      </c>
      <c r="L135" t="s">
        <v>338</v>
      </c>
      <c r="M135" t="str">
        <f>G135</f>
        <v>sonoff01.on</v>
      </c>
    </row>
    <row r="136" spans="3:17" x14ac:dyDescent="0.3">
      <c r="G136" t="s">
        <v>324</v>
      </c>
      <c r="I136" t="s">
        <v>326</v>
      </c>
      <c r="J136" t="s">
        <v>326</v>
      </c>
      <c r="L136" t="s">
        <v>338</v>
      </c>
      <c r="M136" t="str">
        <f>G136</f>
        <v>sonoff01.off</v>
      </c>
    </row>
    <row r="137" spans="3:17" x14ac:dyDescent="0.3">
      <c r="G137" t="s">
        <v>319</v>
      </c>
      <c r="I137" t="s">
        <v>322</v>
      </c>
      <c r="J137" t="s">
        <v>322</v>
      </c>
      <c r="L137" t="s">
        <v>338</v>
      </c>
      <c r="M137" t="str">
        <f>G137</f>
        <v>sonoff01.toggle</v>
      </c>
      <c r="O137" s="7" t="s">
        <v>395</v>
      </c>
      <c r="P137" s="7"/>
      <c r="Q137" s="7"/>
    </row>
    <row r="138" spans="3:17" x14ac:dyDescent="0.3">
      <c r="G138" t="s">
        <v>321</v>
      </c>
      <c r="I138" t="s">
        <v>320</v>
      </c>
      <c r="J138" t="s">
        <v>320</v>
      </c>
      <c r="L138" t="s">
        <v>341</v>
      </c>
      <c r="M138" t="s">
        <v>343</v>
      </c>
      <c r="O138" s="7" t="s">
        <v>395</v>
      </c>
      <c r="P138" s="7"/>
      <c r="Q138" s="7"/>
    </row>
    <row r="139" spans="3:17" s="10" customFormat="1" x14ac:dyDescent="0.3">
      <c r="C139" s="10" t="s">
        <v>327</v>
      </c>
      <c r="G139" s="10" t="str">
        <f>"dev"&amp;C139</f>
        <v>devSonOff02</v>
      </c>
      <c r="I139" s="10" t="s">
        <v>327</v>
      </c>
      <c r="J139" s="10" t="s">
        <v>327</v>
      </c>
      <c r="K139" s="10" t="s">
        <v>327</v>
      </c>
      <c r="P139" s="10" t="s">
        <v>400</v>
      </c>
    </row>
    <row r="140" spans="3:17" x14ac:dyDescent="0.3">
      <c r="G140" t="s">
        <v>328</v>
      </c>
      <c r="I140" t="s">
        <v>316</v>
      </c>
      <c r="J140" t="s">
        <v>316</v>
      </c>
      <c r="L140" t="s">
        <v>339</v>
      </c>
      <c r="M140" t="str">
        <f>G140</f>
        <v>sonoff02.version</v>
      </c>
      <c r="O140" s="7" t="s">
        <v>395</v>
      </c>
      <c r="P140" s="7"/>
      <c r="Q140" s="7"/>
    </row>
    <row r="141" spans="3:17" x14ac:dyDescent="0.3">
      <c r="G141" t="s">
        <v>329</v>
      </c>
      <c r="I141" t="s">
        <v>325</v>
      </c>
      <c r="J141" t="s">
        <v>325</v>
      </c>
      <c r="L141" t="s">
        <v>339</v>
      </c>
      <c r="M141" t="str">
        <f>G141</f>
        <v>sonoff02.on</v>
      </c>
    </row>
    <row r="142" spans="3:17" x14ac:dyDescent="0.3">
      <c r="G142" t="s">
        <v>330</v>
      </c>
      <c r="I142" t="s">
        <v>326</v>
      </c>
      <c r="J142" t="s">
        <v>326</v>
      </c>
      <c r="L142" t="s">
        <v>339</v>
      </c>
      <c r="M142" t="str">
        <f>G142</f>
        <v>sonoff02.off</v>
      </c>
    </row>
    <row r="143" spans="3:17" x14ac:dyDescent="0.3">
      <c r="G143" t="s">
        <v>331</v>
      </c>
      <c r="I143" t="s">
        <v>322</v>
      </c>
      <c r="J143" t="s">
        <v>322</v>
      </c>
      <c r="L143" t="s">
        <v>339</v>
      </c>
      <c r="M143" t="str">
        <f>G143</f>
        <v>sonoff02.toggle</v>
      </c>
      <c r="O143" s="7" t="s">
        <v>395</v>
      </c>
      <c r="P143" s="7"/>
      <c r="Q143" s="7"/>
    </row>
    <row r="144" spans="3:17" x14ac:dyDescent="0.3">
      <c r="G144" t="s">
        <v>332</v>
      </c>
      <c r="I144" t="s">
        <v>320</v>
      </c>
      <c r="J144" t="s">
        <v>320</v>
      </c>
      <c r="L144" t="s">
        <v>342</v>
      </c>
      <c r="M144" t="s">
        <v>343</v>
      </c>
      <c r="O144" s="7" t="s">
        <v>395</v>
      </c>
      <c r="P144" s="7"/>
      <c r="Q144" s="7"/>
    </row>
    <row r="145" spans="3:17" s="10" customFormat="1" x14ac:dyDescent="0.3">
      <c r="C145" s="10" t="s">
        <v>333</v>
      </c>
      <c r="G145" s="10" t="str">
        <f>"dev"&amp;C145</f>
        <v>devESPIR01</v>
      </c>
      <c r="I145" s="10" t="s">
        <v>333</v>
      </c>
      <c r="J145" s="10" t="s">
        <v>333</v>
      </c>
      <c r="K145" s="10" t="s">
        <v>333</v>
      </c>
      <c r="P145" s="10" t="s">
        <v>400</v>
      </c>
    </row>
    <row r="146" spans="3:17" x14ac:dyDescent="0.3">
      <c r="G146" t="s">
        <v>315</v>
      </c>
      <c r="I146" t="s">
        <v>316</v>
      </c>
      <c r="J146" t="s">
        <v>316</v>
      </c>
      <c r="L146" t="s">
        <v>337</v>
      </c>
      <c r="M146" t="str">
        <f>G146</f>
        <v>version</v>
      </c>
      <c r="O146" s="7" t="s">
        <v>395</v>
      </c>
      <c r="P146" s="7"/>
      <c r="Q146" s="7"/>
    </row>
    <row r="147" spans="3:17" x14ac:dyDescent="0.3">
      <c r="G147" t="s">
        <v>65</v>
      </c>
      <c r="I147" t="s">
        <v>325</v>
      </c>
      <c r="J147" t="s">
        <v>325</v>
      </c>
      <c r="L147" t="s">
        <v>337</v>
      </c>
      <c r="M147" t="str">
        <f>G147</f>
        <v>on</v>
      </c>
    </row>
    <row r="148" spans="3:17" x14ac:dyDescent="0.3">
      <c r="G148" t="s">
        <v>66</v>
      </c>
      <c r="I148" t="s">
        <v>326</v>
      </c>
      <c r="J148" t="s">
        <v>326</v>
      </c>
      <c r="L148" t="s">
        <v>337</v>
      </c>
      <c r="M148" t="str">
        <f>G148</f>
        <v>off</v>
      </c>
    </row>
    <row r="149" spans="3:17" x14ac:dyDescent="0.3">
      <c r="G149" t="s">
        <v>317</v>
      </c>
      <c r="I149" t="s">
        <v>322</v>
      </c>
      <c r="J149" t="s">
        <v>322</v>
      </c>
      <c r="L149" t="s">
        <v>337</v>
      </c>
      <c r="M149" t="str">
        <f>G149</f>
        <v>toggle</v>
      </c>
      <c r="O149" s="7" t="s">
        <v>395</v>
      </c>
      <c r="P149" s="7"/>
      <c r="Q149" s="7"/>
    </row>
    <row r="150" spans="3:17" x14ac:dyDescent="0.3">
      <c r="G150" t="s">
        <v>320</v>
      </c>
      <c r="I150" t="s">
        <v>320</v>
      </c>
      <c r="J150" t="s">
        <v>320</v>
      </c>
      <c r="L150" t="s">
        <v>340</v>
      </c>
      <c r="M150" t="s">
        <v>343</v>
      </c>
      <c r="O150" s="7" t="s">
        <v>395</v>
      </c>
      <c r="P150" s="7"/>
      <c r="Q150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73" sqref="E73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t="s">
        <v>343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topLeftCell="B4" zoomScale="85" zoomScaleNormal="85" workbookViewId="0">
      <selection activeCell="K4" sqref="K4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workbookViewId="0">
      <pane ySplit="1" topLeftCell="A32" activePane="bottomLeft" state="frozen"/>
      <selection pane="bottomLeft" activeCell="H41" sqref="H41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Components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2018-01-24T13:02:39Z</dcterms:modified>
</cp:coreProperties>
</file>