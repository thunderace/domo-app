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/>
  </bookViews>
  <sheets>
    <sheet name="Commands" sheetId="3" r:id="rId1"/>
    <sheet name="Triggers" sheetId="1" r:id="rId2"/>
    <sheet name="Action" sheetId="2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J32" i="3"/>
  <c r="J31" i="3"/>
  <c r="J30" i="3"/>
  <c r="J29" i="3"/>
  <c r="J28" i="3"/>
  <c r="J27" i="3"/>
  <c r="J26" i="3"/>
  <c r="J25" i="3"/>
  <c r="J24" i="3"/>
  <c r="J23" i="3"/>
  <c r="J22" i="3"/>
  <c r="J21" i="3"/>
  <c r="J82" i="3"/>
  <c r="J76" i="3"/>
  <c r="J70" i="3"/>
  <c r="J64" i="3"/>
  <c r="J60" i="3"/>
  <c r="J54" i="3"/>
  <c r="J51" i="3"/>
  <c r="J46" i="3"/>
  <c r="J38" i="3"/>
  <c r="J33" i="3"/>
  <c r="J20" i="3"/>
  <c r="J7" i="3"/>
  <c r="J2" i="3"/>
  <c r="J19" i="3"/>
  <c r="J18" i="3"/>
  <c r="J17" i="3"/>
  <c r="J16" i="3"/>
  <c r="J15" i="3"/>
  <c r="J14" i="3"/>
  <c r="J13" i="3"/>
  <c r="J12" i="3"/>
  <c r="J11" i="3"/>
  <c r="J10" i="3"/>
  <c r="J9" i="3"/>
  <c r="J8" i="3"/>
  <c r="J4" i="3"/>
  <c r="J5" i="3"/>
  <c r="J6" i="3"/>
  <c r="J3" i="3"/>
  <c r="H34" i="3"/>
  <c r="H29" i="3"/>
  <c r="H25" i="3"/>
  <c r="H11" i="3"/>
  <c r="H12" i="3"/>
  <c r="H15" i="3"/>
  <c r="H16" i="3"/>
  <c r="H19" i="3"/>
  <c r="H10" i="3"/>
  <c r="G63" i="3"/>
  <c r="G62" i="3"/>
  <c r="G61" i="3"/>
  <c r="G9" i="3"/>
  <c r="G10" i="3"/>
  <c r="G11" i="3"/>
  <c r="G12" i="3"/>
  <c r="G13" i="3"/>
  <c r="H13" i="3" s="1"/>
  <c r="G14" i="3"/>
  <c r="H14" i="3" s="1"/>
  <c r="G15" i="3"/>
  <c r="G16" i="3"/>
  <c r="G17" i="3"/>
  <c r="H17" i="3" s="1"/>
  <c r="G18" i="3"/>
  <c r="H18" i="3" s="1"/>
  <c r="G19" i="3"/>
  <c r="G21" i="3"/>
  <c r="G22" i="3"/>
  <c r="G23" i="3"/>
  <c r="H23" i="3" s="1"/>
  <c r="G24" i="3"/>
  <c r="H24" i="3" s="1"/>
  <c r="G25" i="3"/>
  <c r="G26" i="3"/>
  <c r="H26" i="3" s="1"/>
  <c r="G27" i="3"/>
  <c r="H27" i="3" s="1"/>
  <c r="G28" i="3"/>
  <c r="H28" i="3" s="1"/>
  <c r="G29" i="3"/>
  <c r="G30" i="3"/>
  <c r="H30" i="3" s="1"/>
  <c r="G31" i="3"/>
  <c r="H31" i="3" s="1"/>
  <c r="G32" i="3"/>
  <c r="H32" i="3" s="1"/>
  <c r="G34" i="3"/>
  <c r="G35" i="3"/>
  <c r="H35" i="3" s="1"/>
  <c r="G36" i="3"/>
  <c r="H36" i="3" s="1"/>
  <c r="G37" i="3"/>
  <c r="H37" i="3" s="1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59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<sst xmlns="http://schemas.openxmlformats.org/spreadsheetml/2006/main" count="781" uniqueCount="393">
  <si>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</si>
  <si>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</si>
  <si>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</si>
  <si>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</si>
  <si>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</si>
  <si>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</si>
  <si>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</si>
  <si>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</si>
  <si>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</si>
  <si>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</si>
  <si>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</si>
  <si>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</si>
  <si>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</si>
  <si>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</si>
  <si>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</si>
  <si>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</si>
  <si>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</si>
  <si>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</si>
  <si>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</si>
  <si>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</si>
  <si>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</si>
  <si>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</si>
  <si>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</si>
  <si>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</si>
  <si>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</si>
  <si>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</si>
  <si>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</si>
  <si>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</si>
  <si>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</si>
  <si>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</si>
  <si>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</si>
  <si>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</si>
  <si>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</si>
  <si>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</si>
  <si>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</si>
  <si>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</si>
  <si>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</si>
  <si>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</si>
  <si>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</si>
  <si>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</si>
  <si>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</si>
  <si>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</si>
  <si>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</si>
  <si>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</si>
  <si>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</si>
  <si>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</si>
  <si>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</si>
  <si>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</si>
  <si>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</si>
  <si>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</si>
  <si>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</si>
  <si>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</si>
  <si>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</si>
  <si>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</si>
  <si>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</si>
  <si>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</si>
  <si>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</si>
  <si>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</si>
  <si>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</si>
  <si>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</si>
  <si>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</si>
  <si>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</si>
  <si>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</si>
  <si>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</si>
  <si>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</si>
  <si>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</si>
  <si>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</si>
  <si>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</si>
  <si>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</si>
  <si>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</si>
  <si>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</si>
  <si>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</si>
  <si>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</si>
  <si>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</si>
  <si>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</si>
  <si>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</si>
  <si>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</si>
  <si>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</si>
  <si>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</si>
  <si>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</si>
  <si>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</si>
  <si>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</si>
  <si>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</si>
  <si>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</si>
  <si>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</si>
  <si>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</si>
  <si>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</si>
  <si>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</si>
  <si>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</si>
  <si>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</si>
  <si>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</si>
  <si>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</si>
  <si>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</si>
  <si>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</si>
  <si>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</si>
  <si>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</si>
  <si>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</si>
  <si>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</si>
  <si>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</si>
  <si>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</si>
  <si>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</si>
  <si>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</si>
  <si>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</si>
  <si>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</si>
  <si>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</si>
  <si>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</si>
  <si>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</si>
  <si>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</si>
  <si>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</si>
  <si>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</si>
  <si>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</si>
  <si>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</si>
  <si>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</si>
  <si>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</si>
  <si>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</si>
  <si>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</si>
  <si>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</si>
  <si>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</si>
  <si>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</si>
  <si>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</si>
  <si>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</si>
  <si>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</si>
  <si>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</si>
  <si>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</si>
  <si>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</si>
  <si>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</si>
  <si>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</si>
  <si>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</si>
  <si>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</si>
  <si>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</si>
  <si>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</si>
  <si>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</si>
  <si>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</si>
  <si>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</si>
  <si>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</si>
  <si>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</si>
  <si>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</si>
  <si>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</si>
  <si>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</si>
  <si>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</si>
  <si>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</si>
  <si>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</si>
  <si>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</si>
  <si>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</si>
  <si>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</si>
  <si>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</si>
  <si>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</si>
  <si>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</si>
  <si>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</si>
  <si>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</si>
  <si>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</si>
  <si>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</si>
  <si>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</si>
  <si>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</si>
  <si>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</si>
  <si>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</si>
  <si>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</si>
  <si>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</si>
  <si>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</si>
  <si>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</si>
  <si>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</si>
  <si>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</si>
  <si>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</si>
  <si>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</si>
  <si>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</si>
  <si>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</si>
  <si>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</si>
  <si>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</si>
  <si>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</si>
  <si>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</si>
  <si>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</si>
  <si>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</si>
  <si>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</si>
  <si>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</si>
  <si>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</si>
  <si>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</si>
  <si>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</si>
  <si>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</si>
  <si>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</si>
  <si>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</si>
  <si>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</si>
  <si>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</si>
  <si>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</si>
  <si>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</si>
  <si>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</si>
  <si>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</si>
  <si>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</si>
  <si>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</si>
  <si>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</si>
  <si>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</si>
  <si>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</si>
  <si>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</si>
  <si>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</si>
  <si>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</si>
  <si>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</si>
  <si>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</si>
  <si>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</si>
  <si>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</si>
  <si>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</si>
  <si>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</si>
  <si>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</si>
  <si>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</si>
  <si>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</si>
  <si>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</si>
  <si>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</si>
  <si>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</si>
  <si>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</si>
  <si>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</si>
  <si>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</si>
  <si>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</si>
  <si>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</si>
  <si>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</si>
  <si>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</si>
  <si>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</si>
  <si>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</si>
  <si>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</si>
  <si>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</si>
  <si>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</si>
  <si>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</si>
  <si>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</si>
  <si>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</si>
  <si>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</si>
  <si>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</si>
  <si>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</si>
  <si>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</si>
  <si>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</si>
  <si>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</si>
  <si>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</si>
  <si>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</si>
  <si>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</si>
  <si>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</si>
  <si>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</si>
  <si>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</si>
  <si>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</si>
  <si>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</si>
  <si>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salon1.on</t>
  </si>
  <si>
    <t>salon1.off</t>
  </si>
  <si>
    <t>salon2.on</t>
  </si>
  <si>
    <t>salon2.off</t>
  </si>
  <si>
    <t>salon3.on</t>
  </si>
  <si>
    <t>salon3.off</t>
  </si>
  <si>
    <t>salon4.on</t>
  </si>
  <si>
    <t>salon4.off</t>
  </si>
  <si>
    <t>salon5.on</t>
  </si>
  <si>
    <t>salon5.off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</si>
  <si>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</si>
  <si>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</si>
  <si>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</si>
  <si>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</si>
  <si>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</si>
  <si>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</si>
  <si>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</si>
  <si>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</si>
  <si>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</si>
  <si>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</si>
  <si>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</si>
  <si>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</si>
  <si>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</si>
  <si>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</si>
  <si>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</si>
  <si>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</si>
  <si>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</si>
  <si>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</si>
  <si>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</si>
  <si>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</si>
  <si>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</si>
  <si>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</si>
  <si>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</si>
  <si>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</si>
  <si>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</si>
  <si>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</si>
  <si>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</si>
  <si>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</si>
  <si>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studio1.on</t>
  </si>
  <si>
    <t>studio1.off</t>
  </si>
  <si>
    <t>studio2.on</t>
  </si>
  <si>
    <t>studio2.off</t>
  </si>
  <si>
    <t>studio3.on</t>
  </si>
  <si>
    <t>studio3.off</t>
  </si>
  <si>
    <t>studio4.on</t>
  </si>
  <si>
    <t>studio4.off</t>
  </si>
  <si>
    <t>studio5.on</t>
  </si>
  <si>
    <t>studio5.off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</si>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</sst>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H1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</cols>
  <sheetData>
    <row r="1" spans="1:10" s="9" customFormat="1" x14ac:dyDescent="0.3">
      <c r="A1" s="9" t="s">
        <v>231</v>
      </c>
      <c r="B1" s="9" t="s">
        <v>391</v>
      </c>
      <c r="C1" s="9" t="s">
        <v>230</v>
      </c>
      <c r="D1" s="9" t="s">
        <v>374</v>
      </c>
      <c r="E1" s="9" t="s">
        <v>233</v>
      </c>
      <c r="F1" s="9" t="s">
        <v>354</v>
      </c>
      <c r="G1" s="9" t="s">
        <v>355</v>
      </c>
      <c r="H1" s="9" t="s">
        <v>373</v>
      </c>
      <c r="J1" s="9" t="s">
        <v>390</v>
      </c>
    </row>
    <row r="2" spans="1:10" s="8" customFormat="1" x14ac:dyDescent="0.3">
      <c r="A2" s="8" t="s">
        <v>305</v>
      </c>
      <c r="B2" s="8" t="str">
        <f>"dev"&amp;A2</f>
        <v>devMacros</v>
      </c>
      <c r="C2" s="8" t="s">
        <v>305</v>
      </c>
      <c r="D2" s="8" t="s">
        <v>305</v>
      </c>
      <c r="J2" s="8" t="str">
        <f>"{'label': '"&amp;A2&amp;"', 'commands': ["</f>
        <v>{'label': 'Macros', 'commands': [</v>
      </c>
    </row>
    <row r="3" spans="1:10" x14ac:dyDescent="0.3">
      <c r="B3" t="s">
        <v>47</v>
      </c>
      <c r="C3" s="7" t="s">
        <v>306</v>
      </c>
      <c r="D3" s="7" t="s">
        <v>306</v>
      </c>
      <c r="E3" t="s">
        <v>308</v>
      </c>
      <c r="F3" t="s">
        <v>356</v>
      </c>
      <c r="G3" t="str">
        <f>B3</f>
        <v>tvon</v>
      </c>
      <c r="J3" t="str">
        <f>"  {'label': '"&amp;D3&amp;"', 'command': {'type':'cmdMqtt', 'topic': '"&amp;F3&amp;"', 'payload': '"&amp;G3&amp;"'}},"</f>
        <v xml:space="preserve">  {'label': '@TV On', 'command': {'type':'cmdMqtt', 'topic': 'home/domo/nodedomo/cmd', 'payload': 'tvon'}},</v>
      </c>
    </row>
    <row r="4" spans="1:10" x14ac:dyDescent="0.3">
      <c r="B4" t="s">
        <v>48</v>
      </c>
      <c r="C4" s="7" t="s">
        <v>307</v>
      </c>
      <c r="D4" s="7" t="s">
        <v>307</v>
      </c>
      <c r="E4" t="s">
        <v>309</v>
      </c>
      <c r="F4" t="s">
        <v>356</v>
      </c>
      <c r="G4" t="str">
        <f>B4</f>
        <v>tvoff</v>
      </c>
      <c r="J4" t="str">
        <f t="shared" ref="J4:J6" si="0">"  {'label': '"&amp;D4&amp;"', 'command': {'type':'cmdMqtt', 'topic': '"&amp;F4&amp;"', 'payload': '"&amp;G4&amp;"'}},"</f>
        <v xml:space="preserve">  {'label': '@TV Off', 'command': {'type':'cmdMqtt', 'topic': 'home/domo/nodedomo/cmd', 'payload': 'tvoff'}},</v>
      </c>
    </row>
    <row r="5" spans="1:10" x14ac:dyDescent="0.3">
      <c r="B5" t="s">
        <v>310</v>
      </c>
      <c r="C5" s="7" t="s">
        <v>312</v>
      </c>
      <c r="D5" s="7" t="s">
        <v>312</v>
      </c>
      <c r="E5" t="s">
        <v>314</v>
      </c>
      <c r="F5" t="s">
        <v>356</v>
      </c>
      <c r="G5" t="str">
        <f>B5</f>
        <v>vpon</v>
      </c>
      <c r="H5" t="s">
        <v>392</v>
      </c>
      <c r="J5" t="str">
        <f t="shared" si="0"/>
        <v xml:space="preserve">  {'label': '@VP On', 'command': {'type':'cmdMqtt', 'topic': 'home/domo/nodedomo/cmd', 'payload': 'vpon'}},</v>
      </c>
    </row>
    <row r="6" spans="1:10" x14ac:dyDescent="0.3">
      <c r="B6" t="s">
        <v>311</v>
      </c>
      <c r="C6" s="7" t="s">
        <v>313</v>
      </c>
      <c r="D6" s="7" t="s">
        <v>313</v>
      </c>
      <c r="E6" t="s">
        <v>315</v>
      </c>
      <c r="F6" t="s">
        <v>356</v>
      </c>
      <c r="G6" t="str">
        <f>B6</f>
        <v>vpoff</v>
      </c>
      <c r="J6" t="str">
        <f t="shared" si="0"/>
        <v xml:space="preserve">  {'label': '@VP Off', 'command': {'type':'cmdMqtt', 'topic': 'home/domo/nodedomo/cmd', 'payload': 'vpoff'}},</v>
      </c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tr">
        <f>"]},\r\n{'label': '"&amp;A2&amp;"', 'commands': ["</f>
        <v>]},\r\n{'label': 'Macros', 'commands': [</v>
      </c>
    </row>
    <row r="8" spans="1:10" x14ac:dyDescent="0.3">
      <c r="B8" t="s">
        <v>52</v>
      </c>
      <c r="C8" t="s">
        <v>246</v>
      </c>
      <c r="D8" t="s">
        <v>345</v>
      </c>
      <c r="E8" t="s">
        <v>246</v>
      </c>
      <c r="F8" t="s">
        <v>356</v>
      </c>
      <c r="G8" t="str">
        <f>B8</f>
        <v>salon.on</v>
      </c>
      <c r="J8" t="str">
        <f t="shared" ref="J8:J32" si="1">"  {'label': '"&amp;D8&amp;"', 'command': {'type':'cmdMqtt', 'topic': '"&amp;F8&amp;"', 'payload': '"&amp;G8&amp;"'}},"</f>
        <v xml:space="preserve">  {'label': 'On', 'command': {'type':'cmdMqtt', 'topic': 'home/domo/nodedomo/cmd', 'payload': 'salon.on'}},</v>
      </c>
    </row>
    <row r="9" spans="1:10" x14ac:dyDescent="0.3">
      <c r="B9" t="s">
        <v>51</v>
      </c>
      <c r="C9" t="s">
        <v>245</v>
      </c>
      <c r="D9" t="s">
        <v>346</v>
      </c>
      <c r="E9" t="s">
        <v>245</v>
      </c>
      <c r="F9" t="s">
        <v>356</v>
      </c>
      <c r="G9" t="str">
        <f>B9</f>
        <v>salon.off</v>
      </c>
      <c r="J9" t="str">
        <f t="shared" si="1"/>
        <v xml:space="preserve">  {'label': 'Off', 'command': {'type':'cmdMqtt', 'topic': 'home/domo/nodedomo/cmd', 'payload': 'salon.off'}},</v>
      </c>
    </row>
    <row r="10" spans="1:10" x14ac:dyDescent="0.3">
      <c r="B10" t="s">
        <v>235</v>
      </c>
      <c r="C10" t="s">
        <v>247</v>
      </c>
      <c r="D10" t="s">
        <v>375</v>
      </c>
      <c r="E10" t="s">
        <v>247</v>
      </c>
      <c r="F10" t="s">
        <v>356</v>
      </c>
      <c r="G10" t="str">
        <f>B10</f>
        <v>salon1.on</v>
      </c>
      <c r="H10" t="str">
        <f>G10</f>
        <v>salon1.on</v>
      </c>
      <c r="J10" t="str">
        <f t="shared" si="1"/>
        <v xml:space="preserve">  {'label': '1 On', 'command': {'type':'cmdMqtt', 'topic': 'home/domo/nodedomo/cmd', 'payload': 'salon1.on'}},</v>
      </c>
    </row>
    <row r="11" spans="1:10" x14ac:dyDescent="0.3">
      <c r="B11" t="s">
        <v>236</v>
      </c>
      <c r="C11" t="s">
        <v>256</v>
      </c>
      <c r="D11" t="s">
        <v>376</v>
      </c>
      <c r="E11" t="s">
        <v>256</v>
      </c>
      <c r="F11" t="s">
        <v>356</v>
      </c>
      <c r="G11" t="str">
        <f>B11</f>
        <v>salon1.off</v>
      </c>
      <c r="H11" t="str">
        <f t="shared" ref="H11:H19" si="2">G11</f>
        <v>salon1.off</v>
      </c>
      <c r="J11" t="str">
        <f t="shared" si="1"/>
        <v xml:space="preserve">  {'label': '1 Off', 'command': {'type':'cmdMqtt', 'topic': 'home/domo/nodedomo/cmd', 'payload': 'salon1.off'}},</v>
      </c>
    </row>
    <row r="12" spans="1:10" x14ac:dyDescent="0.3">
      <c r="B12" t="s">
        <v>237</v>
      </c>
      <c r="C12" t="s">
        <v>248</v>
      </c>
      <c r="D12" t="s">
        <v>377</v>
      </c>
      <c r="E12" t="s">
        <v>248</v>
      </c>
      <c r="F12" t="s">
        <v>356</v>
      </c>
      <c r="G12" t="str">
        <f>B12</f>
        <v>salon2.on</v>
      </c>
      <c r="H12" t="str">
        <f t="shared" si="2"/>
        <v>salon2.on</v>
      </c>
      <c r="J12" t="str">
        <f t="shared" si="1"/>
        <v xml:space="preserve">  {'label': '2 On', 'command': {'type':'cmdMqtt', 'topic': 'home/domo/nodedomo/cmd', 'payload': 'salon2.on'}},</v>
      </c>
    </row>
    <row r="13" spans="1:10" x14ac:dyDescent="0.3">
      <c r="B13" t="s">
        <v>238</v>
      </c>
      <c r="C13" t="s">
        <v>249</v>
      </c>
      <c r="D13" t="s">
        <v>378</v>
      </c>
      <c r="E13" t="s">
        <v>249</v>
      </c>
      <c r="F13" t="s">
        <v>356</v>
      </c>
      <c r="G13" t="str">
        <f>B13</f>
        <v>salon2.off</v>
      </c>
      <c r="H13" t="str">
        <f t="shared" si="2"/>
        <v>salon2.off</v>
      </c>
      <c r="J13" t="str">
        <f t="shared" si="1"/>
        <v xml:space="preserve">  {'label': '2 Off', 'command': {'type':'cmdMqtt', 'topic': 'home/domo/nodedomo/cmd', 'payload': 'salon2.off'}},</v>
      </c>
    </row>
    <row r="14" spans="1:10" x14ac:dyDescent="0.3">
      <c r="B14" t="s">
        <v>239</v>
      </c>
      <c r="C14" t="s">
        <v>250</v>
      </c>
      <c r="D14" t="s">
        <v>379</v>
      </c>
      <c r="E14" t="s">
        <v>250</v>
      </c>
      <c r="F14" t="s">
        <v>356</v>
      </c>
      <c r="G14" t="str">
        <f>B14</f>
        <v>salon3.on</v>
      </c>
      <c r="H14" t="str">
        <f t="shared" si="2"/>
        <v>salon3.on</v>
      </c>
      <c r="J14" t="str">
        <f t="shared" si="1"/>
        <v xml:space="preserve">  {'label': '3 On', 'command': {'type':'cmdMqtt', 'topic': 'home/domo/nodedomo/cmd', 'payload': 'salon3.on'}},</v>
      </c>
    </row>
    <row r="15" spans="1:10" x14ac:dyDescent="0.3">
      <c r="B15" t="s">
        <v>240</v>
      </c>
      <c r="C15" t="s">
        <v>251</v>
      </c>
      <c r="D15" t="s">
        <v>380</v>
      </c>
      <c r="E15" t="s">
        <v>251</v>
      </c>
      <c r="F15" t="s">
        <v>356</v>
      </c>
      <c r="G15" t="str">
        <f>B15</f>
        <v>salon3.off</v>
      </c>
      <c r="H15" t="str">
        <f t="shared" si="2"/>
        <v>salon3.off</v>
      </c>
      <c r="J15" t="str">
        <f t="shared" si="1"/>
        <v xml:space="preserve">  {'label': '3 Off', 'command': {'type':'cmdMqtt', 'topic': 'home/domo/nodedomo/cmd', 'payload': 'salon3.off'}},</v>
      </c>
    </row>
    <row r="16" spans="1:10" x14ac:dyDescent="0.3">
      <c r="B16" t="s">
        <v>241</v>
      </c>
      <c r="C16" t="s">
        <v>252</v>
      </c>
      <c r="D16" t="s">
        <v>381</v>
      </c>
      <c r="E16" t="s">
        <v>252</v>
      </c>
      <c r="F16" t="s">
        <v>356</v>
      </c>
      <c r="G16" t="str">
        <f>B16</f>
        <v>salon4.on</v>
      </c>
      <c r="H16" t="str">
        <f t="shared" si="2"/>
        <v>salon4.on</v>
      </c>
      <c r="J16" t="str">
        <f t="shared" si="1"/>
        <v xml:space="preserve">  {'label': '4 On', 'command': {'type':'cmdMqtt', 'topic': 'home/domo/nodedomo/cmd', 'payload': 'salon4.on'}},</v>
      </c>
    </row>
    <row r="17" spans="1:10" x14ac:dyDescent="0.3">
      <c r="B17" t="s">
        <v>242</v>
      </c>
      <c r="C17" t="s">
        <v>253</v>
      </c>
      <c r="D17" t="s">
        <v>382</v>
      </c>
      <c r="E17" t="s">
        <v>253</v>
      </c>
      <c r="F17" t="s">
        <v>356</v>
      </c>
      <c r="G17" t="str">
        <f>B17</f>
        <v>salon4.off</v>
      </c>
      <c r="H17" t="str">
        <f t="shared" si="2"/>
        <v>salon4.off</v>
      </c>
      <c r="J17" t="str">
        <f t="shared" si="1"/>
        <v xml:space="preserve">  {'label': '4 Off', 'command': {'type':'cmdMqtt', 'topic': 'home/domo/nodedomo/cmd', 'payload': 'salon4.off'}},</v>
      </c>
    </row>
    <row r="18" spans="1:10" x14ac:dyDescent="0.3">
      <c r="B18" t="s">
        <v>243</v>
      </c>
      <c r="C18" t="s">
        <v>254</v>
      </c>
      <c r="D18" t="s">
        <v>383</v>
      </c>
      <c r="E18" t="s">
        <v>254</v>
      </c>
      <c r="F18" t="s">
        <v>356</v>
      </c>
      <c r="G18" t="str">
        <f>B18</f>
        <v>salon5.on</v>
      </c>
      <c r="H18" t="str">
        <f t="shared" si="2"/>
        <v>salon5.on</v>
      </c>
      <c r="J18" t="str">
        <f t="shared" si="1"/>
        <v xml:space="preserve">  {'label': '5 On', 'command': {'type':'cmdMqtt', 'topic': 'home/domo/nodedomo/cmd', 'payload': 'salon5.on'}},</v>
      </c>
    </row>
    <row r="19" spans="1:10" x14ac:dyDescent="0.3">
      <c r="B19" t="s">
        <v>244</v>
      </c>
      <c r="C19" t="s">
        <v>255</v>
      </c>
      <c r="D19" t="s">
        <v>384</v>
      </c>
      <c r="E19" t="s">
        <v>255</v>
      </c>
      <c r="F19" t="s">
        <v>356</v>
      </c>
      <c r="G19" t="str">
        <f>B19</f>
        <v>salon5.off</v>
      </c>
      <c r="H19" t="str">
        <f t="shared" si="2"/>
        <v>salon5.off</v>
      </c>
      <c r="J19" t="str">
        <f t="shared" si="1"/>
        <v xml:space="preserve">  {'label': '5 Off', 'command': {'type':'cmdMqtt', 'topic': 'home/domo/nodedomo/cmd', 'payload': 'salon5.off'}},</v>
      </c>
    </row>
    <row r="20" spans="1:10" s="8" customFormat="1" x14ac:dyDescent="0.3">
      <c r="A20" s="8" t="s">
        <v>257</v>
      </c>
      <c r="B20" s="8" t="str">
        <f>"dev"&amp;A20</f>
        <v>devStudio</v>
      </c>
      <c r="C20" s="8" t="s">
        <v>257</v>
      </c>
      <c r="D20" s="8" t="s">
        <v>257</v>
      </c>
      <c r="E20" s="8" t="s">
        <v>258</v>
      </c>
      <c r="J20" s="8" t="str">
        <f>"]},\r\n{'label': '"&amp;A15&amp;"', 'commands': ["</f>
        <v>]},\r\n{'label': '', 'commands': [</v>
      </c>
    </row>
    <row r="21" spans="1:10" x14ac:dyDescent="0.3">
      <c r="B21" t="s">
        <v>271</v>
      </c>
      <c r="C21" t="s">
        <v>259</v>
      </c>
      <c r="D21" t="s">
        <v>345</v>
      </c>
      <c r="E21" t="s">
        <v>259</v>
      </c>
      <c r="F21" t="s">
        <v>356</v>
      </c>
      <c r="G21" t="str">
        <f>B21</f>
        <v>studio.on</v>
      </c>
      <c r="J21" t="str">
        <f t="shared" si="1"/>
        <v xml:space="preserve">  {'label': 'On', 'command': {'type':'cmdMqtt', 'topic': 'home/domo/nodedomo/cmd', 'payload': 'studio.on'}},</v>
      </c>
    </row>
    <row r="22" spans="1:10" x14ac:dyDescent="0.3">
      <c r="B22" t="s">
        <v>272</v>
      </c>
      <c r="C22" t="s">
        <v>260</v>
      </c>
      <c r="D22" t="s">
        <v>346</v>
      </c>
      <c r="E22" t="s">
        <v>260</v>
      </c>
      <c r="F22" t="s">
        <v>356</v>
      </c>
      <c r="G22" t="str">
        <f>B22</f>
        <v>studio.off</v>
      </c>
      <c r="J22" t="str">
        <f t="shared" si="1"/>
        <v xml:space="preserve">  {'label': 'Off', 'command': {'type':'cmdMqtt', 'topic': 'home/domo/nodedomo/cmd', 'payload': 'studio.off'}},</v>
      </c>
    </row>
    <row r="23" spans="1:10" x14ac:dyDescent="0.3">
      <c r="B23" t="s">
        <v>273</v>
      </c>
      <c r="C23" t="s">
        <v>261</v>
      </c>
      <c r="D23" t="s">
        <v>375</v>
      </c>
      <c r="E23" t="s">
        <v>261</v>
      </c>
      <c r="F23" t="s">
        <v>356</v>
      </c>
      <c r="G23" t="str">
        <f>B23</f>
        <v>studio1.on</v>
      </c>
      <c r="H23" t="str">
        <f>G23</f>
        <v>studio1.on</v>
      </c>
      <c r="J23" t="str">
        <f t="shared" si="1"/>
        <v xml:space="preserve">  {'label': '1 On', 'command': {'type':'cmdMqtt', 'topic': 'home/domo/nodedomo/cmd', 'payload': 'studio1.on'}},</v>
      </c>
    </row>
    <row r="24" spans="1:10" x14ac:dyDescent="0.3">
      <c r="B24" t="s">
        <v>274</v>
      </c>
      <c r="C24" t="s">
        <v>262</v>
      </c>
      <c r="D24" t="s">
        <v>376</v>
      </c>
      <c r="E24" t="s">
        <v>262</v>
      </c>
      <c r="F24" t="s">
        <v>356</v>
      </c>
      <c r="G24" t="str">
        <f>B24</f>
        <v>studio1.off</v>
      </c>
      <c r="H24" t="str">
        <f t="shared" ref="H24:H37" si="3">G24</f>
        <v>studio1.off</v>
      </c>
      <c r="J24" t="str">
        <f t="shared" si="1"/>
        <v xml:space="preserve">  {'label': '1 Off', 'command': {'type':'cmdMqtt', 'topic': 'home/domo/nodedomo/cmd', 'payload': 'studio1.off'}},</v>
      </c>
    </row>
    <row r="25" spans="1:10" x14ac:dyDescent="0.3">
      <c r="B25" t="s">
        <v>275</v>
      </c>
      <c r="C25" t="s">
        <v>263</v>
      </c>
      <c r="D25" t="s">
        <v>377</v>
      </c>
      <c r="E25" t="s">
        <v>263</v>
      </c>
      <c r="F25" t="s">
        <v>356</v>
      </c>
      <c r="G25" t="str">
        <f>B25</f>
        <v>studio2.on</v>
      </c>
      <c r="H25" t="str">
        <f t="shared" si="3"/>
        <v>studio2.on</v>
      </c>
      <c r="J25" t="str">
        <f t="shared" si="1"/>
        <v xml:space="preserve">  {'label': '2 On', 'command': {'type':'cmdMqtt', 'topic': 'home/domo/nodedomo/cmd', 'payload': 'studio2.on'}},</v>
      </c>
    </row>
    <row r="26" spans="1:10" x14ac:dyDescent="0.3">
      <c r="B26" t="s">
        <v>276</v>
      </c>
      <c r="C26" t="s">
        <v>264</v>
      </c>
      <c r="D26" t="s">
        <v>378</v>
      </c>
      <c r="E26" t="s">
        <v>264</v>
      </c>
      <c r="F26" t="s">
        <v>356</v>
      </c>
      <c r="G26" t="str">
        <f>B26</f>
        <v>studio2.off</v>
      </c>
      <c r="H26" t="str">
        <f t="shared" si="3"/>
        <v>studio2.off</v>
      </c>
      <c r="J26" t="str">
        <f t="shared" si="1"/>
        <v xml:space="preserve">  {'label': '2 Off', 'command': {'type':'cmdMqtt', 'topic': 'home/domo/nodedomo/cmd', 'payload': 'studio2.off'}},</v>
      </c>
    </row>
    <row r="27" spans="1:10" x14ac:dyDescent="0.3">
      <c r="B27" t="s">
        <v>277</v>
      </c>
      <c r="C27" t="s">
        <v>265</v>
      </c>
      <c r="D27" t="s">
        <v>379</v>
      </c>
      <c r="E27" t="s">
        <v>265</v>
      </c>
      <c r="F27" t="s">
        <v>356</v>
      </c>
      <c r="G27" t="str">
        <f>B27</f>
        <v>studio3.on</v>
      </c>
      <c r="H27" t="str">
        <f t="shared" si="3"/>
        <v>studio3.on</v>
      </c>
      <c r="J27" t="str">
        <f t="shared" si="1"/>
        <v xml:space="preserve">  {'label': '3 On', 'command': {'type':'cmdMqtt', 'topic': 'home/domo/nodedomo/cmd', 'payload': 'studio3.on'}},</v>
      </c>
    </row>
    <row r="28" spans="1:10" x14ac:dyDescent="0.3">
      <c r="B28" t="s">
        <v>278</v>
      </c>
      <c r="C28" t="s">
        <v>266</v>
      </c>
      <c r="D28" t="s">
        <v>380</v>
      </c>
      <c r="E28" t="s">
        <v>266</v>
      </c>
      <c r="F28" t="s">
        <v>356</v>
      </c>
      <c r="G28" t="str">
        <f>B28</f>
        <v>studio3.off</v>
      </c>
      <c r="H28" t="str">
        <f t="shared" si="3"/>
        <v>studio3.off</v>
      </c>
      <c r="J28" t="str">
        <f t="shared" si="1"/>
        <v xml:space="preserve">  {'label': '3 Off', 'command': {'type':'cmdMqtt', 'topic': 'home/domo/nodedomo/cmd', 'payload': 'studio3.off'}},</v>
      </c>
    </row>
    <row r="29" spans="1:10" x14ac:dyDescent="0.3">
      <c r="B29" t="s">
        <v>279</v>
      </c>
      <c r="C29" t="s">
        <v>267</v>
      </c>
      <c r="D29" t="s">
        <v>381</v>
      </c>
      <c r="E29" t="s">
        <v>267</v>
      </c>
      <c r="F29" t="s">
        <v>356</v>
      </c>
      <c r="G29" t="str">
        <f>B29</f>
        <v>studio4.on</v>
      </c>
      <c r="H29" t="str">
        <f t="shared" si="3"/>
        <v>studio4.on</v>
      </c>
      <c r="J29" t="str">
        <f t="shared" si="1"/>
        <v xml:space="preserve">  {'label': '4 On', 'command': {'type':'cmdMqtt', 'topic': 'home/domo/nodedomo/cmd', 'payload': 'studio4.on'}},</v>
      </c>
    </row>
    <row r="30" spans="1:10" x14ac:dyDescent="0.3">
      <c r="B30" t="s">
        <v>280</v>
      </c>
      <c r="C30" t="s">
        <v>268</v>
      </c>
      <c r="D30" t="s">
        <v>382</v>
      </c>
      <c r="E30" t="s">
        <v>268</v>
      </c>
      <c r="F30" t="s">
        <v>356</v>
      </c>
      <c r="G30" t="str">
        <f>B30</f>
        <v>studio4.off</v>
      </c>
      <c r="H30" t="str">
        <f t="shared" si="3"/>
        <v>studio4.off</v>
      </c>
      <c r="J30" t="str">
        <f t="shared" si="1"/>
        <v xml:space="preserve">  {'label': '4 Off', 'command': {'type':'cmdMqtt', 'topic': 'home/domo/nodedomo/cmd', 'payload': 'studio4.off'}},</v>
      </c>
    </row>
    <row r="31" spans="1:10" x14ac:dyDescent="0.3">
      <c r="B31" t="s">
        <v>281</v>
      </c>
      <c r="C31" t="s">
        <v>269</v>
      </c>
      <c r="D31" t="s">
        <v>383</v>
      </c>
      <c r="E31" t="s">
        <v>269</v>
      </c>
      <c r="F31" t="s">
        <v>356</v>
      </c>
      <c r="G31" t="str">
        <f>B31</f>
        <v>studio5.on</v>
      </c>
      <c r="H31" t="str">
        <f t="shared" si="3"/>
        <v>studio5.on</v>
      </c>
      <c r="J31" t="str">
        <f t="shared" si="1"/>
        <v xml:space="preserve">  {'label': '5 On', 'command': {'type':'cmdMqtt', 'topic': 'home/domo/nodedomo/cmd', 'payload': 'studio5.on'}},</v>
      </c>
    </row>
    <row r="32" spans="1:10" x14ac:dyDescent="0.3">
      <c r="B32" t="s">
        <v>282</v>
      </c>
      <c r="C32" t="s">
        <v>270</v>
      </c>
      <c r="D32" t="s">
        <v>384</v>
      </c>
      <c r="E32" t="s">
        <v>270</v>
      </c>
      <c r="F32" t="s">
        <v>356</v>
      </c>
      <c r="G32" t="str">
        <f>B32</f>
        <v>studio5.off</v>
      </c>
      <c r="H32" t="str">
        <f t="shared" si="3"/>
        <v>studio5.off</v>
      </c>
      <c r="J32" t="str">
        <f t="shared" si="1"/>
        <v xml:space="preserve">  {'label': '5 Off', 'command': {'type':'cmdMqtt', 'topic': 'home/domo/nodedomo/cmd', 'payload': 'studio5.off'}},</v>
      </c>
    </row>
    <row r="33" spans="1:10" s="8" customFormat="1" x14ac:dyDescent="0.3">
      <c r="A33" s="8" t="s">
        <v>283</v>
      </c>
      <c r="B33" s="8" t="str">
        <f>"dev"&amp;A33</f>
        <v>devMaison</v>
      </c>
      <c r="C33" s="8" t="s">
        <v>283</v>
      </c>
      <c r="D33" s="8" t="s">
        <v>283</v>
      </c>
      <c r="E33" s="8" t="s">
        <v>292</v>
      </c>
      <c r="J33" s="8" t="str">
        <f>"]},\r\n{'label': '"&amp;A28&amp;"', 'commands': ["</f>
        <v>]},\r\n{'label': '', 'commands': [</v>
      </c>
    </row>
    <row r="34" spans="1:10" x14ac:dyDescent="0.3">
      <c r="B34" t="s">
        <v>284</v>
      </c>
      <c r="C34" t="s">
        <v>286</v>
      </c>
      <c r="D34" t="s">
        <v>286</v>
      </c>
      <c r="E34" t="s">
        <v>286</v>
      </c>
      <c r="F34" t="s">
        <v>356</v>
      </c>
      <c r="G34" t="str">
        <f>B34</f>
        <v>jardin.on</v>
      </c>
      <c r="H34" t="str">
        <f t="shared" si="3"/>
        <v>jardin.on</v>
      </c>
    </row>
    <row r="35" spans="1:10" x14ac:dyDescent="0.3">
      <c r="B35" t="s">
        <v>285</v>
      </c>
      <c r="C35" t="s">
        <v>287</v>
      </c>
      <c r="D35" t="s">
        <v>287</v>
      </c>
      <c r="E35" t="s">
        <v>287</v>
      </c>
      <c r="F35" t="s">
        <v>356</v>
      </c>
      <c r="G35" t="str">
        <f>B35</f>
        <v>jardin.off</v>
      </c>
      <c r="H35" t="str">
        <f t="shared" si="3"/>
        <v>jardin.off</v>
      </c>
    </row>
    <row r="36" spans="1:10" x14ac:dyDescent="0.3">
      <c r="B36" t="s">
        <v>290</v>
      </c>
      <c r="C36" t="s">
        <v>364</v>
      </c>
      <c r="D36" t="s">
        <v>364</v>
      </c>
      <c r="E36" t="s">
        <v>288</v>
      </c>
      <c r="F36" t="s">
        <v>356</v>
      </c>
      <c r="G36" t="str">
        <f>B36</f>
        <v>volets.on</v>
      </c>
      <c r="H36" t="str">
        <f t="shared" si="3"/>
        <v>volets.on</v>
      </c>
    </row>
    <row r="37" spans="1:10" x14ac:dyDescent="0.3">
      <c r="B37" t="s">
        <v>291</v>
      </c>
      <c r="C37" t="s">
        <v>365</v>
      </c>
      <c r="D37" t="s">
        <v>365</v>
      </c>
      <c r="E37" t="s">
        <v>289</v>
      </c>
      <c r="F37" t="s">
        <v>356</v>
      </c>
      <c r="G37" t="str">
        <f>B37</f>
        <v>volets.off</v>
      </c>
      <c r="H37" t="str">
        <f t="shared" si="3"/>
        <v>volets.off</v>
      </c>
    </row>
    <row r="38" spans="1:10" s="8" customFormat="1" x14ac:dyDescent="0.3">
      <c r="A38" s="8" t="s">
        <v>293</v>
      </c>
      <c r="B38" s="8" t="str">
        <f>"dev"&amp;A38</f>
        <v>devTV</v>
      </c>
      <c r="C38" s="8" t="s">
        <v>327</v>
      </c>
      <c r="D38" s="8" t="s">
        <v>327</v>
      </c>
      <c r="E38" s="8" t="s">
        <v>327</v>
      </c>
      <c r="J38" s="8" t="str">
        <f>"]},\r\n{'label': '"&amp;A33&amp;"', 'commands': ["</f>
        <v>]},\r\n{'label': 'Maison', 'commands': [</v>
      </c>
    </row>
    <row r="39" spans="1:10" x14ac:dyDescent="0.3">
      <c r="B39" t="s">
        <v>294</v>
      </c>
      <c r="C39" t="s">
        <v>301</v>
      </c>
      <c r="D39" t="s">
        <v>301</v>
      </c>
      <c r="F39" t="s">
        <v>356</v>
      </c>
      <c r="G39" t="str">
        <f>B39</f>
        <v>tv.on</v>
      </c>
    </row>
    <row r="40" spans="1:10" x14ac:dyDescent="0.3">
      <c r="B40" t="s">
        <v>295</v>
      </c>
      <c r="C40" t="s">
        <v>302</v>
      </c>
      <c r="D40" t="s">
        <v>302</v>
      </c>
      <c r="F40" t="s">
        <v>356</v>
      </c>
      <c r="G40" t="str">
        <f>B40</f>
        <v>tv.off</v>
      </c>
    </row>
    <row r="41" spans="1:10" x14ac:dyDescent="0.3">
      <c r="B41" t="s">
        <v>296</v>
      </c>
      <c r="C41" t="s">
        <v>303</v>
      </c>
      <c r="D41" t="s">
        <v>303</v>
      </c>
      <c r="F41" t="s">
        <v>356</v>
      </c>
      <c r="G41" t="str">
        <f>B41</f>
        <v>tv.mute</v>
      </c>
    </row>
    <row r="42" spans="1:10" x14ac:dyDescent="0.3">
      <c r="B42" t="s">
        <v>297</v>
      </c>
      <c r="C42" t="s">
        <v>385</v>
      </c>
      <c r="D42" t="s">
        <v>385</v>
      </c>
      <c r="F42" t="s">
        <v>356</v>
      </c>
      <c r="G42" t="str">
        <f>B42</f>
        <v>tv.entree.hdmi1</v>
      </c>
    </row>
    <row r="43" spans="1:10" x14ac:dyDescent="0.3">
      <c r="B43" t="s">
        <v>298</v>
      </c>
      <c r="C43" t="s">
        <v>386</v>
      </c>
      <c r="D43" t="s">
        <v>386</v>
      </c>
      <c r="F43" t="s">
        <v>356</v>
      </c>
      <c r="G43" t="str">
        <f>B43</f>
        <v>tv.entree.hdmi2</v>
      </c>
    </row>
    <row r="44" spans="1:10" x14ac:dyDescent="0.3">
      <c r="B44" t="s">
        <v>299</v>
      </c>
      <c r="C44" t="s">
        <v>387</v>
      </c>
      <c r="D44" t="s">
        <v>387</v>
      </c>
      <c r="F44" t="s">
        <v>356</v>
      </c>
      <c r="G44" t="str">
        <f>B44</f>
        <v>tv.entree.hdmi3</v>
      </c>
    </row>
    <row r="45" spans="1:10" x14ac:dyDescent="0.3">
      <c r="B45" t="s">
        <v>300</v>
      </c>
      <c r="C45" t="s">
        <v>304</v>
      </c>
      <c r="D45" t="s">
        <v>304</v>
      </c>
      <c r="F45" t="s">
        <v>356</v>
      </c>
      <c r="G45" t="str">
        <f>B45</f>
        <v>tv.vol0</v>
      </c>
    </row>
    <row r="46" spans="1:10" s="8" customFormat="1" x14ac:dyDescent="0.3">
      <c r="A46" s="8" t="s">
        <v>367</v>
      </c>
      <c r="B46" s="8" t="str">
        <f>"dev"&amp;A46</f>
        <v>devVPSalon</v>
      </c>
      <c r="C46" s="8" t="s">
        <v>328</v>
      </c>
      <c r="D46" s="8" t="s">
        <v>328</v>
      </c>
      <c r="E46" s="8" t="s">
        <v>328</v>
      </c>
      <c r="J46" s="8" t="str">
        <f>"]},\r\n{'label': '"&amp;A41&amp;"', 'commands': ["</f>
        <v>]},\r\n{'label': '', 'commands': [</v>
      </c>
    </row>
    <row r="47" spans="1:10" x14ac:dyDescent="0.3">
      <c r="B47" t="s">
        <v>330</v>
      </c>
      <c r="C47" t="s">
        <v>316</v>
      </c>
      <c r="D47" t="s">
        <v>316</v>
      </c>
      <c r="F47" t="s">
        <v>356</v>
      </c>
      <c r="G47" t="str">
        <f>B47</f>
        <v>vpsalon.on</v>
      </c>
    </row>
    <row r="48" spans="1:10" x14ac:dyDescent="0.3">
      <c r="B48" t="s">
        <v>331</v>
      </c>
      <c r="C48" t="s">
        <v>317</v>
      </c>
      <c r="D48" t="s">
        <v>317</v>
      </c>
      <c r="F48" t="s">
        <v>356</v>
      </c>
      <c r="G48" t="str">
        <f>B48</f>
        <v>vpsalon.off</v>
      </c>
    </row>
    <row r="49" spans="1:10" x14ac:dyDescent="0.3">
      <c r="B49" t="s">
        <v>319</v>
      </c>
      <c r="C49" t="s">
        <v>320</v>
      </c>
      <c r="D49" t="s">
        <v>320</v>
      </c>
      <c r="F49" t="s">
        <v>356</v>
      </c>
      <c r="G49" t="str">
        <f>B49</f>
        <v>ecran.haut</v>
      </c>
    </row>
    <row r="50" spans="1:10" x14ac:dyDescent="0.3">
      <c r="B50" t="s">
        <v>318</v>
      </c>
      <c r="C50" t="s">
        <v>321</v>
      </c>
      <c r="D50" t="s">
        <v>321</v>
      </c>
      <c r="F50" t="s">
        <v>356</v>
      </c>
      <c r="G50" t="str">
        <f>B50</f>
        <v>ecran.bas</v>
      </c>
    </row>
    <row r="51" spans="1:10" s="8" customFormat="1" x14ac:dyDescent="0.3">
      <c r="A51" s="8" t="s">
        <v>368</v>
      </c>
      <c r="B51" s="8" t="str">
        <f>"dev"&amp;A51</f>
        <v>devVPStudio</v>
      </c>
      <c r="C51" s="8" t="s">
        <v>332</v>
      </c>
      <c r="D51" s="8" t="s">
        <v>332</v>
      </c>
      <c r="E51" s="8" t="s">
        <v>332</v>
      </c>
      <c r="J51" s="8" t="str">
        <f>"]},\r\n{'label': '"&amp;A46&amp;"', 'commands': ["</f>
        <v>]},\r\n{'label': 'VPSalon', 'commands': [</v>
      </c>
    </row>
    <row r="52" spans="1:10" x14ac:dyDescent="0.3">
      <c r="B52" t="s">
        <v>227</v>
      </c>
      <c r="C52" t="s">
        <v>316</v>
      </c>
      <c r="D52" t="s">
        <v>316</v>
      </c>
      <c r="F52" t="s">
        <v>356</v>
      </c>
      <c r="G52" t="str">
        <f>B52</f>
        <v>vpstudio.on</v>
      </c>
    </row>
    <row r="53" spans="1:10" x14ac:dyDescent="0.3">
      <c r="B53" t="s">
        <v>228</v>
      </c>
      <c r="C53" t="s">
        <v>317</v>
      </c>
      <c r="D53" t="s">
        <v>317</v>
      </c>
      <c r="F53" t="s">
        <v>356</v>
      </c>
      <c r="G53" t="str">
        <f>B53</f>
        <v>vpstudio.off</v>
      </c>
    </row>
    <row r="54" spans="1:10" s="8" customFormat="1" x14ac:dyDescent="0.3">
      <c r="A54" s="8" t="s">
        <v>369</v>
      </c>
      <c r="B54" s="8" t="str">
        <f>"dev"&amp;A54</f>
        <v>devAmpliSalon</v>
      </c>
      <c r="C54" s="8" t="s">
        <v>329</v>
      </c>
      <c r="D54" s="8" t="s">
        <v>329</v>
      </c>
      <c r="E54" s="8" t="s">
        <v>329</v>
      </c>
      <c r="J54" s="8" t="str">
        <f>"]},\r\n{'label': '"&amp;A49&amp;"', 'commands': ["</f>
        <v>]},\r\n{'label': '', 'commands': [</v>
      </c>
    </row>
    <row r="55" spans="1:10" x14ac:dyDescent="0.3">
      <c r="B55" t="s">
        <v>50</v>
      </c>
      <c r="C55" t="s">
        <v>322</v>
      </c>
      <c r="D55" t="s">
        <v>322</v>
      </c>
      <c r="F55" t="s">
        <v>356</v>
      </c>
      <c r="G55" t="str">
        <f>B55</f>
        <v>ampli.on</v>
      </c>
    </row>
    <row r="56" spans="1:10" x14ac:dyDescent="0.3">
      <c r="B56" t="s">
        <v>49</v>
      </c>
      <c r="C56" t="s">
        <v>323</v>
      </c>
      <c r="D56" t="s">
        <v>323</v>
      </c>
      <c r="F56" t="s">
        <v>356</v>
      </c>
      <c r="G56" t="str">
        <f>B56</f>
        <v>ampli.off</v>
      </c>
    </row>
    <row r="57" spans="1:10" x14ac:dyDescent="0.3">
      <c r="B57" t="s">
        <v>46</v>
      </c>
      <c r="C57" t="s">
        <v>303</v>
      </c>
      <c r="D57" t="s">
        <v>303</v>
      </c>
      <c r="F57" t="s">
        <v>356</v>
      </c>
      <c r="G57" t="str">
        <f>B57</f>
        <v>ampli.mute</v>
      </c>
    </row>
    <row r="58" spans="1:10" x14ac:dyDescent="0.3">
      <c r="B58" t="s">
        <v>44</v>
      </c>
      <c r="C58" t="s">
        <v>324</v>
      </c>
      <c r="D58" t="s">
        <v>324</v>
      </c>
      <c r="F58" t="s">
        <v>356</v>
      </c>
      <c r="G58" t="str">
        <f>B58</f>
        <v>ampli.volp</v>
      </c>
    </row>
    <row r="59" spans="1:10" x14ac:dyDescent="0.3">
      <c r="B59" t="s">
        <v>45</v>
      </c>
      <c r="C59" t="s">
        <v>325</v>
      </c>
      <c r="D59" t="s">
        <v>325</v>
      </c>
      <c r="F59" t="s">
        <v>356</v>
      </c>
      <c r="G59" t="str">
        <f>B59</f>
        <v>ampli.volm</v>
      </c>
    </row>
    <row r="60" spans="1:10" s="8" customFormat="1" x14ac:dyDescent="0.3">
      <c r="A60" s="8" t="s">
        <v>370</v>
      </c>
      <c r="B60" s="8" t="str">
        <f>"dev"&amp;A60</f>
        <v>devAmpliStudio</v>
      </c>
      <c r="C60" s="8" t="s">
        <v>366</v>
      </c>
      <c r="D60" s="8" t="s">
        <v>366</v>
      </c>
      <c r="E60" s="8" t="s">
        <v>366</v>
      </c>
      <c r="J60" s="8" t="str">
        <f>"]},\r\n{'label': '"&amp;A55&amp;"', 'commands': ["</f>
        <v>]},\r\n{'label': '', 'commands': [</v>
      </c>
    </row>
    <row r="61" spans="1:10" x14ac:dyDescent="0.3">
      <c r="B61" t="s">
        <v>229</v>
      </c>
      <c r="C61" t="s">
        <v>303</v>
      </c>
      <c r="D61" t="s">
        <v>303</v>
      </c>
      <c r="F61" t="s">
        <v>356</v>
      </c>
      <c r="G61" t="str">
        <f>B61</f>
        <v>preamp.mute</v>
      </c>
    </row>
    <row r="62" spans="1:10" x14ac:dyDescent="0.3">
      <c r="B62" t="s">
        <v>371</v>
      </c>
      <c r="C62" t="s">
        <v>324</v>
      </c>
      <c r="D62" t="s">
        <v>324</v>
      </c>
      <c r="F62" t="s">
        <v>356</v>
      </c>
      <c r="G62" t="str">
        <f>B62</f>
        <v>preamp.volp</v>
      </c>
    </row>
    <row r="63" spans="1:10" x14ac:dyDescent="0.3">
      <c r="B63" t="s">
        <v>372</v>
      </c>
      <c r="C63" t="s">
        <v>325</v>
      </c>
      <c r="D63" t="s">
        <v>325</v>
      </c>
      <c r="F63" t="s">
        <v>356</v>
      </c>
      <c r="G63" t="str">
        <f>B63</f>
        <v>preamp.volm</v>
      </c>
    </row>
    <row r="64" spans="1:10" s="8" customFormat="1" x14ac:dyDescent="0.3">
      <c r="A64" s="8" t="s">
        <v>326</v>
      </c>
      <c r="B64" s="8" t="str">
        <f>"dev"&amp;A64</f>
        <v>devHDMI</v>
      </c>
      <c r="C64" s="8" t="s">
        <v>326</v>
      </c>
      <c r="D64" s="8" t="s">
        <v>326</v>
      </c>
      <c r="E64" s="8" t="s">
        <v>334</v>
      </c>
      <c r="J64" s="8" t="str">
        <f>"]},\r\n{'label': '"&amp;A59&amp;"', 'commands': ["</f>
        <v>]},\r\n{'label': '', 'commands': [</v>
      </c>
    </row>
    <row r="65" spans="1:10" x14ac:dyDescent="0.3">
      <c r="B65" t="s">
        <v>77</v>
      </c>
      <c r="C65" t="s">
        <v>385</v>
      </c>
      <c r="D65">
        <v>1</v>
      </c>
      <c r="F65" t="s">
        <v>356</v>
      </c>
      <c r="G65" t="str">
        <f>B65</f>
        <v>hdmi.1</v>
      </c>
    </row>
    <row r="66" spans="1:10" x14ac:dyDescent="0.3">
      <c r="B66" t="s">
        <v>78</v>
      </c>
      <c r="C66" t="s">
        <v>386</v>
      </c>
      <c r="D66">
        <v>2</v>
      </c>
      <c r="F66" t="s">
        <v>356</v>
      </c>
      <c r="G66" t="str">
        <f>B66</f>
        <v>hdmi.2</v>
      </c>
    </row>
    <row r="67" spans="1:10" x14ac:dyDescent="0.3">
      <c r="B67" t="s">
        <v>79</v>
      </c>
      <c r="C67" t="s">
        <v>387</v>
      </c>
      <c r="D67">
        <v>3</v>
      </c>
      <c r="F67" t="s">
        <v>356</v>
      </c>
      <c r="G67" t="str">
        <f>B67</f>
        <v>hdmi.3</v>
      </c>
    </row>
    <row r="68" spans="1:10" x14ac:dyDescent="0.3">
      <c r="B68" t="s">
        <v>80</v>
      </c>
      <c r="C68" t="s">
        <v>388</v>
      </c>
      <c r="D68">
        <v>4</v>
      </c>
      <c r="F68" t="s">
        <v>356</v>
      </c>
      <c r="G68" t="str">
        <f>B68</f>
        <v>hdmi.4</v>
      </c>
    </row>
    <row r="69" spans="1:10" x14ac:dyDescent="0.3">
      <c r="B69" t="s">
        <v>81</v>
      </c>
      <c r="C69" t="s">
        <v>389</v>
      </c>
      <c r="D69">
        <v>5</v>
      </c>
      <c r="F69" t="s">
        <v>356</v>
      </c>
      <c r="G69" t="str">
        <f>B69</f>
        <v>hdmi.5</v>
      </c>
    </row>
    <row r="70" spans="1:10" s="8" customFormat="1" x14ac:dyDescent="0.3">
      <c r="A70" s="8" t="s">
        <v>333</v>
      </c>
      <c r="B70" s="8" t="str">
        <f>"dev"&amp;A70</f>
        <v>devSonOff01</v>
      </c>
      <c r="C70" s="8" t="s">
        <v>333</v>
      </c>
      <c r="D70" s="8" t="s">
        <v>333</v>
      </c>
      <c r="E70" s="8" t="s">
        <v>333</v>
      </c>
      <c r="J70" s="8" t="str">
        <f>"]},\r\n{'label': '"&amp;A65&amp;"', 'commands': ["</f>
        <v>]},\r\n{'label': '', 'commands': [</v>
      </c>
    </row>
    <row r="71" spans="1:10" x14ac:dyDescent="0.3">
      <c r="B71" t="s">
        <v>338</v>
      </c>
      <c r="C71" t="s">
        <v>336</v>
      </c>
      <c r="D71" t="s">
        <v>336</v>
      </c>
      <c r="F71" t="s">
        <v>358</v>
      </c>
      <c r="G71" t="str">
        <f>B71</f>
        <v>sonoff01.version</v>
      </c>
    </row>
    <row r="72" spans="1:10" x14ac:dyDescent="0.3">
      <c r="B72" t="s">
        <v>343</v>
      </c>
      <c r="C72" t="s">
        <v>345</v>
      </c>
      <c r="D72" t="s">
        <v>345</v>
      </c>
      <c r="F72" t="s">
        <v>358</v>
      </c>
      <c r="G72" t="str">
        <f>B72</f>
        <v>sonoff01.on</v>
      </c>
    </row>
    <row r="73" spans="1:10" x14ac:dyDescent="0.3">
      <c r="B73" t="s">
        <v>344</v>
      </c>
      <c r="C73" t="s">
        <v>346</v>
      </c>
      <c r="D73" t="s">
        <v>346</v>
      </c>
      <c r="F73" t="s">
        <v>358</v>
      </c>
      <c r="G73" t="str">
        <f>B73</f>
        <v>sonoff01.off</v>
      </c>
    </row>
    <row r="74" spans="1:10" x14ac:dyDescent="0.3">
      <c r="B74" t="s">
        <v>339</v>
      </c>
      <c r="C74" t="s">
        <v>342</v>
      </c>
      <c r="D74" t="s">
        <v>342</v>
      </c>
      <c r="F74" t="s">
        <v>358</v>
      </c>
      <c r="G74" t="str">
        <f>B74</f>
        <v>sonoff01.toggle</v>
      </c>
    </row>
    <row r="75" spans="1:10" x14ac:dyDescent="0.3">
      <c r="B75" t="s">
        <v>341</v>
      </c>
      <c r="C75" t="s">
        <v>340</v>
      </c>
      <c r="D75" t="s">
        <v>340</v>
      </c>
      <c r="F75" t="s">
        <v>361</v>
      </c>
      <c r="G75" t="s">
        <v>363</v>
      </c>
    </row>
    <row r="76" spans="1:10" s="8" customFormat="1" x14ac:dyDescent="0.3">
      <c r="A76" s="8" t="s">
        <v>347</v>
      </c>
      <c r="B76" s="8" t="str">
        <f>"dev"&amp;A76</f>
        <v>devSonOff02</v>
      </c>
      <c r="C76" s="8" t="s">
        <v>347</v>
      </c>
      <c r="D76" s="8" t="s">
        <v>347</v>
      </c>
      <c r="E76" s="8" t="s">
        <v>347</v>
      </c>
      <c r="J76" s="8" t="str">
        <f>"]},\r\n{'label': '"&amp;A71&amp;"', 'commands': ["</f>
        <v>]},\r\n{'label': '', 'commands': [</v>
      </c>
    </row>
    <row r="77" spans="1:10" x14ac:dyDescent="0.3">
      <c r="B77" t="s">
        <v>348</v>
      </c>
      <c r="C77" t="s">
        <v>336</v>
      </c>
      <c r="D77" t="s">
        <v>336</v>
      </c>
      <c r="F77" t="s">
        <v>359</v>
      </c>
      <c r="G77" t="str">
        <f>B77</f>
        <v>sonoff02.version</v>
      </c>
    </row>
    <row r="78" spans="1:10" x14ac:dyDescent="0.3">
      <c r="B78" t="s">
        <v>349</v>
      </c>
      <c r="C78" t="s">
        <v>345</v>
      </c>
      <c r="D78" t="s">
        <v>345</v>
      </c>
      <c r="F78" t="s">
        <v>359</v>
      </c>
      <c r="G78" t="str">
        <f>B78</f>
        <v>sonoff02.on</v>
      </c>
    </row>
    <row r="79" spans="1:10" x14ac:dyDescent="0.3">
      <c r="B79" t="s">
        <v>350</v>
      </c>
      <c r="C79" t="s">
        <v>346</v>
      </c>
      <c r="D79" t="s">
        <v>346</v>
      </c>
      <c r="F79" t="s">
        <v>359</v>
      </c>
      <c r="G79" t="str">
        <f>B79</f>
        <v>sonoff02.off</v>
      </c>
    </row>
    <row r="80" spans="1:10" x14ac:dyDescent="0.3">
      <c r="B80" t="s">
        <v>351</v>
      </c>
      <c r="C80" t="s">
        <v>342</v>
      </c>
      <c r="D80" t="s">
        <v>342</v>
      </c>
      <c r="F80" t="s">
        <v>359</v>
      </c>
      <c r="G80" t="str">
        <f>B80</f>
        <v>sonoff02.toggle</v>
      </c>
    </row>
    <row r="81" spans="1:10" x14ac:dyDescent="0.3">
      <c r="B81" t="s">
        <v>352</v>
      </c>
      <c r="C81" t="s">
        <v>340</v>
      </c>
      <c r="D81" t="s">
        <v>340</v>
      </c>
      <c r="F81" t="s">
        <v>362</v>
      </c>
      <c r="G81" t="s">
        <v>363</v>
      </c>
    </row>
    <row r="82" spans="1:10" s="8" customFormat="1" x14ac:dyDescent="0.3">
      <c r="A82" s="8" t="s">
        <v>353</v>
      </c>
      <c r="B82" s="8" t="str">
        <f>"dev"&amp;A82</f>
        <v>devESPIR01</v>
      </c>
      <c r="C82" s="8" t="s">
        <v>353</v>
      </c>
      <c r="D82" s="8" t="s">
        <v>353</v>
      </c>
      <c r="E82" s="8" t="s">
        <v>353</v>
      </c>
      <c r="J82" s="8" t="str">
        <f>"]},\r\n{'label': '"&amp;A77&amp;"', 'commands': ["</f>
        <v>]},\r\n{'label': '', 'commands': [</v>
      </c>
    </row>
    <row r="83" spans="1:10" x14ac:dyDescent="0.3">
      <c r="B83" t="s">
        <v>335</v>
      </c>
      <c r="C83" t="s">
        <v>336</v>
      </c>
      <c r="D83" t="s">
        <v>336</v>
      </c>
      <c r="F83" t="s">
        <v>357</v>
      </c>
      <c r="G83" t="str">
        <f>B83</f>
        <v>version</v>
      </c>
    </row>
    <row r="84" spans="1:10" x14ac:dyDescent="0.3">
      <c r="B84" t="s">
        <v>65</v>
      </c>
      <c r="C84" t="s">
        <v>345</v>
      </c>
      <c r="D84" t="s">
        <v>345</v>
      </c>
      <c r="F84" t="s">
        <v>357</v>
      </c>
      <c r="G84" t="str">
        <f>B84</f>
        <v>on</v>
      </c>
    </row>
    <row r="85" spans="1:10" x14ac:dyDescent="0.3">
      <c r="B85" t="s">
        <v>66</v>
      </c>
      <c r="C85" t="s">
        <v>346</v>
      </c>
      <c r="D85" t="s">
        <v>346</v>
      </c>
      <c r="F85" t="s">
        <v>357</v>
      </c>
      <c r="G85" t="str">
        <f>B85</f>
        <v>off</v>
      </c>
    </row>
    <row r="86" spans="1:10" x14ac:dyDescent="0.3">
      <c r="B86" t="s">
        <v>337</v>
      </c>
      <c r="C86" t="s">
        <v>342</v>
      </c>
      <c r="D86" t="s">
        <v>342</v>
      </c>
      <c r="F86" t="s">
        <v>357</v>
      </c>
      <c r="G86" t="str">
        <f>B86</f>
        <v>toggle</v>
      </c>
    </row>
    <row r="87" spans="1:10" x14ac:dyDescent="0.3">
      <c r="B87" t="s">
        <v>340</v>
      </c>
      <c r="C87" t="s">
        <v>340</v>
      </c>
      <c r="D87" t="s">
        <v>340</v>
      </c>
      <c r="F87" t="s">
        <v>360</v>
      </c>
      <c r="G87" t="s">
        <v>363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topLeftCell="B4" zoomScale="85" zoomScaleNormal="85" workbookViewId="0">
      <selection activeCell="K4" sqref="K4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workbookViewId="0">
      <pane ySplit="1" topLeftCell="A32" activePane="bottomLeft" state="frozen"/>
      <selection pane="bottomLeft" activeCell="H41" sqref="H41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2018-01-23T17:19:14Z</dcterms:modified>
</cp:coreProperties>
</file>