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3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3" i="3" l="1"/>
  <c r="G84" i="3"/>
  <c r="G85" i="3"/>
  <c r="G86" i="3"/>
  <c r="K21" i="4" l="1"/>
  <c r="H21" i="4"/>
  <c r="N132" i="4" l="1"/>
  <c r="N86" i="4"/>
  <c r="N85" i="4"/>
  <c r="N83" i="4"/>
  <c r="N82" i="4"/>
  <c r="N80" i="4"/>
  <c r="N79" i="4"/>
  <c r="N77" i="4"/>
  <c r="N76" i="4"/>
  <c r="N74" i="4"/>
  <c r="N73" i="4"/>
  <c r="N71" i="4"/>
  <c r="N70" i="4"/>
  <c r="K69" i="4"/>
  <c r="K15" i="4" l="1"/>
  <c r="H15" i="4"/>
  <c r="N67" i="4" l="1"/>
  <c r="N66" i="4"/>
  <c r="N64" i="4"/>
  <c r="N63" i="4"/>
  <c r="N61" i="4"/>
  <c r="N60" i="4"/>
  <c r="N58" i="4"/>
  <c r="N57" i="4"/>
  <c r="N55" i="4"/>
  <c r="N54" i="4"/>
  <c r="N52" i="4"/>
  <c r="N51" i="4"/>
  <c r="K50" i="4"/>
  <c r="N41" i="4"/>
  <c r="N39" i="4"/>
  <c r="N40" i="4"/>
  <c r="N48" i="4"/>
  <c r="N47" i="4"/>
  <c r="K46" i="4"/>
  <c r="N45" i="4"/>
  <c r="N44" i="4"/>
  <c r="K43" i="4"/>
  <c r="J35" i="4"/>
  <c r="K35" i="4" s="1"/>
  <c r="J33" i="4"/>
  <c r="K33" i="4" s="1"/>
  <c r="J31" i="4"/>
  <c r="K31" i="4" s="1"/>
  <c r="J25" i="4"/>
  <c r="K25" i="4" s="1"/>
  <c r="J4" i="4"/>
  <c r="K4" i="4" s="1"/>
  <c r="K140" i="4" l="1"/>
  <c r="K139" i="4"/>
  <c r="K138" i="4"/>
  <c r="K137" i="4"/>
  <c r="K136" i="4"/>
  <c r="K135" i="4"/>
  <c r="N133" i="4"/>
  <c r="N130" i="4"/>
  <c r="N129" i="4"/>
  <c r="N127" i="4"/>
  <c r="N126" i="4"/>
  <c r="K131" i="4"/>
  <c r="K128" i="4"/>
  <c r="K125" i="4"/>
  <c r="N123" i="4"/>
  <c r="N121" i="4"/>
  <c r="N122" i="4"/>
  <c r="N120" i="4"/>
  <c r="N119" i="4"/>
  <c r="N117" i="4"/>
  <c r="N116" i="4"/>
  <c r="N115" i="4"/>
  <c r="N114" i="4"/>
  <c r="N113" i="4"/>
  <c r="N111" i="4"/>
  <c r="N110" i="4"/>
  <c r="N109" i="4"/>
  <c r="N108" i="4"/>
  <c r="N107" i="4"/>
  <c r="N106" i="4"/>
  <c r="N104" i="4"/>
  <c r="N103" i="4"/>
  <c r="K118" i="4"/>
  <c r="K112" i="4"/>
  <c r="K105" i="4"/>
  <c r="K102" i="4"/>
  <c r="N100" i="4"/>
  <c r="N99" i="4"/>
  <c r="N98" i="4"/>
  <c r="N97" i="4"/>
  <c r="N96" i="4"/>
  <c r="N95" i="4"/>
  <c r="N94" i="4"/>
  <c r="N93" i="4"/>
  <c r="N92" i="4"/>
  <c r="N91" i="4"/>
  <c r="N90" i="4"/>
  <c r="N89" i="4"/>
  <c r="K88" i="4"/>
  <c r="K38" i="4"/>
  <c r="H35" i="4"/>
  <c r="H33" i="4"/>
  <c r="H31" i="4"/>
  <c r="J27" i="4"/>
  <c r="K27" i="4" s="1"/>
  <c r="I27" i="4"/>
  <c r="H27" i="4"/>
  <c r="J26" i="4"/>
  <c r="K26" i="4" s="1"/>
  <c r="I26" i="4"/>
  <c r="H26" i="4"/>
  <c r="H25" i="4"/>
  <c r="K13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48" i="4"/>
  <c r="N233" i="4"/>
  <c r="N232" i="4"/>
  <c r="N231" i="4"/>
  <c r="N230" i="4"/>
  <c r="H229" i="4"/>
  <c r="N227" i="4"/>
  <c r="N226" i="4"/>
  <c r="N225" i="4"/>
  <c r="N224" i="4"/>
  <c r="H223" i="4"/>
  <c r="N221" i="4"/>
  <c r="N220" i="4"/>
  <c r="N219" i="4"/>
  <c r="N218" i="4"/>
  <c r="H217" i="4"/>
  <c r="N216" i="4"/>
  <c r="N215" i="4"/>
  <c r="N214" i="4"/>
  <c r="N213" i="4"/>
  <c r="N212" i="4"/>
  <c r="H211" i="4"/>
  <c r="N210" i="4"/>
  <c r="N209" i="4"/>
  <c r="N208" i="4"/>
  <c r="H207" i="4"/>
  <c r="N206" i="4"/>
  <c r="N205" i="4"/>
  <c r="N204" i="4"/>
  <c r="N203" i="4"/>
  <c r="N202" i="4"/>
  <c r="H201" i="4"/>
  <c r="N200" i="4"/>
  <c r="N199" i="4"/>
  <c r="H198" i="4"/>
  <c r="N197" i="4"/>
  <c r="N196" i="4"/>
  <c r="N195" i="4"/>
  <c r="N194" i="4"/>
  <c r="H193" i="4"/>
  <c r="N192" i="4"/>
  <c r="N191" i="4"/>
  <c r="N190" i="4"/>
  <c r="N189" i="4"/>
  <c r="N188" i="4"/>
  <c r="N187" i="4"/>
  <c r="N186" i="4"/>
  <c r="H185" i="4"/>
  <c r="N184" i="4"/>
  <c r="N183" i="4"/>
  <c r="N182" i="4"/>
  <c r="N181" i="4"/>
  <c r="H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H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H154" i="4"/>
  <c r="N153" i="4"/>
  <c r="N152" i="4"/>
  <c r="N151" i="4"/>
  <c r="N150" i="4"/>
  <c r="H149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<sst xmlns="http://schemas.openxmlformats.org/spreadsheetml/2006/main" count="2101" uniqueCount="491">
  <si>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</si>
  <si>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</si>
  <si>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</si>
  <si>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</si>
  <si>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</si>
  <si>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</si>
  <si>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</si>
  <si>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</si>
  <si>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</si>
  <si>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</si>
  <si>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</si>
  <si>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</si>
  <si>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</si>
  <si>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</si>
  <si>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</si>
  <si>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</si>
  <si>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</si>
  <si>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</si>
  <si>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</si>
  <si>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</si>
  <si>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</si>
  <si>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</si>
  <si>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</si>
  <si>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</si>
  <si>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</si>
  <si>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</si>
  <si>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</si>
  <si>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</si>
  <si>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</si>
  <si>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</si>
  <si>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</si>
  <si>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</si>
  <si>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</si>
  <si>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</si>
  <si>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</si>
  <si>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</si>
  <si>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</si>
  <si>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</si>
  <si>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</si>
  <si>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</si>
  <si>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</si>
  <si>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</si>
  <si>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</si>
  <si>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</si>
  <si>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</si>
  <si>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</si>
  <si>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</si>
  <si>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</si>
  <si>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</si>
  <si>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</si>
  <si>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</si>
  <si>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</si>
  <si>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</si>
  <si>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</si>
  <si>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</si>
  <si>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</si>
  <si>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</si>
  <si>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</si>
  <si>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</si>
  <si>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</si>
  <si>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</si>
  <si>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</si>
  <si>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</si>
  <si>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</si>
  <si>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</si>
  <si>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</si>
  <si>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</si>
  <si>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</si>
  <si>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</si>
  <si>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</si>
  <si>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</si>
  <si>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</si>
  <si>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</si>
  <si>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</si>
  <si>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</si>
  <si>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</si>
  <si>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</si>
  <si>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</si>
  <si>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</si>
  <si>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</si>
  <si>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</si>
  <si>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</si>
  <si>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</si>
  <si>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</si>
  <si>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</si>
  <si>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</si>
  <si>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</si>
  <si>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</si>
  <si>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</si>
  <si>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</si>
  <si>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</si>
  <si>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</si>
  <si>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</si>
  <si>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</si>
  <si>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</si>
  <si>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</si>
  <si>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</si>
  <si>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</si>
  <si>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</si>
  <si>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</si>
  <si>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</si>
  <si>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</si>
  <si>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</si>
  <si>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</si>
  <si>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</si>
  <si>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</si>
  <si>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</si>
  <si>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</si>
  <si>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</si>
  <si>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</si>
  <si>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</si>
  <si>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</si>
  <si>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</si>
  <si>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</si>
  <si>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</si>
  <si>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</si>
  <si>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</si>
  <si>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</si>
  <si>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</si>
  <si>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</si>
  <si>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</si>
  <si>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</si>
  <si>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</si>
  <si>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</si>
  <si>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</si>
  <si>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</si>
  <si>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</si>
  <si>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</si>
  <si>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</si>
  <si>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</si>
  <si>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</si>
  <si>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</si>
  <si>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</si>
  <si>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</si>
  <si>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</si>
  <si>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</si>
  <si>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</si>
  <si>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</si>
  <si>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</si>
  <si>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</si>
  <si>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</si>
  <si>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</si>
  <si>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</si>
  <si>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</si>
  <si>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</si>
  <si>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</si>
  <si>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</si>
  <si>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</si>
  <si>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</si>
  <si>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</si>
  <si>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</si>
  <si>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</si>
  <si>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</si>
  <si>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</si>
  <si>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</si>
  <si>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</si>
  <si>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</si>
  <si>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</si>
  <si>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</si>
  <si>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</si>
  <si>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</si>
  <si>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</si>
  <si>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</si>
  <si>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</si>
  <si>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</si>
  <si>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</si>
  <si>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</si>
  <si>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</si>
  <si>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</si>
  <si>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</si>
  <si>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</si>
  <si>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</si>
  <si>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</si>
  <si>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</si>
  <si>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</si>
  <si>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</si>
  <si>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</si>
  <si>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</si>
  <si>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</si>
  <si>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</si>
  <si>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</si>
  <si>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</si>
  <si>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</si>
  <si>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</si>
  <si>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</si>
  <si>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</si>
  <si>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</si>
  <si>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</si>
  <si>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</si>
  <si>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</si>
  <si>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</si>
  <si>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</si>
  <si>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</si>
  <si>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</si>
  <si>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</si>
  <si>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</si>
  <si>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</si>
  <si>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</si>
  <si>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</si>
  <si>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</si>
  <si>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</si>
  <si>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</si>
  <si>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</si>
  <si>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</si>
  <si>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</si>
  <si>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</si>
  <si>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</si>
  <si>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</si>
  <si>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</si>
  <si>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</si>
  <si>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</si>
  <si>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</si>
  <si>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</si>
  <si>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</si>
  <si>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</si>
  <si>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</si>
  <si>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</si>
  <si>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</si>
  <si>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</si>
  <si>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</si>
  <si>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</si>
  <si>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</si>
  <si>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</si>
  <si>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</si>
  <si>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</si>
  <si>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</si>
  <si>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</si>
  <si>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</si>
  <si>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</si>
  <si>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</si>
  <si>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</si>
  <si>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</si>
  <si>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</si>
  <si>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</si>
  <si>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</si>
  <si>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</si>
  <si>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</si>
  <si>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</si>
  <si>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</si>
  <si>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</si>
  <si>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</si>
  <si>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</si>
  <si>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</si>
  <si>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</si>
  <si>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</si>
  <si>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</si>
  <si>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</si>
  <si>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</si>
  <si>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</si>
  <si>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</si>
  <si>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</si>
  <si>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</si>
  <si>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</si>
  <si>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</si>
  <si>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</si>
  <si>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</si>
  <si>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</si>
  <si>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</si>
  <si>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</si>
  <si>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</si>
  <si>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</si>
  <si>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</si>
  <si>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</si>
  <si>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</si>
  <si>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</si>
  <si>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</si>
  <si>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</si>
  <si>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</si>
  <si>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</si>
  <si>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</si>
  <si>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</si>
  <si>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</si>
  <si>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</si>
  <si>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</si>
  <si>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</si>
  <si>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</si>
  <si>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</si>
  <si>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</si>
  <si>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</si>
  <si>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</si>
  <si>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</si>
  <si>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</si>
  <si>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</si>
  <si>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</si>
  <si>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</si>
  <si>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</si>
  <si>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</si>
  <si>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</si>
  <si>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</si>
  <si>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</si>
  <si>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</si>
  <si>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</si>
  <si>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</si>
  <si>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</si>
  <si>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</si>
  <si>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</si>
  <si>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</si>
  <si>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</si>
  <si>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</si>
  <si>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</si>
  <si>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</si>
  <si>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</si>
  <si>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</si>
  <si>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</si>
  <si>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</si>
  <si>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</si>
  <si>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</si>
  <si>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</si>
  <si>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</si>
  <si>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</si>
  <si>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</si>
  <si>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</si>
  <si>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</si>
  <si>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</si>
  <si>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</si>
  <si>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</si>
  <si>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</si>
  <si>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</si>
  <si>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</si>
  <si>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</si>
  <si>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</si>
  <si>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</si>
  <si>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</si>
  <si>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</si>
  <si>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</si>
  <si>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</si>
  <si>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</si>
  <si>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</si>
  <si>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</si>
  <si>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</si>
  <si>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</si>
  <si>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</si>
  <si>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</si>
  <si>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</si>
  <si>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</si>
  <si>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</si>
  <si>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</si>
  <si>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</si>
  <si>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</si>
  <si>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</si>
  <si>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</si>
  <si>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</si>
  <si>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</si>
  <si>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</si>
  <si>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</si>
  <si>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</si>
  <si>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</si>
  <si>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</si>
  <si>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</si>
  <si>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</si>
  <si>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</si>
  <si>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</si>
  <si>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</si>
  <si>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</si>
  <si>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</si>
  <si>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</si>
  <si>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</si>
  <si>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</si>
  <si>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</si>
  <si>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</si>
  <si>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</si>
  <si>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</si>
  <si>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</si>
  <si>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</si>
  <si>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</si>
  <si>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</si>
  <si>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</si>
  <si>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</si>
  <si>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</si>
  <si>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</si>
  <si>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</si>
  <si>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</si>
  <si>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</si>
  <si>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</si>
  <si>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</si>
  <si>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</si>
  <si>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</si>
  <si>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</si>
  <si>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</si>
  <si>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</si>
  <si>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</si>
  <si>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</si>
  <si>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</si>
  <si>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</si>
  <si>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</si>
  <si>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</si>
  <si>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</si>
  <si>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</si>
  <si>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</si>
  <si>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</si>
  <si>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</si>
  <si>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</si>
  <si>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</si>
  <si>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</si>
  <si>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</si>
  <si>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</si>
  <si>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</si>
  <si>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</si>
  <si>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</si>
  <si>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</si>
  <si>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</si>
  <si>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</si>
  <si>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</si>
  <si>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</si>
  <si>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</si>
  <si>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</si>
  <si>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</si>
  <si>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</si>
  <si>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</si>
  <si>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</si>
  <si>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</si>
  <si>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</si>
  <si>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</si>
  <si>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</si>
  <si>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</si>
  <si>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</si>
  <si>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</si>
  <si>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</si>
  <si>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</si>
  <si>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</si>
  <si>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</si>
  <si>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</si>
  <si>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</si>
  <si>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</si>
  <si>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</si>
  <si>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</si>
  <si>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devices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</si>
  <si>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</si>
  <si>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</si>
  <si>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</si>
  <si>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</si>
  <si>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</si>
  <si>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</si>
  <si>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</si>
  <si>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</si>
  <si>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</si>
  <si>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</si>
  <si>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</si>
  <si>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</si>
  <si>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</si>
  <si>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</si>
  <si>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</si>
  <si>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</si>
  <si>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</si>
  <si>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</si>
  <si>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</si>
  <si>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</si>
  <si>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</si>
  <si>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</si>
  <si>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</si>
  <si>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</si>
  <si>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</si>
  <si>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</si>
  <si>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</si>
  <si>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</si>
  <si>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</si>
  <si>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</si>
  <si>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</si>
  <si>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</si>
  <si>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</si>
  <si>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</si>
  <si>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</si>
  <si>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</si>
  <si>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</si>
  <si>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</si>
  <si>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</si>
  <si>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</si>
  <si>
    <t>source</t>
  </si>
  <si>
    <t>card</t>
  </si>
  <si>
    <t>Royan - Conche</t>
  </si>
  <si>
    <t>Royan - Foncillon</t>
  </si>
  <si>
    <t>http://draffault.fr:8888/api/res/ard/ESPIR.ino.bin</t>
  </si>
  <si>
    <t>Studio 1</t>
  </si>
  <si>
    <t>Studio 2</t>
  </si>
  <si>
    <t>Studio 3</t>
  </si>
  <si>
    <t>Studio 4</t>
  </si>
  <si>
    <t>Studio  5</t>
  </si>
  <si>
    <t>cgStudio2</t>
  </si>
  <si>
    <t>class</t>
  </si>
  <si>
    <t>b-green</t>
  </si>
  <si>
    <t>b-red</t>
  </si>
  <si>
    <t>Général</t>
  </si>
  <si>
    <t>General</t>
  </si>
  <si>
    <t>Lumieres</t>
  </si>
  <si>
    <t>Media</t>
  </si>
  <si>
    <t>tvlg.on</t>
  </si>
  <si>
    <t>tvlg.off</t>
  </si>
  <si>
    <t>tvlg.vol0</t>
  </si>
  <si>
    <t>tvlg.hdmi1</t>
  </si>
  <si>
    <t>tvlg.hdmi2</t>
  </si>
  <si>
    <t>tvlg.hdmi3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</si>
</sst>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106680</xdr:rowOff>
        </xdr:from>
        <xdr:to>
          <xdr:col>0</xdr:col>
          <xdr:colOff>640080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://82.66.49.29:8200/image.jpg?user=admin&amp;password=tetris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raffault.fr:8888/api/res/ard/ESPIR.ino.bin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5" sqref="C15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444</v>
      </c>
      <c r="B1" s="9" t="s">
        <v>394</v>
      </c>
      <c r="C1" s="9" t="s">
        <v>230</v>
      </c>
    </row>
    <row r="2" spans="1:3" x14ac:dyDescent="0.3">
      <c r="A2" t="s">
        <v>445</v>
      </c>
      <c r="B2" t="s">
        <v>399</v>
      </c>
      <c r="C2" t="s">
        <v>263</v>
      </c>
    </row>
    <row r="3" spans="1:3" x14ac:dyDescent="0.3">
      <c r="A3" t="s">
        <v>446</v>
      </c>
      <c r="B3" t="s">
        <v>447</v>
      </c>
      <c r="C3" t="s">
        <v>423</v>
      </c>
    </row>
    <row r="4" spans="1:3" x14ac:dyDescent="0.3">
      <c r="A4" t="s">
        <v>448</v>
      </c>
      <c r="B4" t="s">
        <v>449</v>
      </c>
      <c r="C4" t="s">
        <v>450</v>
      </c>
    </row>
    <row r="5" spans="1:3" x14ac:dyDescent="0.3">
      <c r="A5" t="s">
        <v>451</v>
      </c>
      <c r="B5" t="s">
        <v>396</v>
      </c>
      <c r="C5" t="s">
        <v>452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234"/>
  <sheetViews>
    <sheetView zoomScale="55" zoomScaleNormal="55" workbookViewId="0">
      <pane xSplit="10" ySplit="1" topLeftCell="K209" activePane="bottomRight" state="frozen"/>
      <selection pane="topRight" activeCell="F1" sqref="F1"/>
      <selection pane="bottomLeft" activeCell="A2" sqref="A2"/>
      <selection pane="bottomRight" activeCell="N234" sqref="N234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8" width="10.77734375" customWidth="1"/>
    <col min="19" max="19" width="59.44140625" bestFit="1" customWidth="1"/>
  </cols>
  <sheetData>
    <row r="1" spans="1:19" s="9" customFormat="1" ht="48.6" customHeight="1" x14ac:dyDescent="0.3">
      <c r="A1" s="9" t="s">
        <v>400</v>
      </c>
      <c r="B1" s="9" t="s">
        <v>401</v>
      </c>
      <c r="C1" s="9" t="s">
        <v>404</v>
      </c>
      <c r="D1" s="9" t="s">
        <v>418</v>
      </c>
      <c r="E1" s="9" t="s">
        <v>419</v>
      </c>
      <c r="F1" s="9" t="s">
        <v>442</v>
      </c>
      <c r="G1" s="9" t="s">
        <v>402</v>
      </c>
      <c r="H1" s="9" t="s">
        <v>369</v>
      </c>
      <c r="I1" s="9" t="s">
        <v>457</v>
      </c>
      <c r="J1" s="9" t="s">
        <v>230</v>
      </c>
      <c r="K1" s="9" t="s">
        <v>353</v>
      </c>
      <c r="L1" s="9" t="s">
        <v>233</v>
      </c>
      <c r="M1" s="9" t="s">
        <v>334</v>
      </c>
      <c r="N1" s="9" t="s">
        <v>335</v>
      </c>
      <c r="O1" s="9" t="s">
        <v>352</v>
      </c>
      <c r="P1" s="9" t="s">
        <v>392</v>
      </c>
      <c r="Q1" s="9" t="s">
        <v>394</v>
      </c>
      <c r="R1" s="9" t="s">
        <v>478</v>
      </c>
      <c r="S1" s="9" t="s">
        <v>424</v>
      </c>
    </row>
    <row r="2" spans="1:19" s="1" customFormat="1" x14ac:dyDescent="0.3">
      <c r="A2" s="1" t="s">
        <v>458</v>
      </c>
      <c r="G2" s="1" t="s">
        <v>456</v>
      </c>
      <c r="H2" s="1" t="s">
        <v>443</v>
      </c>
    </row>
    <row r="3" spans="1:19" s="1" customFormat="1" x14ac:dyDescent="0.3">
      <c r="B3" s="1" t="s">
        <v>403</v>
      </c>
      <c r="G3" s="1" t="s">
        <v>403</v>
      </c>
      <c r="H3" s="1" t="s">
        <v>406</v>
      </c>
    </row>
    <row r="4" spans="1:19" s="1" customFormat="1" x14ac:dyDescent="0.3">
      <c r="C4" s="1" t="s">
        <v>409</v>
      </c>
      <c r="G4" s="1" t="s">
        <v>405</v>
      </c>
      <c r="H4" s="1" t="str">
        <f>"tab"&amp;C4</f>
        <v>tabPrincipal</v>
      </c>
      <c r="J4" s="1" t="str">
        <f>C4</f>
        <v>Principal</v>
      </c>
      <c r="K4" s="1" t="str">
        <f t="shared" ref="K4:K9" si="0">J4</f>
        <v>Principal</v>
      </c>
    </row>
    <row r="5" spans="1:19" s="10" customFormat="1" x14ac:dyDescent="0.3">
      <c r="D5" s="10" t="s">
        <v>263</v>
      </c>
      <c r="G5" s="10" t="s">
        <v>408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 t="shared" si="0"/>
        <v>Maison</v>
      </c>
      <c r="L5" s="10" t="s">
        <v>410</v>
      </c>
      <c r="Q5" s="10" t="s">
        <v>399</v>
      </c>
    </row>
    <row r="6" spans="1:19" s="10" customFormat="1" x14ac:dyDescent="0.3">
      <c r="D6" s="10" t="s">
        <v>232</v>
      </c>
      <c r="G6" s="10" t="s">
        <v>408</v>
      </c>
      <c r="H6" s="10" t="str">
        <f>"drop"&amp;D6</f>
        <v>dropSalon</v>
      </c>
      <c r="I6" s="10" t="str">
        <f t="shared" ref="I6:I9" si="1">"cg"&amp;D6</f>
        <v>cgSalon</v>
      </c>
      <c r="J6" s="10" t="str">
        <f>D6</f>
        <v>Salon</v>
      </c>
      <c r="K6" s="10" t="str">
        <f t="shared" si="0"/>
        <v>Salon</v>
      </c>
      <c r="L6" s="10" t="s">
        <v>234</v>
      </c>
      <c r="Q6" s="10" t="s">
        <v>395</v>
      </c>
    </row>
    <row r="7" spans="1:19" s="10" customFormat="1" x14ac:dyDescent="0.3">
      <c r="D7" s="10" t="s">
        <v>247</v>
      </c>
      <c r="G7" s="10" t="s">
        <v>408</v>
      </c>
      <c r="H7" s="10" t="str">
        <f>"drop"&amp;D7</f>
        <v>dropStudio</v>
      </c>
      <c r="I7" s="10" t="str">
        <f t="shared" si="1"/>
        <v>cgStudio</v>
      </c>
      <c r="J7" s="10" t="str">
        <f>D7</f>
        <v>Studio</v>
      </c>
      <c r="K7" s="10" t="str">
        <f t="shared" si="0"/>
        <v>Studio</v>
      </c>
      <c r="L7" s="10" t="s">
        <v>248</v>
      </c>
      <c r="Q7" s="10" t="s">
        <v>395</v>
      </c>
    </row>
    <row r="8" spans="1:19" s="10" customFormat="1" x14ac:dyDescent="0.3">
      <c r="D8" s="10" t="s">
        <v>273</v>
      </c>
      <c r="G8" s="10" t="s">
        <v>408</v>
      </c>
      <c r="H8" s="10" t="str">
        <f>"drop"&amp;D8</f>
        <v>dropTV</v>
      </c>
      <c r="I8" s="10" t="str">
        <f t="shared" si="1"/>
        <v>cgTV</v>
      </c>
      <c r="J8" s="10" t="str">
        <f>D8</f>
        <v>TV</v>
      </c>
      <c r="K8" s="10" t="str">
        <f t="shared" si="0"/>
        <v>TV</v>
      </c>
      <c r="L8" s="10" t="s">
        <v>412</v>
      </c>
      <c r="Q8" s="10" t="s">
        <v>397</v>
      </c>
    </row>
    <row r="9" spans="1:19" s="10" customFormat="1" x14ac:dyDescent="0.3">
      <c r="D9" s="10" t="s">
        <v>413</v>
      </c>
      <c r="G9" s="10" t="s">
        <v>408</v>
      </c>
      <c r="H9" s="10" t="str">
        <f>"drop"&amp;D9</f>
        <v>dropVP</v>
      </c>
      <c r="I9" s="10" t="str">
        <f t="shared" si="1"/>
        <v>cgVP</v>
      </c>
      <c r="J9" s="10" t="str">
        <f>D9</f>
        <v>VP</v>
      </c>
      <c r="K9" s="10" t="str">
        <f t="shared" si="0"/>
        <v>VP</v>
      </c>
      <c r="L9" s="10" t="s">
        <v>414</v>
      </c>
      <c r="Q9" s="10" t="s">
        <v>397</v>
      </c>
    </row>
    <row r="10" spans="1:19" x14ac:dyDescent="0.3">
      <c r="D10" t="s">
        <v>411</v>
      </c>
      <c r="G10" t="s">
        <v>411</v>
      </c>
      <c r="J10" s="7"/>
      <c r="K10" s="7"/>
    </row>
    <row r="11" spans="1:19" x14ac:dyDescent="0.3">
      <c r="D11" t="s">
        <v>415</v>
      </c>
      <c r="G11" t="s">
        <v>415</v>
      </c>
      <c r="I11" t="s">
        <v>421</v>
      </c>
      <c r="J11" s="7"/>
      <c r="K11" s="7"/>
    </row>
    <row r="12" spans="1:19" x14ac:dyDescent="0.3">
      <c r="D12" t="s">
        <v>411</v>
      </c>
      <c r="G12" t="s">
        <v>411</v>
      </c>
      <c r="J12" s="7"/>
      <c r="K12" s="7"/>
    </row>
    <row r="13" spans="1:19" x14ac:dyDescent="0.3">
      <c r="D13" t="s">
        <v>424</v>
      </c>
      <c r="G13" t="s">
        <v>424</v>
      </c>
      <c r="J13" s="7" t="s">
        <v>232</v>
      </c>
      <c r="K13" s="7" t="str">
        <f>J13</f>
        <v>Salon</v>
      </c>
      <c r="S13" t="s">
        <v>425</v>
      </c>
    </row>
    <row r="14" spans="1:19" x14ac:dyDescent="0.3">
      <c r="D14" t="s">
        <v>411</v>
      </c>
      <c r="G14" t="s">
        <v>411</v>
      </c>
      <c r="J14" s="7"/>
      <c r="K14" s="7"/>
    </row>
    <row r="15" spans="1:19" s="1" customFormat="1" x14ac:dyDescent="0.3">
      <c r="C15" s="1" t="s">
        <v>482</v>
      </c>
      <c r="G15" s="1" t="s">
        <v>405</v>
      </c>
      <c r="H15" s="1" t="str">
        <f>"tab"&amp;C15</f>
        <v>tabGeneral</v>
      </c>
      <c r="J15" s="1" t="s">
        <v>481</v>
      </c>
      <c r="K15" s="1" t="str">
        <f>J15</f>
        <v>Général</v>
      </c>
    </row>
    <row r="16" spans="1:19" s="10" customFormat="1" x14ac:dyDescent="0.3">
      <c r="D16" s="10" t="s">
        <v>263</v>
      </c>
      <c r="G16" s="10" t="s">
        <v>468</v>
      </c>
      <c r="I16" s="10" t="s">
        <v>453</v>
      </c>
      <c r="J16" s="10" t="s">
        <v>263</v>
      </c>
      <c r="K16" s="10" t="s">
        <v>263</v>
      </c>
      <c r="L16" s="10" t="s">
        <v>410</v>
      </c>
    </row>
    <row r="17" spans="3:17" s="10" customFormat="1" x14ac:dyDescent="0.3">
      <c r="D17" s="10" t="s">
        <v>232</v>
      </c>
      <c r="G17" s="10" t="s">
        <v>468</v>
      </c>
      <c r="I17" s="10" t="s">
        <v>416</v>
      </c>
      <c r="J17" s="10" t="s">
        <v>232</v>
      </c>
      <c r="K17" s="10" t="s">
        <v>232</v>
      </c>
      <c r="L17" s="10" t="s">
        <v>234</v>
      </c>
    </row>
    <row r="18" spans="3:17" s="10" customFormat="1" x14ac:dyDescent="0.3">
      <c r="D18" s="10" t="s">
        <v>273</v>
      </c>
      <c r="G18" s="10" t="s">
        <v>468</v>
      </c>
      <c r="I18" s="10" t="s">
        <v>429</v>
      </c>
      <c r="J18" s="10" t="s">
        <v>273</v>
      </c>
      <c r="K18" s="10" t="s">
        <v>273</v>
      </c>
      <c r="L18" s="10" t="s">
        <v>412</v>
      </c>
    </row>
    <row r="19" spans="3:17" s="10" customFormat="1" x14ac:dyDescent="0.3">
      <c r="D19" s="10" t="s">
        <v>247</v>
      </c>
      <c r="G19" s="10" t="s">
        <v>468</v>
      </c>
      <c r="I19" s="10" t="s">
        <v>417</v>
      </c>
      <c r="J19" s="10" t="s">
        <v>247</v>
      </c>
      <c r="K19" s="10" t="s">
        <v>247</v>
      </c>
      <c r="L19" s="10" t="s">
        <v>248</v>
      </c>
    </row>
    <row r="20" spans="3:17" x14ac:dyDescent="0.3">
      <c r="D20" t="s">
        <v>411</v>
      </c>
      <c r="G20" t="s">
        <v>411</v>
      </c>
      <c r="J20" s="7"/>
      <c r="K20" s="7"/>
    </row>
    <row r="21" spans="3:17" s="1" customFormat="1" x14ac:dyDescent="0.3">
      <c r="C21" s="1" t="s">
        <v>483</v>
      </c>
      <c r="G21" s="1" t="s">
        <v>405</v>
      </c>
      <c r="H21" s="1" t="str">
        <f>"tab"&amp;C21</f>
        <v>tabLumieres</v>
      </c>
      <c r="J21" s="1" t="s">
        <v>427</v>
      </c>
      <c r="K21" s="1" t="str">
        <f>J21</f>
        <v>Lumières</v>
      </c>
    </row>
    <row r="22" spans="3:17" s="10" customFormat="1" x14ac:dyDescent="0.3">
      <c r="D22" s="10" t="s">
        <v>232</v>
      </c>
      <c r="G22" s="10" t="s">
        <v>468</v>
      </c>
      <c r="I22" s="10" t="s">
        <v>416</v>
      </c>
      <c r="J22" s="10" t="s">
        <v>232</v>
      </c>
      <c r="K22" s="10" t="s">
        <v>232</v>
      </c>
      <c r="L22" s="10" t="s">
        <v>234</v>
      </c>
      <c r="Q22" s="10" t="s">
        <v>397</v>
      </c>
    </row>
    <row r="23" spans="3:17" s="10" customFormat="1" x14ac:dyDescent="0.3">
      <c r="D23" s="10" t="s">
        <v>247</v>
      </c>
      <c r="G23" s="10" t="s">
        <v>468</v>
      </c>
      <c r="I23" s="10" t="s">
        <v>417</v>
      </c>
      <c r="J23" s="10" t="s">
        <v>247</v>
      </c>
      <c r="K23" s="10" t="s">
        <v>247</v>
      </c>
      <c r="L23" s="10" t="s">
        <v>248</v>
      </c>
      <c r="Q23" s="10" t="s">
        <v>397</v>
      </c>
    </row>
    <row r="24" spans="3:17" x14ac:dyDescent="0.3">
      <c r="D24" t="s">
        <v>411</v>
      </c>
      <c r="G24" t="s">
        <v>411</v>
      </c>
      <c r="J24" s="7"/>
      <c r="K24" s="7"/>
    </row>
    <row r="25" spans="3:17" s="1" customFormat="1" x14ac:dyDescent="0.3">
      <c r="C25" s="1" t="s">
        <v>484</v>
      </c>
      <c r="G25" s="1" t="s">
        <v>405</v>
      </c>
      <c r="H25" s="1" t="str">
        <f>"tab"&amp;C25</f>
        <v>tabMedia</v>
      </c>
      <c r="J25" s="1" t="str">
        <f>C25</f>
        <v>Media</v>
      </c>
      <c r="K25" s="1" t="str">
        <f>J25</f>
        <v>Media</v>
      </c>
    </row>
    <row r="26" spans="3:17" s="10" customFormat="1" x14ac:dyDescent="0.3">
      <c r="D26" s="10" t="s">
        <v>273</v>
      </c>
      <c r="G26" s="10" t="s">
        <v>408</v>
      </c>
      <c r="H26" s="10" t="str">
        <f>"drop"&amp;D26</f>
        <v>dropTV</v>
      </c>
      <c r="I26" s="10" t="str">
        <f t="shared" ref="I26:I27" si="2">"cg"&amp;D26</f>
        <v>cgTV</v>
      </c>
      <c r="J26" s="10" t="str">
        <f>D26</f>
        <v>TV</v>
      </c>
      <c r="K26" s="10" t="str">
        <f>J26</f>
        <v>TV</v>
      </c>
      <c r="L26" s="10" t="s">
        <v>412</v>
      </c>
      <c r="Q26" s="10" t="s">
        <v>397</v>
      </c>
    </row>
    <row r="27" spans="3:17" s="10" customFormat="1" x14ac:dyDescent="0.3">
      <c r="D27" s="10" t="s">
        <v>413</v>
      </c>
      <c r="G27" s="10" t="s">
        <v>408</v>
      </c>
      <c r="H27" s="10" t="str">
        <f>"drop"&amp;D27</f>
        <v>dropVP</v>
      </c>
      <c r="I27" s="10" t="str">
        <f t="shared" si="2"/>
        <v>cgVP</v>
      </c>
      <c r="J27" s="10" t="str">
        <f>D27</f>
        <v>VP</v>
      </c>
      <c r="K27" s="10" t="str">
        <f>J27</f>
        <v>VP</v>
      </c>
      <c r="L27" s="10" t="s">
        <v>414</v>
      </c>
      <c r="Q27" s="10" t="s">
        <v>397</v>
      </c>
    </row>
    <row r="28" spans="3:17" x14ac:dyDescent="0.3">
      <c r="D28" t="s">
        <v>411</v>
      </c>
      <c r="G28" t="s">
        <v>411</v>
      </c>
      <c r="J28" s="7"/>
      <c r="K28" s="7"/>
    </row>
    <row r="29" spans="3:17" x14ac:dyDescent="0.3">
      <c r="D29" t="s">
        <v>415</v>
      </c>
      <c r="G29" t="s">
        <v>415</v>
      </c>
      <c r="I29" t="s">
        <v>421</v>
      </c>
      <c r="J29" s="7"/>
      <c r="K29" s="7"/>
    </row>
    <row r="30" spans="3:17" x14ac:dyDescent="0.3">
      <c r="D30" t="s">
        <v>411</v>
      </c>
      <c r="G30" t="s">
        <v>411</v>
      </c>
      <c r="J30" s="7"/>
      <c r="K30" s="7"/>
    </row>
    <row r="31" spans="3:17" s="1" customFormat="1" x14ac:dyDescent="0.3">
      <c r="C31" s="1" t="s">
        <v>232</v>
      </c>
      <c r="G31" s="1" t="s">
        <v>405</v>
      </c>
      <c r="H31" s="1" t="str">
        <f>"tab"&amp;C31</f>
        <v>tabSalon</v>
      </c>
      <c r="J31" s="1" t="str">
        <f>C31</f>
        <v>Salon</v>
      </c>
      <c r="K31" s="1" t="str">
        <f>J31</f>
        <v>Salon</v>
      </c>
    </row>
    <row r="32" spans="3:17" x14ac:dyDescent="0.3">
      <c r="D32" t="s">
        <v>415</v>
      </c>
      <c r="G32" t="s">
        <v>415</v>
      </c>
      <c r="I32" t="s">
        <v>416</v>
      </c>
      <c r="J32" s="7"/>
      <c r="K32" s="7"/>
    </row>
    <row r="33" spans="1:19" s="1" customFormat="1" x14ac:dyDescent="0.3">
      <c r="C33" s="1" t="s">
        <v>247</v>
      </c>
      <c r="G33" s="1" t="s">
        <v>405</v>
      </c>
      <c r="H33" s="1" t="str">
        <f>"tab"&amp;C33</f>
        <v>tabStudio</v>
      </c>
      <c r="J33" s="1" t="str">
        <f>C33</f>
        <v>Studio</v>
      </c>
      <c r="K33" s="1" t="str">
        <f>J33</f>
        <v>Studio</v>
      </c>
    </row>
    <row r="34" spans="1:19" x14ac:dyDescent="0.3">
      <c r="D34" t="s">
        <v>415</v>
      </c>
      <c r="G34" t="s">
        <v>415</v>
      </c>
      <c r="I34" t="s">
        <v>417</v>
      </c>
      <c r="J34" s="7"/>
      <c r="K34" s="7"/>
    </row>
    <row r="35" spans="1:19" s="1" customFormat="1" x14ac:dyDescent="0.3">
      <c r="C35" s="1" t="s">
        <v>407</v>
      </c>
      <c r="G35" s="1" t="s">
        <v>405</v>
      </c>
      <c r="H35" s="1" t="str">
        <f>"tab"&amp;C35</f>
        <v>tabDevices</v>
      </c>
      <c r="J35" s="1" t="str">
        <f>C35</f>
        <v>Devices</v>
      </c>
      <c r="K35" s="1" t="str">
        <f>J35</f>
        <v>Devices</v>
      </c>
    </row>
    <row r="36" spans="1:19" x14ac:dyDescent="0.3">
      <c r="D36" t="s">
        <v>407</v>
      </c>
      <c r="G36" t="s">
        <v>426</v>
      </c>
      <c r="J36" s="7"/>
      <c r="K36" s="7"/>
      <c r="L36" t="s">
        <v>407</v>
      </c>
      <c r="Q36" t="s">
        <v>397</v>
      </c>
    </row>
    <row r="37" spans="1:19" s="1" customFormat="1" x14ac:dyDescent="0.3">
      <c r="A37" s="1" t="s">
        <v>458</v>
      </c>
      <c r="G37" s="1" t="s">
        <v>456</v>
      </c>
      <c r="H37" s="1" t="s">
        <v>421</v>
      </c>
    </row>
    <row r="38" spans="1:19" x14ac:dyDescent="0.3">
      <c r="D38" t="s">
        <v>422</v>
      </c>
      <c r="G38" t="s">
        <v>422</v>
      </c>
      <c r="J38" s="7" t="s">
        <v>428</v>
      </c>
      <c r="K38" s="7" t="str">
        <f>J38</f>
        <v>Ampli</v>
      </c>
    </row>
    <row r="39" spans="1:19" x14ac:dyDescent="0.3">
      <c r="D39" t="s">
        <v>420</v>
      </c>
      <c r="G39" t="s">
        <v>420</v>
      </c>
      <c r="H39" t="s">
        <v>45</v>
      </c>
      <c r="J39" t="s">
        <v>305</v>
      </c>
      <c r="K39" t="s">
        <v>305</v>
      </c>
      <c r="M39" t="s">
        <v>336</v>
      </c>
      <c r="N39" t="str">
        <f>H39</f>
        <v>ampli.volm</v>
      </c>
    </row>
    <row r="40" spans="1:19" x14ac:dyDescent="0.3">
      <c r="D40" t="s">
        <v>420</v>
      </c>
      <c r="G40" t="s">
        <v>420</v>
      </c>
      <c r="H40" t="s">
        <v>44</v>
      </c>
      <c r="J40" t="s">
        <v>304</v>
      </c>
      <c r="K40" t="s">
        <v>304</v>
      </c>
      <c r="M40" t="s">
        <v>336</v>
      </c>
      <c r="N40" t="str">
        <f>H40</f>
        <v>ampli.volp</v>
      </c>
    </row>
    <row r="41" spans="1:19" x14ac:dyDescent="0.3">
      <c r="D41" t="s">
        <v>420</v>
      </c>
      <c r="G41" t="s">
        <v>420</v>
      </c>
      <c r="H41" t="s">
        <v>46</v>
      </c>
      <c r="J41" t="s">
        <v>283</v>
      </c>
      <c r="K41" t="s">
        <v>283</v>
      </c>
      <c r="M41" t="s">
        <v>336</v>
      </c>
      <c r="N41" t="str">
        <f>H41</f>
        <v>ampli.mute</v>
      </c>
      <c r="P41" s="7" t="s">
        <v>393</v>
      </c>
      <c r="Q41" s="7"/>
      <c r="R41" s="7"/>
      <c r="S41" s="7"/>
    </row>
    <row r="42" spans="1:19" s="1" customFormat="1" x14ac:dyDescent="0.3">
      <c r="A42" s="1" t="s">
        <v>458</v>
      </c>
      <c r="G42" s="1" t="s">
        <v>456</v>
      </c>
      <c r="H42" s="1" t="s">
        <v>453</v>
      </c>
    </row>
    <row r="43" spans="1:19" x14ac:dyDescent="0.3">
      <c r="D43" t="s">
        <v>422</v>
      </c>
      <c r="G43" t="s">
        <v>422</v>
      </c>
      <c r="J43" s="7" t="s">
        <v>454</v>
      </c>
      <c r="K43" s="7" t="str">
        <f>J43</f>
        <v>Jardin</v>
      </c>
    </row>
    <row r="44" spans="1:19" x14ac:dyDescent="0.3">
      <c r="D44" t="s">
        <v>420</v>
      </c>
      <c r="G44" t="s">
        <v>420</v>
      </c>
      <c r="H44" t="s">
        <v>264</v>
      </c>
      <c r="J44" t="s">
        <v>266</v>
      </c>
      <c r="K44" t="s">
        <v>325</v>
      </c>
      <c r="L44" t="s">
        <v>266</v>
      </c>
      <c r="M44" t="s">
        <v>336</v>
      </c>
      <c r="N44" t="str">
        <f>H44</f>
        <v>jardin.on</v>
      </c>
    </row>
    <row r="45" spans="1:19" x14ac:dyDescent="0.3">
      <c r="D45" t="s">
        <v>420</v>
      </c>
      <c r="G45" t="s">
        <v>420</v>
      </c>
      <c r="H45" t="s">
        <v>265</v>
      </c>
      <c r="J45" t="s">
        <v>267</v>
      </c>
      <c r="K45" t="s">
        <v>326</v>
      </c>
      <c r="L45" t="s">
        <v>267</v>
      </c>
      <c r="M45" t="s">
        <v>336</v>
      </c>
      <c r="N45" t="str">
        <f>H45</f>
        <v>jardin.off</v>
      </c>
      <c r="P45" s="7" t="s">
        <v>393</v>
      </c>
      <c r="Q45" s="7"/>
      <c r="R45" s="7"/>
      <c r="S45" s="7"/>
    </row>
    <row r="46" spans="1:19" x14ac:dyDescent="0.3">
      <c r="D46" t="s">
        <v>422</v>
      </c>
      <c r="G46" t="s">
        <v>422</v>
      </c>
      <c r="J46" s="7" t="s">
        <v>455</v>
      </c>
      <c r="K46" s="7" t="str">
        <f>J46</f>
        <v>Volets</v>
      </c>
    </row>
    <row r="47" spans="1:19" x14ac:dyDescent="0.3">
      <c r="D47" t="s">
        <v>420</v>
      </c>
      <c r="G47" t="s">
        <v>420</v>
      </c>
      <c r="H47" t="s">
        <v>270</v>
      </c>
      <c r="J47" t="s">
        <v>343</v>
      </c>
      <c r="K47" t="s">
        <v>459</v>
      </c>
      <c r="L47" t="s">
        <v>268</v>
      </c>
      <c r="M47" t="s">
        <v>336</v>
      </c>
      <c r="N47" t="str">
        <f>H47</f>
        <v>volets.on</v>
      </c>
    </row>
    <row r="48" spans="1:19" x14ac:dyDescent="0.3">
      <c r="D48" t="s">
        <v>420</v>
      </c>
      <c r="G48" t="s">
        <v>420</v>
      </c>
      <c r="H48" t="s">
        <v>271</v>
      </c>
      <c r="J48" t="s">
        <v>344</v>
      </c>
      <c r="K48" t="s">
        <v>460</v>
      </c>
      <c r="L48" t="s">
        <v>269</v>
      </c>
      <c r="M48" t="s">
        <v>336</v>
      </c>
      <c r="N48" t="str">
        <f>H48</f>
        <v>volets.off</v>
      </c>
      <c r="P48" s="7" t="s">
        <v>393</v>
      </c>
      <c r="Q48" s="7"/>
      <c r="R48" s="7"/>
      <c r="S48" s="7"/>
    </row>
    <row r="49" spans="1:19" s="1" customFormat="1" x14ac:dyDescent="0.3">
      <c r="A49" s="1" t="s">
        <v>458</v>
      </c>
      <c r="G49" s="1" t="s">
        <v>456</v>
      </c>
      <c r="H49" s="1" t="s">
        <v>416</v>
      </c>
    </row>
    <row r="50" spans="1:19" x14ac:dyDescent="0.3">
      <c r="D50" t="s">
        <v>422</v>
      </c>
      <c r="G50" t="s">
        <v>422</v>
      </c>
      <c r="J50" s="7" t="s">
        <v>427</v>
      </c>
      <c r="K50" s="7" t="str">
        <f>J50</f>
        <v>Lumières</v>
      </c>
    </row>
    <row r="51" spans="1:19" x14ac:dyDescent="0.3">
      <c r="D51" t="s">
        <v>420</v>
      </c>
      <c r="G51" t="s">
        <v>420</v>
      </c>
      <c r="H51" t="s">
        <v>52</v>
      </c>
      <c r="J51" t="s">
        <v>236</v>
      </c>
      <c r="K51" t="s">
        <v>325</v>
      </c>
      <c r="L51" t="s">
        <v>236</v>
      </c>
      <c r="M51" t="s">
        <v>336</v>
      </c>
      <c r="N51" t="str">
        <f t="shared" ref="N51:N67" si="3">H51</f>
        <v>salon.on</v>
      </c>
      <c r="R51" t="s">
        <v>479</v>
      </c>
    </row>
    <row r="52" spans="1:19" x14ac:dyDescent="0.3">
      <c r="D52" t="s">
        <v>420</v>
      </c>
      <c r="G52" t="s">
        <v>420</v>
      </c>
      <c r="H52" t="s">
        <v>51</v>
      </c>
      <c r="J52" t="s">
        <v>235</v>
      </c>
      <c r="K52" t="s">
        <v>326</v>
      </c>
      <c r="L52" t="s">
        <v>235</v>
      </c>
      <c r="M52" t="s">
        <v>336</v>
      </c>
      <c r="N52" t="str">
        <f t="shared" si="3"/>
        <v>salon.off</v>
      </c>
      <c r="P52" s="7" t="s">
        <v>393</v>
      </c>
      <c r="Q52" s="7"/>
      <c r="R52" s="7" t="s">
        <v>480</v>
      </c>
      <c r="S52" s="7"/>
    </row>
    <row r="53" spans="1:19" x14ac:dyDescent="0.3">
      <c r="D53" t="s">
        <v>461</v>
      </c>
      <c r="G53" t="s">
        <v>461</v>
      </c>
      <c r="H53" t="s">
        <v>380</v>
      </c>
      <c r="J53">
        <v>1</v>
      </c>
      <c r="K53">
        <v>1</v>
      </c>
      <c r="L53" t="s">
        <v>463</v>
      </c>
      <c r="O53" t="s">
        <v>380</v>
      </c>
      <c r="P53" s="7" t="s">
        <v>393</v>
      </c>
      <c r="Q53" s="7"/>
      <c r="R53" s="7"/>
      <c r="S53" s="7"/>
    </row>
    <row r="54" spans="1:19" x14ac:dyDescent="0.3">
      <c r="E54" t="s">
        <v>420</v>
      </c>
      <c r="G54" t="s">
        <v>420</v>
      </c>
      <c r="H54" t="s">
        <v>4</v>
      </c>
      <c r="J54" t="s">
        <v>237</v>
      </c>
      <c r="K54" t="s">
        <v>325</v>
      </c>
      <c r="L54" t="s">
        <v>237</v>
      </c>
      <c r="M54" t="s">
        <v>336</v>
      </c>
      <c r="N54" t="str">
        <f t="shared" si="3"/>
        <v>salon.1.on</v>
      </c>
    </row>
    <row r="55" spans="1:19" x14ac:dyDescent="0.3">
      <c r="E55" t="s">
        <v>420</v>
      </c>
      <c r="G55" t="s">
        <v>420</v>
      </c>
      <c r="H55" t="s">
        <v>9</v>
      </c>
      <c r="J55" t="s">
        <v>246</v>
      </c>
      <c r="K55" t="s">
        <v>326</v>
      </c>
      <c r="L55" t="s">
        <v>246</v>
      </c>
      <c r="M55" t="s">
        <v>336</v>
      </c>
      <c r="N55" t="str">
        <f t="shared" si="3"/>
        <v>salon.1.off</v>
      </c>
      <c r="Q55" s="7"/>
      <c r="R55" s="7"/>
      <c r="S55" s="7"/>
    </row>
    <row r="56" spans="1:19" x14ac:dyDescent="0.3">
      <c r="D56" t="s">
        <v>461</v>
      </c>
      <c r="G56" t="s">
        <v>461</v>
      </c>
      <c r="H56" t="s">
        <v>381</v>
      </c>
      <c r="J56">
        <v>2</v>
      </c>
      <c r="K56">
        <v>2</v>
      </c>
      <c r="L56" t="s">
        <v>462</v>
      </c>
      <c r="O56" t="s">
        <v>381</v>
      </c>
      <c r="P56" s="7" t="s">
        <v>393</v>
      </c>
      <c r="Q56" s="7"/>
      <c r="R56" s="7"/>
      <c r="S56" s="7"/>
    </row>
    <row r="57" spans="1:19" x14ac:dyDescent="0.3">
      <c r="E57" t="s">
        <v>420</v>
      </c>
      <c r="G57" t="s">
        <v>420</v>
      </c>
      <c r="H57" t="s">
        <v>5</v>
      </c>
      <c r="J57" t="s">
        <v>238</v>
      </c>
      <c r="K57" t="s">
        <v>325</v>
      </c>
      <c r="L57" t="s">
        <v>238</v>
      </c>
      <c r="M57" t="s">
        <v>336</v>
      </c>
      <c r="N57" t="str">
        <f t="shared" si="3"/>
        <v>salon.2.on</v>
      </c>
    </row>
    <row r="58" spans="1:19" x14ac:dyDescent="0.3">
      <c r="E58" t="s">
        <v>420</v>
      </c>
      <c r="G58" t="s">
        <v>420</v>
      </c>
      <c r="H58" t="s">
        <v>10</v>
      </c>
      <c r="J58" t="s">
        <v>239</v>
      </c>
      <c r="K58" t="s">
        <v>326</v>
      </c>
      <c r="L58" t="s">
        <v>239</v>
      </c>
      <c r="M58" t="s">
        <v>336</v>
      </c>
      <c r="N58" t="str">
        <f t="shared" si="3"/>
        <v>salon.2.off</v>
      </c>
      <c r="P58" s="7"/>
      <c r="Q58" s="7"/>
      <c r="R58" s="7"/>
      <c r="S58" s="7"/>
    </row>
    <row r="59" spans="1:19" x14ac:dyDescent="0.3">
      <c r="D59" t="s">
        <v>461</v>
      </c>
      <c r="G59" t="s">
        <v>461</v>
      </c>
      <c r="H59" t="s">
        <v>382</v>
      </c>
      <c r="J59">
        <v>3</v>
      </c>
      <c r="K59">
        <v>3</v>
      </c>
      <c r="L59" t="s">
        <v>464</v>
      </c>
      <c r="O59" t="s">
        <v>382</v>
      </c>
      <c r="P59" s="7" t="s">
        <v>393</v>
      </c>
      <c r="Q59" s="7"/>
      <c r="R59" s="7"/>
      <c r="S59" s="7"/>
    </row>
    <row r="60" spans="1:19" x14ac:dyDescent="0.3">
      <c r="E60" t="s">
        <v>420</v>
      </c>
      <c r="G60" t="s">
        <v>420</v>
      </c>
      <c r="H60" t="s">
        <v>6</v>
      </c>
      <c r="J60" t="s">
        <v>240</v>
      </c>
      <c r="K60" t="s">
        <v>325</v>
      </c>
      <c r="L60" t="s">
        <v>240</v>
      </c>
      <c r="M60" t="s">
        <v>336</v>
      </c>
      <c r="N60" t="str">
        <f t="shared" si="3"/>
        <v>salon.3.on</v>
      </c>
    </row>
    <row r="61" spans="1:19" x14ac:dyDescent="0.3">
      <c r="E61" t="s">
        <v>420</v>
      </c>
      <c r="G61" t="s">
        <v>420</v>
      </c>
      <c r="H61" t="s">
        <v>11</v>
      </c>
      <c r="J61" t="s">
        <v>241</v>
      </c>
      <c r="K61" t="s">
        <v>326</v>
      </c>
      <c r="L61" t="s">
        <v>241</v>
      </c>
      <c r="M61" t="s">
        <v>336</v>
      </c>
      <c r="N61" t="str">
        <f t="shared" si="3"/>
        <v>salon.3.off</v>
      </c>
      <c r="P61" s="7"/>
      <c r="Q61" s="7"/>
      <c r="R61" s="7"/>
      <c r="S61" s="7"/>
    </row>
    <row r="62" spans="1:19" x14ac:dyDescent="0.3">
      <c r="D62" t="s">
        <v>461</v>
      </c>
      <c r="G62" t="s">
        <v>461</v>
      </c>
      <c r="H62" t="s">
        <v>383</v>
      </c>
      <c r="J62">
        <v>4</v>
      </c>
      <c r="K62">
        <v>4</v>
      </c>
      <c r="L62" t="s">
        <v>465</v>
      </c>
      <c r="O62" t="s">
        <v>383</v>
      </c>
      <c r="P62" s="7" t="s">
        <v>393</v>
      </c>
      <c r="Q62" s="7"/>
      <c r="R62" s="7"/>
      <c r="S62" s="7"/>
    </row>
    <row r="63" spans="1:19" x14ac:dyDescent="0.3">
      <c r="E63" t="s">
        <v>420</v>
      </c>
      <c r="G63" t="s">
        <v>420</v>
      </c>
      <c r="H63" t="s">
        <v>12</v>
      </c>
      <c r="J63" t="s">
        <v>242</v>
      </c>
      <c r="K63" t="s">
        <v>325</v>
      </c>
      <c r="L63" t="s">
        <v>242</v>
      </c>
      <c r="M63" t="s">
        <v>336</v>
      </c>
      <c r="N63" t="str">
        <f t="shared" si="3"/>
        <v>salon.4.on</v>
      </c>
    </row>
    <row r="64" spans="1:19" x14ac:dyDescent="0.3">
      <c r="E64" t="s">
        <v>420</v>
      </c>
      <c r="G64" t="s">
        <v>420</v>
      </c>
      <c r="H64" t="s">
        <v>14</v>
      </c>
      <c r="J64" t="s">
        <v>243</v>
      </c>
      <c r="K64" t="s">
        <v>326</v>
      </c>
      <c r="L64" t="s">
        <v>243</v>
      </c>
      <c r="M64" t="s">
        <v>336</v>
      </c>
      <c r="N64" t="str">
        <f t="shared" si="3"/>
        <v>salon.4.off</v>
      </c>
      <c r="P64" s="7"/>
      <c r="Q64" s="7"/>
      <c r="R64" s="7"/>
      <c r="S64" s="7"/>
    </row>
    <row r="65" spans="1:19" x14ac:dyDescent="0.3">
      <c r="D65" t="s">
        <v>461</v>
      </c>
      <c r="G65" t="s">
        <v>461</v>
      </c>
      <c r="H65" t="s">
        <v>384</v>
      </c>
      <c r="J65">
        <v>5</v>
      </c>
      <c r="K65">
        <v>5</v>
      </c>
      <c r="L65" t="s">
        <v>466</v>
      </c>
      <c r="O65" t="s">
        <v>384</v>
      </c>
      <c r="P65" s="7" t="s">
        <v>393</v>
      </c>
      <c r="Q65" s="7"/>
      <c r="R65" s="7"/>
      <c r="S65" s="7"/>
    </row>
    <row r="66" spans="1:19" x14ac:dyDescent="0.3">
      <c r="E66" t="s">
        <v>420</v>
      </c>
      <c r="G66" t="s">
        <v>420</v>
      </c>
      <c r="H66" t="s">
        <v>13</v>
      </c>
      <c r="J66" t="s">
        <v>244</v>
      </c>
      <c r="K66" t="s">
        <v>325</v>
      </c>
      <c r="L66" t="s">
        <v>244</v>
      </c>
      <c r="M66" t="s">
        <v>336</v>
      </c>
      <c r="N66" t="str">
        <f t="shared" si="3"/>
        <v>salon.5.on</v>
      </c>
    </row>
    <row r="67" spans="1:19" x14ac:dyDescent="0.3">
      <c r="E67" t="s">
        <v>420</v>
      </c>
      <c r="G67" t="s">
        <v>420</v>
      </c>
      <c r="H67" t="s">
        <v>15</v>
      </c>
      <c r="J67" t="s">
        <v>245</v>
      </c>
      <c r="K67" t="s">
        <v>326</v>
      </c>
      <c r="L67" t="s">
        <v>245</v>
      </c>
      <c r="M67" t="s">
        <v>336</v>
      </c>
      <c r="N67" t="str">
        <f t="shared" si="3"/>
        <v>salon.5.off</v>
      </c>
      <c r="P67" s="7"/>
      <c r="Q67" s="7"/>
      <c r="R67" s="7"/>
      <c r="S67" s="7"/>
    </row>
    <row r="68" spans="1:19" s="1" customFormat="1" x14ac:dyDescent="0.3">
      <c r="A68" s="1" t="s">
        <v>458</v>
      </c>
      <c r="G68" s="1" t="s">
        <v>456</v>
      </c>
      <c r="H68" s="1" t="s">
        <v>417</v>
      </c>
    </row>
    <row r="69" spans="1:19" x14ac:dyDescent="0.3">
      <c r="D69" t="s">
        <v>422</v>
      </c>
      <c r="G69" t="s">
        <v>422</v>
      </c>
      <c r="J69" s="7" t="s">
        <v>427</v>
      </c>
      <c r="K69" s="7" t="str">
        <f>J69</f>
        <v>Lumières</v>
      </c>
    </row>
    <row r="70" spans="1:19" x14ac:dyDescent="0.3">
      <c r="D70" t="s">
        <v>420</v>
      </c>
      <c r="G70" t="s">
        <v>420</v>
      </c>
      <c r="H70" t="s">
        <v>261</v>
      </c>
      <c r="J70" t="s">
        <v>249</v>
      </c>
      <c r="K70" t="s">
        <v>325</v>
      </c>
      <c r="L70" t="s">
        <v>249</v>
      </c>
      <c r="M70" t="s">
        <v>336</v>
      </c>
      <c r="N70" t="str">
        <f t="shared" ref="N70:N71" si="4">H70</f>
        <v>studio.on</v>
      </c>
      <c r="R70" t="s">
        <v>479</v>
      </c>
    </row>
    <row r="71" spans="1:19" x14ac:dyDescent="0.3">
      <c r="D71" t="s">
        <v>420</v>
      </c>
      <c r="G71" t="s">
        <v>420</v>
      </c>
      <c r="H71" t="s">
        <v>262</v>
      </c>
      <c r="J71" t="s">
        <v>250</v>
      </c>
      <c r="K71" t="s">
        <v>326</v>
      </c>
      <c r="L71" t="s">
        <v>250</v>
      </c>
      <c r="M71" t="s">
        <v>336</v>
      </c>
      <c r="N71" t="str">
        <f t="shared" si="4"/>
        <v>studio.off</v>
      </c>
      <c r="P71" s="7" t="s">
        <v>393</v>
      </c>
      <c r="Q71" s="7"/>
      <c r="R71" s="7" t="s">
        <v>480</v>
      </c>
      <c r="S71" s="7"/>
    </row>
    <row r="72" spans="1:19" x14ac:dyDescent="0.3">
      <c r="D72" t="s">
        <v>461</v>
      </c>
      <c r="G72" t="s">
        <v>461</v>
      </c>
      <c r="H72" t="s">
        <v>385</v>
      </c>
      <c r="J72">
        <v>1</v>
      </c>
      <c r="K72">
        <v>1</v>
      </c>
      <c r="L72" t="s">
        <v>472</v>
      </c>
      <c r="O72" t="s">
        <v>385</v>
      </c>
      <c r="P72" s="7" t="s">
        <v>393</v>
      </c>
      <c r="Q72" s="7"/>
      <c r="R72" s="7"/>
      <c r="S72" s="7"/>
    </row>
    <row r="73" spans="1:19" x14ac:dyDescent="0.3">
      <c r="E73" t="s">
        <v>420</v>
      </c>
      <c r="G73" t="s">
        <v>420</v>
      </c>
      <c r="H73" t="s">
        <v>370</v>
      </c>
      <c r="J73" t="s">
        <v>251</v>
      </c>
      <c r="K73" t="s">
        <v>325</v>
      </c>
      <c r="L73" t="s">
        <v>251</v>
      </c>
      <c r="M73" t="s">
        <v>336</v>
      </c>
      <c r="N73" t="str">
        <f t="shared" ref="N73:N74" si="5">H73</f>
        <v>studio.1.on</v>
      </c>
    </row>
    <row r="74" spans="1:19" x14ac:dyDescent="0.3">
      <c r="E74" t="s">
        <v>420</v>
      </c>
      <c r="G74" t="s">
        <v>420</v>
      </c>
      <c r="H74" t="s">
        <v>371</v>
      </c>
      <c r="J74" t="s">
        <v>252</v>
      </c>
      <c r="K74" t="s">
        <v>326</v>
      </c>
      <c r="L74" t="s">
        <v>252</v>
      </c>
      <c r="M74" t="s">
        <v>336</v>
      </c>
      <c r="N74" t="str">
        <f t="shared" si="5"/>
        <v>studio.1.off</v>
      </c>
      <c r="Q74" s="7"/>
      <c r="R74" s="7"/>
      <c r="S74" s="7"/>
    </row>
    <row r="75" spans="1:19" x14ac:dyDescent="0.3">
      <c r="D75" t="s">
        <v>461</v>
      </c>
      <c r="G75" t="s">
        <v>461</v>
      </c>
      <c r="H75" t="s">
        <v>386</v>
      </c>
      <c r="J75">
        <v>2</v>
      </c>
      <c r="K75">
        <v>2</v>
      </c>
      <c r="L75" t="s">
        <v>473</v>
      </c>
      <c r="O75" t="s">
        <v>386</v>
      </c>
      <c r="P75" s="7" t="s">
        <v>393</v>
      </c>
      <c r="Q75" s="7"/>
      <c r="R75" s="7"/>
      <c r="S75" s="7"/>
    </row>
    <row r="76" spans="1:19" x14ac:dyDescent="0.3">
      <c r="E76" t="s">
        <v>420</v>
      </c>
      <c r="G76" t="s">
        <v>420</v>
      </c>
      <c r="H76" t="s">
        <v>372</v>
      </c>
      <c r="J76" t="s">
        <v>253</v>
      </c>
      <c r="K76" t="s">
        <v>325</v>
      </c>
      <c r="L76" t="s">
        <v>253</v>
      </c>
      <c r="M76" t="s">
        <v>336</v>
      </c>
      <c r="N76" t="str">
        <f t="shared" ref="N76:N77" si="6">H76</f>
        <v>studio.2.on</v>
      </c>
    </row>
    <row r="77" spans="1:19" x14ac:dyDescent="0.3">
      <c r="E77" t="s">
        <v>420</v>
      </c>
      <c r="G77" t="s">
        <v>420</v>
      </c>
      <c r="H77" t="s">
        <v>373</v>
      </c>
      <c r="J77" t="s">
        <v>254</v>
      </c>
      <c r="K77" t="s">
        <v>326</v>
      </c>
      <c r="L77" t="s">
        <v>254</v>
      </c>
      <c r="M77" t="s">
        <v>336</v>
      </c>
      <c r="N77" t="str">
        <f t="shared" si="6"/>
        <v>studio.2.off</v>
      </c>
      <c r="P77" s="7"/>
      <c r="Q77" s="7"/>
      <c r="R77" s="7"/>
      <c r="S77" s="7"/>
    </row>
    <row r="78" spans="1:19" x14ac:dyDescent="0.3">
      <c r="D78" t="s">
        <v>461</v>
      </c>
      <c r="G78" t="s">
        <v>461</v>
      </c>
      <c r="H78" t="s">
        <v>387</v>
      </c>
      <c r="J78">
        <v>3</v>
      </c>
      <c r="K78">
        <v>3</v>
      </c>
      <c r="L78" t="s">
        <v>474</v>
      </c>
      <c r="O78" t="s">
        <v>387</v>
      </c>
      <c r="P78" s="7" t="s">
        <v>393</v>
      </c>
      <c r="Q78" s="7"/>
      <c r="R78" s="7"/>
      <c r="S78" s="7"/>
    </row>
    <row r="79" spans="1:19" x14ac:dyDescent="0.3">
      <c r="E79" t="s">
        <v>420</v>
      </c>
      <c r="G79" t="s">
        <v>420</v>
      </c>
      <c r="H79" t="s">
        <v>374</v>
      </c>
      <c r="J79" t="s">
        <v>255</v>
      </c>
      <c r="K79" t="s">
        <v>325</v>
      </c>
      <c r="L79" t="s">
        <v>255</v>
      </c>
      <c r="M79" t="s">
        <v>336</v>
      </c>
      <c r="N79" t="str">
        <f t="shared" ref="N79:N80" si="7">H79</f>
        <v>studio.3.on</v>
      </c>
    </row>
    <row r="80" spans="1:19" x14ac:dyDescent="0.3">
      <c r="E80" t="s">
        <v>420</v>
      </c>
      <c r="G80" t="s">
        <v>420</v>
      </c>
      <c r="H80" t="s">
        <v>375</v>
      </c>
      <c r="J80" t="s">
        <v>256</v>
      </c>
      <c r="K80" t="s">
        <v>326</v>
      </c>
      <c r="L80" t="s">
        <v>256</v>
      </c>
      <c r="M80" t="s">
        <v>336</v>
      </c>
      <c r="N80" t="str">
        <f t="shared" si="7"/>
        <v>studio.3.off</v>
      </c>
      <c r="P80" s="7"/>
      <c r="Q80" s="7"/>
      <c r="R80" s="7"/>
      <c r="S80" s="7"/>
    </row>
    <row r="81" spans="1:19" x14ac:dyDescent="0.3">
      <c r="D81" t="s">
        <v>461</v>
      </c>
      <c r="G81" t="s">
        <v>461</v>
      </c>
      <c r="H81" t="s">
        <v>388</v>
      </c>
      <c r="J81">
        <v>4</v>
      </c>
      <c r="K81">
        <v>4</v>
      </c>
      <c r="L81" t="s">
        <v>475</v>
      </c>
      <c r="O81" t="s">
        <v>388</v>
      </c>
      <c r="P81" s="7" t="s">
        <v>393</v>
      </c>
      <c r="Q81" s="7"/>
      <c r="R81" s="7"/>
      <c r="S81" s="7"/>
    </row>
    <row r="82" spans="1:19" x14ac:dyDescent="0.3">
      <c r="E82" t="s">
        <v>420</v>
      </c>
      <c r="G82" t="s">
        <v>420</v>
      </c>
      <c r="H82" t="s">
        <v>376</v>
      </c>
      <c r="J82" t="s">
        <v>257</v>
      </c>
      <c r="K82" t="s">
        <v>325</v>
      </c>
      <c r="L82" t="s">
        <v>257</v>
      </c>
      <c r="M82" t="s">
        <v>336</v>
      </c>
      <c r="N82" t="str">
        <f t="shared" ref="N82:N83" si="8">H82</f>
        <v>studio.4.on</v>
      </c>
    </row>
    <row r="83" spans="1:19" x14ac:dyDescent="0.3">
      <c r="E83" t="s">
        <v>420</v>
      </c>
      <c r="G83" t="s">
        <v>420</v>
      </c>
      <c r="H83" t="s">
        <v>377</v>
      </c>
      <c r="J83" t="s">
        <v>258</v>
      </c>
      <c r="K83" t="s">
        <v>326</v>
      </c>
      <c r="L83" t="s">
        <v>258</v>
      </c>
      <c r="M83" t="s">
        <v>336</v>
      </c>
      <c r="N83" t="str">
        <f t="shared" si="8"/>
        <v>studio.4.off</v>
      </c>
      <c r="P83" s="7"/>
      <c r="Q83" s="7"/>
      <c r="R83" s="7"/>
      <c r="S83" s="7"/>
    </row>
    <row r="84" spans="1:19" x14ac:dyDescent="0.3">
      <c r="D84" t="s">
        <v>461</v>
      </c>
      <c r="G84" t="s">
        <v>461</v>
      </c>
      <c r="H84" t="s">
        <v>389</v>
      </c>
      <c r="J84">
        <v>5</v>
      </c>
      <c r="K84">
        <v>5</v>
      </c>
      <c r="L84" t="s">
        <v>476</v>
      </c>
      <c r="O84" t="s">
        <v>389</v>
      </c>
      <c r="P84" s="7" t="s">
        <v>393</v>
      </c>
      <c r="Q84" s="7"/>
      <c r="R84" s="7"/>
      <c r="S84" s="7"/>
    </row>
    <row r="85" spans="1:19" x14ac:dyDescent="0.3">
      <c r="E85" t="s">
        <v>420</v>
      </c>
      <c r="G85" t="s">
        <v>420</v>
      </c>
      <c r="H85" t="s">
        <v>378</v>
      </c>
      <c r="J85" t="s">
        <v>259</v>
      </c>
      <c r="K85" t="s">
        <v>325</v>
      </c>
      <c r="L85" t="s">
        <v>259</v>
      </c>
      <c r="M85" t="s">
        <v>336</v>
      </c>
      <c r="N85" t="str">
        <f t="shared" ref="N85:N86" si="9">H85</f>
        <v>studio.5.on</v>
      </c>
    </row>
    <row r="86" spans="1:19" x14ac:dyDescent="0.3">
      <c r="E86" t="s">
        <v>420</v>
      </c>
      <c r="G86" t="s">
        <v>420</v>
      </c>
      <c r="H86" t="s">
        <v>379</v>
      </c>
      <c r="J86" t="s">
        <v>260</v>
      </c>
      <c r="K86" t="s">
        <v>326</v>
      </c>
      <c r="L86" t="s">
        <v>260</v>
      </c>
      <c r="M86" t="s">
        <v>336</v>
      </c>
      <c r="N86" t="str">
        <f t="shared" si="9"/>
        <v>studio.5.off</v>
      </c>
      <c r="P86" s="7"/>
      <c r="Q86" s="7"/>
      <c r="R86" s="7"/>
      <c r="S86" s="7"/>
    </row>
    <row r="87" spans="1:19" s="1" customFormat="1" x14ac:dyDescent="0.3">
      <c r="A87" s="1" t="s">
        <v>458</v>
      </c>
      <c r="G87" s="1" t="s">
        <v>456</v>
      </c>
      <c r="H87" s="1" t="s">
        <v>477</v>
      </c>
    </row>
    <row r="88" spans="1:19" x14ac:dyDescent="0.3">
      <c r="D88" t="s">
        <v>422</v>
      </c>
      <c r="G88" t="s">
        <v>422</v>
      </c>
      <c r="J88" s="7" t="s">
        <v>427</v>
      </c>
      <c r="K88" s="7" t="str">
        <f>J88</f>
        <v>Lumières</v>
      </c>
    </row>
    <row r="89" spans="1:19" x14ac:dyDescent="0.3">
      <c r="D89" t="s">
        <v>420</v>
      </c>
      <c r="G89" t="s">
        <v>420</v>
      </c>
      <c r="H89" t="s">
        <v>261</v>
      </c>
      <c r="J89" t="s">
        <v>249</v>
      </c>
      <c r="K89" t="s">
        <v>325</v>
      </c>
      <c r="L89" t="s">
        <v>249</v>
      </c>
      <c r="M89" t="s">
        <v>336</v>
      </c>
      <c r="N89" t="str">
        <f t="shared" ref="N89:N100" si="10">H89</f>
        <v>studio.on</v>
      </c>
      <c r="R89" t="s">
        <v>479</v>
      </c>
    </row>
    <row r="90" spans="1:19" x14ac:dyDescent="0.3">
      <c r="D90" t="s">
        <v>420</v>
      </c>
      <c r="G90" t="s">
        <v>420</v>
      </c>
      <c r="H90" t="s">
        <v>262</v>
      </c>
      <c r="J90" t="s">
        <v>250</v>
      </c>
      <c r="K90" t="s">
        <v>326</v>
      </c>
      <c r="L90" t="s">
        <v>250</v>
      </c>
      <c r="M90" t="s">
        <v>336</v>
      </c>
      <c r="N90" t="str">
        <f t="shared" si="10"/>
        <v>studio.off</v>
      </c>
      <c r="P90" s="7" t="s">
        <v>393</v>
      </c>
      <c r="Q90" s="7"/>
      <c r="R90" s="7" t="s">
        <v>480</v>
      </c>
      <c r="S90" s="7"/>
    </row>
    <row r="91" spans="1:19" x14ac:dyDescent="0.3">
      <c r="D91" t="s">
        <v>420</v>
      </c>
      <c r="G91" t="s">
        <v>420</v>
      </c>
      <c r="H91" t="s">
        <v>370</v>
      </c>
      <c r="J91" t="s">
        <v>251</v>
      </c>
      <c r="K91" t="s">
        <v>354</v>
      </c>
      <c r="L91" t="s">
        <v>251</v>
      </c>
      <c r="M91" t="s">
        <v>336</v>
      </c>
      <c r="N91" t="str">
        <f t="shared" si="10"/>
        <v>studio.1.on</v>
      </c>
      <c r="O91" t="s">
        <v>385</v>
      </c>
    </row>
    <row r="92" spans="1:19" x14ac:dyDescent="0.3">
      <c r="D92" t="s">
        <v>420</v>
      </c>
      <c r="G92" t="s">
        <v>420</v>
      </c>
      <c r="H92" t="s">
        <v>371</v>
      </c>
      <c r="J92" t="s">
        <v>252</v>
      </c>
      <c r="K92" t="s">
        <v>355</v>
      </c>
      <c r="L92" t="s">
        <v>252</v>
      </c>
      <c r="M92" t="s">
        <v>336</v>
      </c>
      <c r="N92" t="str">
        <f t="shared" si="10"/>
        <v>studio.1.off</v>
      </c>
      <c r="O92" t="s">
        <v>385</v>
      </c>
      <c r="P92" s="7" t="s">
        <v>393</v>
      </c>
      <c r="Q92" s="7"/>
      <c r="R92" s="7"/>
      <c r="S92" s="7"/>
    </row>
    <row r="93" spans="1:19" x14ac:dyDescent="0.3">
      <c r="D93" t="s">
        <v>420</v>
      </c>
      <c r="G93" t="s">
        <v>420</v>
      </c>
      <c r="H93" t="s">
        <v>372</v>
      </c>
      <c r="J93" t="s">
        <v>253</v>
      </c>
      <c r="K93" t="s">
        <v>356</v>
      </c>
      <c r="L93" t="s">
        <v>253</v>
      </c>
      <c r="M93" t="s">
        <v>336</v>
      </c>
      <c r="N93" t="str">
        <f t="shared" si="10"/>
        <v>studio.2.on</v>
      </c>
      <c r="O93" t="s">
        <v>386</v>
      </c>
    </row>
    <row r="94" spans="1:19" x14ac:dyDescent="0.3">
      <c r="D94" t="s">
        <v>420</v>
      </c>
      <c r="G94" t="s">
        <v>420</v>
      </c>
      <c r="H94" t="s">
        <v>373</v>
      </c>
      <c r="J94" t="s">
        <v>254</v>
      </c>
      <c r="K94" t="s">
        <v>357</v>
      </c>
      <c r="L94" t="s">
        <v>254</v>
      </c>
      <c r="M94" t="s">
        <v>336</v>
      </c>
      <c r="N94" t="str">
        <f t="shared" si="10"/>
        <v>studio.2.off</v>
      </c>
      <c r="O94" t="s">
        <v>386</v>
      </c>
      <c r="P94" s="7" t="s">
        <v>393</v>
      </c>
      <c r="Q94" s="7"/>
      <c r="R94" s="7"/>
      <c r="S94" s="7"/>
    </row>
    <row r="95" spans="1:19" x14ac:dyDescent="0.3">
      <c r="D95" t="s">
        <v>420</v>
      </c>
      <c r="G95" t="s">
        <v>420</v>
      </c>
      <c r="H95" t="s">
        <v>374</v>
      </c>
      <c r="J95" t="s">
        <v>255</v>
      </c>
      <c r="K95" t="s">
        <v>358</v>
      </c>
      <c r="L95" t="s">
        <v>255</v>
      </c>
      <c r="M95" t="s">
        <v>336</v>
      </c>
      <c r="N95" t="str">
        <f t="shared" si="10"/>
        <v>studio.3.on</v>
      </c>
      <c r="O95" t="s">
        <v>387</v>
      </c>
    </row>
    <row r="96" spans="1:19" x14ac:dyDescent="0.3">
      <c r="D96" t="s">
        <v>420</v>
      </c>
      <c r="G96" t="s">
        <v>420</v>
      </c>
      <c r="H96" t="s">
        <v>375</v>
      </c>
      <c r="J96" t="s">
        <v>256</v>
      </c>
      <c r="K96" t="s">
        <v>359</v>
      </c>
      <c r="L96" t="s">
        <v>256</v>
      </c>
      <c r="M96" t="s">
        <v>336</v>
      </c>
      <c r="N96" t="str">
        <f t="shared" si="10"/>
        <v>studio.3.off</v>
      </c>
      <c r="O96" t="s">
        <v>387</v>
      </c>
      <c r="P96" s="7" t="s">
        <v>393</v>
      </c>
      <c r="Q96" s="7"/>
      <c r="R96" s="7"/>
      <c r="S96" s="7"/>
    </row>
    <row r="97" spans="1:19" x14ac:dyDescent="0.3">
      <c r="D97" t="s">
        <v>420</v>
      </c>
      <c r="G97" t="s">
        <v>420</v>
      </c>
      <c r="H97" t="s">
        <v>376</v>
      </c>
      <c r="J97" t="s">
        <v>257</v>
      </c>
      <c r="K97" t="s">
        <v>360</v>
      </c>
      <c r="L97" t="s">
        <v>257</v>
      </c>
      <c r="M97" t="s">
        <v>336</v>
      </c>
      <c r="N97" t="str">
        <f t="shared" si="10"/>
        <v>studio.4.on</v>
      </c>
      <c r="O97" t="s">
        <v>388</v>
      </c>
    </row>
    <row r="98" spans="1:19" x14ac:dyDescent="0.3">
      <c r="D98" t="s">
        <v>420</v>
      </c>
      <c r="G98" t="s">
        <v>420</v>
      </c>
      <c r="H98" t="s">
        <v>377</v>
      </c>
      <c r="J98" t="s">
        <v>258</v>
      </c>
      <c r="K98" t="s">
        <v>361</v>
      </c>
      <c r="L98" t="s">
        <v>258</v>
      </c>
      <c r="M98" t="s">
        <v>336</v>
      </c>
      <c r="N98" t="str">
        <f t="shared" si="10"/>
        <v>studio.4.off</v>
      </c>
      <c r="O98" t="s">
        <v>388</v>
      </c>
      <c r="P98" s="7" t="s">
        <v>393</v>
      </c>
      <c r="Q98" s="7"/>
      <c r="R98" s="7"/>
      <c r="S98" s="7"/>
    </row>
    <row r="99" spans="1:19" x14ac:dyDescent="0.3">
      <c r="D99" t="s">
        <v>420</v>
      </c>
      <c r="G99" t="s">
        <v>420</v>
      </c>
      <c r="H99" t="s">
        <v>378</v>
      </c>
      <c r="J99" t="s">
        <v>259</v>
      </c>
      <c r="K99" t="s">
        <v>362</v>
      </c>
      <c r="L99" t="s">
        <v>259</v>
      </c>
      <c r="M99" t="s">
        <v>336</v>
      </c>
      <c r="N99" t="str">
        <f t="shared" si="10"/>
        <v>studio.5.on</v>
      </c>
      <c r="O99" t="s">
        <v>389</v>
      </c>
    </row>
    <row r="100" spans="1:19" x14ac:dyDescent="0.3">
      <c r="D100" t="s">
        <v>420</v>
      </c>
      <c r="G100" t="s">
        <v>420</v>
      </c>
      <c r="H100" t="s">
        <v>379</v>
      </c>
      <c r="J100" t="s">
        <v>260</v>
      </c>
      <c r="K100" t="s">
        <v>363</v>
      </c>
      <c r="L100" t="s">
        <v>260</v>
      </c>
      <c r="M100" t="s">
        <v>336</v>
      </c>
      <c r="N100" t="str">
        <f t="shared" si="10"/>
        <v>studio.5.off</v>
      </c>
      <c r="O100" t="s">
        <v>389</v>
      </c>
      <c r="P100" s="7" t="s">
        <v>393</v>
      </c>
      <c r="Q100" s="7"/>
      <c r="R100" s="7"/>
      <c r="S100" s="7"/>
    </row>
    <row r="101" spans="1:19" s="1" customFormat="1" x14ac:dyDescent="0.3">
      <c r="A101" s="1" t="s">
        <v>458</v>
      </c>
      <c r="G101" s="1" t="s">
        <v>456</v>
      </c>
      <c r="H101" s="1" t="s">
        <v>429</v>
      </c>
    </row>
    <row r="102" spans="1:19" x14ac:dyDescent="0.3">
      <c r="D102" t="s">
        <v>422</v>
      </c>
      <c r="G102" t="s">
        <v>422</v>
      </c>
      <c r="J102" s="7" t="s">
        <v>285</v>
      </c>
      <c r="K102" s="7" t="str">
        <f>J102</f>
        <v>Macros</v>
      </c>
    </row>
    <row r="103" spans="1:19" x14ac:dyDescent="0.3">
      <c r="D103" t="s">
        <v>420</v>
      </c>
      <c r="G103" t="s">
        <v>420</v>
      </c>
      <c r="H103" t="s">
        <v>47</v>
      </c>
      <c r="J103" s="7" t="s">
        <v>286</v>
      </c>
      <c r="K103" s="7" t="s">
        <v>286</v>
      </c>
      <c r="L103" t="s">
        <v>288</v>
      </c>
      <c r="M103" t="s">
        <v>336</v>
      </c>
      <c r="N103" t="str">
        <f>H103</f>
        <v>tvon</v>
      </c>
      <c r="R103" t="s">
        <v>479</v>
      </c>
    </row>
    <row r="104" spans="1:19" x14ac:dyDescent="0.3">
      <c r="D104" t="s">
        <v>420</v>
      </c>
      <c r="G104" t="s">
        <v>420</v>
      </c>
      <c r="H104" t="s">
        <v>48</v>
      </c>
      <c r="J104" s="7" t="s">
        <v>287</v>
      </c>
      <c r="K104" s="7" t="s">
        <v>287</v>
      </c>
      <c r="L104" t="s">
        <v>289</v>
      </c>
      <c r="M104" t="s">
        <v>336</v>
      </c>
      <c r="N104" t="str">
        <f>H104</f>
        <v>tvoff</v>
      </c>
      <c r="P104" s="7" t="s">
        <v>393</v>
      </c>
      <c r="Q104" s="7"/>
      <c r="R104" s="7" t="s">
        <v>480</v>
      </c>
      <c r="S104" s="7"/>
    </row>
    <row r="105" spans="1:19" x14ac:dyDescent="0.3">
      <c r="D105" t="s">
        <v>422</v>
      </c>
      <c r="G105" t="s">
        <v>422</v>
      </c>
      <c r="J105" s="7" t="s">
        <v>273</v>
      </c>
      <c r="K105" s="7" t="str">
        <f t="shared" ref="K105:K118" si="11">J105</f>
        <v>TV</v>
      </c>
    </row>
    <row r="106" spans="1:19" x14ac:dyDescent="0.3">
      <c r="D106" t="s">
        <v>420</v>
      </c>
      <c r="G106" t="s">
        <v>420</v>
      </c>
      <c r="H106" t="s">
        <v>485</v>
      </c>
      <c r="J106" t="s">
        <v>281</v>
      </c>
      <c r="K106" t="s">
        <v>281</v>
      </c>
      <c r="M106" t="s">
        <v>336</v>
      </c>
      <c r="N106" t="str">
        <f t="shared" ref="N106:N111" si="12">H106</f>
        <v>tvlg.on</v>
      </c>
      <c r="R106" t="s">
        <v>479</v>
      </c>
    </row>
    <row r="107" spans="1:19" x14ac:dyDescent="0.3">
      <c r="D107" t="s">
        <v>420</v>
      </c>
      <c r="G107" t="s">
        <v>420</v>
      </c>
      <c r="H107" t="s">
        <v>486</v>
      </c>
      <c r="J107" t="s">
        <v>282</v>
      </c>
      <c r="K107" t="s">
        <v>282</v>
      </c>
      <c r="M107" t="s">
        <v>336</v>
      </c>
      <c r="N107" t="str">
        <f t="shared" si="12"/>
        <v>tvlg.off</v>
      </c>
      <c r="P107" s="7" t="s">
        <v>393</v>
      </c>
      <c r="R107" s="7" t="s">
        <v>480</v>
      </c>
    </row>
    <row r="108" spans="1:19" x14ac:dyDescent="0.3">
      <c r="D108" t="s">
        <v>420</v>
      </c>
      <c r="G108" t="s">
        <v>420</v>
      </c>
      <c r="H108" t="s">
        <v>488</v>
      </c>
      <c r="J108" t="s">
        <v>364</v>
      </c>
      <c r="K108" t="s">
        <v>364</v>
      </c>
      <c r="M108" t="s">
        <v>336</v>
      </c>
      <c r="N108" t="str">
        <f t="shared" si="12"/>
        <v>tvlg.hdmi1</v>
      </c>
    </row>
    <row r="109" spans="1:19" x14ac:dyDescent="0.3">
      <c r="D109" t="s">
        <v>420</v>
      </c>
      <c r="G109" t="s">
        <v>420</v>
      </c>
      <c r="H109" t="s">
        <v>489</v>
      </c>
      <c r="J109" t="s">
        <v>365</v>
      </c>
      <c r="K109" t="s">
        <v>365</v>
      </c>
      <c r="M109" t="s">
        <v>336</v>
      </c>
      <c r="N109" t="str">
        <f t="shared" si="12"/>
        <v>tvlg.hdmi2</v>
      </c>
    </row>
    <row r="110" spans="1:19" x14ac:dyDescent="0.3">
      <c r="D110" t="s">
        <v>420</v>
      </c>
      <c r="G110" t="s">
        <v>420</v>
      </c>
      <c r="H110" t="s">
        <v>490</v>
      </c>
      <c r="J110" t="s">
        <v>366</v>
      </c>
      <c r="K110" t="s">
        <v>366</v>
      </c>
      <c r="M110" t="s">
        <v>336</v>
      </c>
      <c r="N110" t="str">
        <f t="shared" si="12"/>
        <v>tvlg.hdmi3</v>
      </c>
      <c r="P110" s="7" t="s">
        <v>393</v>
      </c>
      <c r="Q110" s="7"/>
      <c r="R110" s="7"/>
      <c r="S110" s="7"/>
    </row>
    <row r="111" spans="1:19" x14ac:dyDescent="0.3">
      <c r="D111" t="s">
        <v>420</v>
      </c>
      <c r="G111" t="s">
        <v>420</v>
      </c>
      <c r="H111" t="s">
        <v>487</v>
      </c>
      <c r="J111" t="s">
        <v>284</v>
      </c>
      <c r="K111" t="s">
        <v>284</v>
      </c>
      <c r="M111" t="s">
        <v>336</v>
      </c>
      <c r="N111" t="str">
        <f t="shared" si="12"/>
        <v>tvlg.vol0</v>
      </c>
      <c r="P111" s="7" t="s">
        <v>393</v>
      </c>
      <c r="Q111" s="7"/>
      <c r="R111" s="7"/>
      <c r="S111" s="7"/>
    </row>
    <row r="112" spans="1:19" x14ac:dyDescent="0.3">
      <c r="D112" t="s">
        <v>422</v>
      </c>
      <c r="G112" t="s">
        <v>422</v>
      </c>
      <c r="J112" s="7" t="s">
        <v>431</v>
      </c>
      <c r="K112" s="7" t="str">
        <f t="shared" si="11"/>
        <v>Entrées HDMI</v>
      </c>
    </row>
    <row r="113" spans="1:19" x14ac:dyDescent="0.3">
      <c r="D113" t="s">
        <v>420</v>
      </c>
      <c r="G113" t="s">
        <v>420</v>
      </c>
      <c r="H113" t="s">
        <v>77</v>
      </c>
      <c r="J113" t="s">
        <v>364</v>
      </c>
      <c r="K113">
        <v>1</v>
      </c>
      <c r="M113" t="s">
        <v>336</v>
      </c>
      <c r="N113" t="str">
        <f>H113</f>
        <v>hdmi.1</v>
      </c>
    </row>
    <row r="114" spans="1:19" x14ac:dyDescent="0.3">
      <c r="D114" t="s">
        <v>420</v>
      </c>
      <c r="G114" t="s">
        <v>420</v>
      </c>
      <c r="H114" t="s">
        <v>78</v>
      </c>
      <c r="J114" t="s">
        <v>365</v>
      </c>
      <c r="K114">
        <v>2</v>
      </c>
      <c r="M114" t="s">
        <v>336</v>
      </c>
      <c r="N114" t="str">
        <f>H114</f>
        <v>hdmi.2</v>
      </c>
    </row>
    <row r="115" spans="1:19" x14ac:dyDescent="0.3">
      <c r="D115" t="s">
        <v>420</v>
      </c>
      <c r="G115" t="s">
        <v>420</v>
      </c>
      <c r="H115" t="s">
        <v>79</v>
      </c>
      <c r="J115" t="s">
        <v>366</v>
      </c>
      <c r="K115">
        <v>3</v>
      </c>
      <c r="M115" t="s">
        <v>336</v>
      </c>
      <c r="N115" t="str">
        <f>H115</f>
        <v>hdmi.3</v>
      </c>
    </row>
    <row r="116" spans="1:19" x14ac:dyDescent="0.3">
      <c r="D116" t="s">
        <v>420</v>
      </c>
      <c r="G116" t="s">
        <v>420</v>
      </c>
      <c r="H116" t="s">
        <v>80</v>
      </c>
      <c r="J116" t="s">
        <v>367</v>
      </c>
      <c r="K116">
        <v>4</v>
      </c>
      <c r="M116" t="s">
        <v>336</v>
      </c>
      <c r="N116" t="str">
        <f>H116</f>
        <v>hdmi.4</v>
      </c>
    </row>
    <row r="117" spans="1:19" x14ac:dyDescent="0.3">
      <c r="D117" t="s">
        <v>420</v>
      </c>
      <c r="G117" t="s">
        <v>420</v>
      </c>
      <c r="H117" t="s">
        <v>81</v>
      </c>
      <c r="J117" t="s">
        <v>368</v>
      </c>
      <c r="K117">
        <v>5</v>
      </c>
      <c r="M117" t="s">
        <v>336</v>
      </c>
      <c r="N117" t="str">
        <f>H117</f>
        <v>hdmi.5</v>
      </c>
      <c r="P117" s="7" t="s">
        <v>393</v>
      </c>
      <c r="Q117" s="7"/>
      <c r="R117" s="7"/>
      <c r="S117" s="7"/>
    </row>
    <row r="118" spans="1:19" x14ac:dyDescent="0.3">
      <c r="D118" t="s">
        <v>422</v>
      </c>
      <c r="G118" t="s">
        <v>422</v>
      </c>
      <c r="J118" s="7" t="s">
        <v>428</v>
      </c>
      <c r="K118" s="7" t="str">
        <f t="shared" si="11"/>
        <v>Ampli</v>
      </c>
    </row>
    <row r="119" spans="1:19" x14ac:dyDescent="0.3">
      <c r="D119" t="s">
        <v>420</v>
      </c>
      <c r="G119" t="s">
        <v>420</v>
      </c>
      <c r="H119" t="s">
        <v>50</v>
      </c>
      <c r="J119" t="s">
        <v>302</v>
      </c>
      <c r="K119" t="s">
        <v>302</v>
      </c>
      <c r="M119" t="s">
        <v>336</v>
      </c>
      <c r="N119" t="str">
        <f>H119</f>
        <v>ampli.on</v>
      </c>
      <c r="R119" t="s">
        <v>479</v>
      </c>
    </row>
    <row r="120" spans="1:19" x14ac:dyDescent="0.3">
      <c r="D120" t="s">
        <v>420</v>
      </c>
      <c r="G120" t="s">
        <v>420</v>
      </c>
      <c r="H120" t="s">
        <v>49</v>
      </c>
      <c r="J120" t="s">
        <v>303</v>
      </c>
      <c r="K120" t="s">
        <v>303</v>
      </c>
      <c r="M120" t="s">
        <v>336</v>
      </c>
      <c r="N120" t="str">
        <f>H120</f>
        <v>ampli.off</v>
      </c>
      <c r="P120" s="7" t="s">
        <v>393</v>
      </c>
      <c r="Q120" s="7"/>
      <c r="R120" s="7" t="s">
        <v>480</v>
      </c>
      <c r="S120" s="7"/>
    </row>
    <row r="121" spans="1:19" x14ac:dyDescent="0.3">
      <c r="D121" t="s">
        <v>420</v>
      </c>
      <c r="G121" t="s">
        <v>420</v>
      </c>
      <c r="H121" t="s">
        <v>45</v>
      </c>
      <c r="J121" t="s">
        <v>305</v>
      </c>
      <c r="K121" t="s">
        <v>305</v>
      </c>
      <c r="M121" t="s">
        <v>336</v>
      </c>
      <c r="N121" t="str">
        <f>H121</f>
        <v>ampli.volm</v>
      </c>
    </row>
    <row r="122" spans="1:19" x14ac:dyDescent="0.3">
      <c r="D122" t="s">
        <v>420</v>
      </c>
      <c r="G122" t="s">
        <v>420</v>
      </c>
      <c r="H122" t="s">
        <v>44</v>
      </c>
      <c r="J122" t="s">
        <v>304</v>
      </c>
      <c r="K122" t="s">
        <v>304</v>
      </c>
      <c r="M122" t="s">
        <v>336</v>
      </c>
      <c r="N122" t="str">
        <f>H122</f>
        <v>ampli.volp</v>
      </c>
    </row>
    <row r="123" spans="1:19" x14ac:dyDescent="0.3">
      <c r="D123" t="s">
        <v>420</v>
      </c>
      <c r="G123" t="s">
        <v>420</v>
      </c>
      <c r="H123" t="s">
        <v>46</v>
      </c>
      <c r="J123" t="s">
        <v>283</v>
      </c>
      <c r="K123" t="s">
        <v>283</v>
      </c>
      <c r="M123" t="s">
        <v>336</v>
      </c>
      <c r="N123" t="str">
        <f>H123</f>
        <v>ampli.mute</v>
      </c>
      <c r="P123" s="7" t="s">
        <v>393</v>
      </c>
      <c r="Q123" s="7"/>
      <c r="R123" s="7"/>
      <c r="S123" s="7"/>
    </row>
    <row r="124" spans="1:19" s="1" customFormat="1" x14ac:dyDescent="0.3">
      <c r="A124" s="1" t="s">
        <v>458</v>
      </c>
      <c r="G124" s="1" t="s">
        <v>456</v>
      </c>
      <c r="H124" s="1" t="s">
        <v>432</v>
      </c>
    </row>
    <row r="125" spans="1:19" x14ac:dyDescent="0.3">
      <c r="D125" t="s">
        <v>422</v>
      </c>
      <c r="G125" t="s">
        <v>422</v>
      </c>
      <c r="J125" s="7" t="s">
        <v>285</v>
      </c>
      <c r="K125" s="7" t="str">
        <f>J125</f>
        <v>Macros</v>
      </c>
    </row>
    <row r="126" spans="1:19" x14ac:dyDescent="0.3">
      <c r="D126" t="s">
        <v>420</v>
      </c>
      <c r="G126" t="s">
        <v>420</v>
      </c>
      <c r="H126" t="s">
        <v>290</v>
      </c>
      <c r="J126" s="7" t="s">
        <v>292</v>
      </c>
      <c r="K126" s="7" t="s">
        <v>292</v>
      </c>
      <c r="L126" t="s">
        <v>294</v>
      </c>
      <c r="M126" t="s">
        <v>336</v>
      </c>
      <c r="N126" t="str">
        <f>H126</f>
        <v>vpon</v>
      </c>
      <c r="R126" t="s">
        <v>479</v>
      </c>
    </row>
    <row r="127" spans="1:19" x14ac:dyDescent="0.3">
      <c r="D127" t="s">
        <v>420</v>
      </c>
      <c r="G127" t="s">
        <v>420</v>
      </c>
      <c r="H127" t="s">
        <v>291</v>
      </c>
      <c r="J127" s="7" t="s">
        <v>293</v>
      </c>
      <c r="K127" s="7" t="s">
        <v>293</v>
      </c>
      <c r="L127" t="s">
        <v>295</v>
      </c>
      <c r="M127" t="s">
        <v>336</v>
      </c>
      <c r="N127" t="str">
        <f>H127</f>
        <v>vpoff</v>
      </c>
      <c r="P127" s="7" t="s">
        <v>393</v>
      </c>
      <c r="Q127" s="7"/>
      <c r="R127" s="7" t="s">
        <v>480</v>
      </c>
      <c r="S127" s="7"/>
    </row>
    <row r="128" spans="1:19" x14ac:dyDescent="0.3">
      <c r="D128" t="s">
        <v>422</v>
      </c>
      <c r="G128" t="s">
        <v>422</v>
      </c>
      <c r="J128" s="7" t="s">
        <v>430</v>
      </c>
      <c r="K128" s="7" t="str">
        <f>J128</f>
        <v>Vidéo projecteur</v>
      </c>
    </row>
    <row r="129" spans="1:19" x14ac:dyDescent="0.3">
      <c r="D129" t="s">
        <v>420</v>
      </c>
      <c r="G129" t="s">
        <v>420</v>
      </c>
      <c r="H129" t="s">
        <v>310</v>
      </c>
      <c r="J129" t="s">
        <v>296</v>
      </c>
      <c r="K129" t="s">
        <v>296</v>
      </c>
      <c r="M129" t="s">
        <v>336</v>
      </c>
      <c r="N129" t="str">
        <f>H129</f>
        <v>vpsalon.on</v>
      </c>
    </row>
    <row r="130" spans="1:19" x14ac:dyDescent="0.3">
      <c r="D130" t="s">
        <v>420</v>
      </c>
      <c r="G130" t="s">
        <v>420</v>
      </c>
      <c r="H130" t="s">
        <v>311</v>
      </c>
      <c r="J130" t="s">
        <v>297</v>
      </c>
      <c r="K130" t="s">
        <v>297</v>
      </c>
      <c r="M130" t="s">
        <v>336</v>
      </c>
      <c r="N130" t="str">
        <f>H130</f>
        <v>vpsalon.off</v>
      </c>
      <c r="P130" s="7" t="s">
        <v>393</v>
      </c>
      <c r="Q130" s="7"/>
      <c r="R130" s="7"/>
      <c r="S130" s="7"/>
    </row>
    <row r="131" spans="1:19" x14ac:dyDescent="0.3">
      <c r="D131" t="s">
        <v>422</v>
      </c>
      <c r="G131" t="s">
        <v>422</v>
      </c>
      <c r="J131" s="7" t="s">
        <v>433</v>
      </c>
      <c r="K131" s="7" t="str">
        <f>J131</f>
        <v>Ecran</v>
      </c>
    </row>
    <row r="132" spans="1:19" x14ac:dyDescent="0.3">
      <c r="D132" t="s">
        <v>420</v>
      </c>
      <c r="G132" t="s">
        <v>420</v>
      </c>
      <c r="H132" t="s">
        <v>298</v>
      </c>
      <c r="J132" t="s">
        <v>301</v>
      </c>
      <c r="K132" t="s">
        <v>301</v>
      </c>
      <c r="M132" t="s">
        <v>336</v>
      </c>
      <c r="N132" t="str">
        <f>H132</f>
        <v>ecran.bas</v>
      </c>
      <c r="Q132" s="7"/>
      <c r="R132" s="7"/>
      <c r="S132" s="7"/>
    </row>
    <row r="133" spans="1:19" x14ac:dyDescent="0.3">
      <c r="D133" t="s">
        <v>420</v>
      </c>
      <c r="G133" t="s">
        <v>420</v>
      </c>
      <c r="H133" t="s">
        <v>299</v>
      </c>
      <c r="J133" t="s">
        <v>300</v>
      </c>
      <c r="K133" t="s">
        <v>300</v>
      </c>
      <c r="M133" t="s">
        <v>336</v>
      </c>
      <c r="N133" t="str">
        <f>H133</f>
        <v>ecran.haut</v>
      </c>
      <c r="P133" s="7" t="s">
        <v>393</v>
      </c>
    </row>
    <row r="134" spans="1:19" s="1" customFormat="1" x14ac:dyDescent="0.3">
      <c r="A134" s="1" t="s">
        <v>458</v>
      </c>
      <c r="G134" s="1" t="s">
        <v>456</v>
      </c>
      <c r="H134" s="1" t="s">
        <v>434</v>
      </c>
    </row>
    <row r="135" spans="1:19" x14ac:dyDescent="0.3">
      <c r="D135" t="s">
        <v>422</v>
      </c>
      <c r="G135" t="s">
        <v>422</v>
      </c>
      <c r="J135" s="7" t="s">
        <v>428</v>
      </c>
      <c r="K135" s="7" t="str">
        <f>J135</f>
        <v>Ampli</v>
      </c>
    </row>
    <row r="136" spans="1:19" x14ac:dyDescent="0.3">
      <c r="D136" t="s">
        <v>422</v>
      </c>
      <c r="G136" t="s">
        <v>422</v>
      </c>
      <c r="J136" s="7" t="s">
        <v>273</v>
      </c>
      <c r="K136" s="7" t="str">
        <f t="shared" ref="K136:K140" si="13">J136</f>
        <v>TV</v>
      </c>
    </row>
    <row r="137" spans="1:19" x14ac:dyDescent="0.3">
      <c r="D137" t="s">
        <v>422</v>
      </c>
      <c r="G137" t="s">
        <v>422</v>
      </c>
      <c r="J137" s="7" t="s">
        <v>435</v>
      </c>
      <c r="K137" s="7" t="str">
        <f t="shared" si="13"/>
        <v>TV WebOS</v>
      </c>
    </row>
    <row r="138" spans="1:19" x14ac:dyDescent="0.3">
      <c r="D138" t="s">
        <v>422</v>
      </c>
      <c r="G138" t="s">
        <v>422</v>
      </c>
      <c r="J138" s="7" t="s">
        <v>436</v>
      </c>
      <c r="K138" s="7" t="str">
        <f t="shared" si="13"/>
        <v>HDMI Nec</v>
      </c>
    </row>
    <row r="139" spans="1:19" x14ac:dyDescent="0.3">
      <c r="D139" t="s">
        <v>422</v>
      </c>
      <c r="G139" t="s">
        <v>422</v>
      </c>
      <c r="J139" s="7" t="s">
        <v>413</v>
      </c>
      <c r="K139" s="7" t="str">
        <f t="shared" si="13"/>
        <v>VP</v>
      </c>
    </row>
    <row r="140" spans="1:19" x14ac:dyDescent="0.3">
      <c r="D140" t="s">
        <v>422</v>
      </c>
      <c r="G140" t="s">
        <v>422</v>
      </c>
      <c r="J140" s="7" t="s">
        <v>437</v>
      </c>
      <c r="K140" s="7" t="str">
        <f t="shared" si="13"/>
        <v>EspIR01</v>
      </c>
    </row>
    <row r="141" spans="1:19" x14ac:dyDescent="0.3">
      <c r="J141" s="7"/>
      <c r="K141" s="7"/>
    </row>
    <row r="142" spans="1:19" x14ac:dyDescent="0.3">
      <c r="J142" s="7"/>
      <c r="K142" s="7"/>
    </row>
    <row r="143" spans="1:19" x14ac:dyDescent="0.3">
      <c r="J143" s="7"/>
      <c r="K143" s="7"/>
    </row>
    <row r="144" spans="1:19" x14ac:dyDescent="0.3">
      <c r="J144" s="7"/>
      <c r="K144" s="7"/>
    </row>
    <row r="145" spans="3:19" x14ac:dyDescent="0.3">
      <c r="P145" s="7"/>
      <c r="Q145" s="7"/>
      <c r="R145" s="7"/>
      <c r="S145" s="7"/>
    </row>
    <row r="146" spans="3:19" x14ac:dyDescent="0.3">
      <c r="P146" s="7"/>
      <c r="Q146" s="7"/>
      <c r="R146" s="7"/>
      <c r="S146" s="7"/>
    </row>
    <row r="147" spans="3:19" s="11" customFormat="1" x14ac:dyDescent="0.3"/>
    <row r="148" spans="3:19" s="1" customFormat="1" x14ac:dyDescent="0.3">
      <c r="C148" s="1" t="s">
        <v>407</v>
      </c>
      <c r="G148" s="1" t="s">
        <v>405</v>
      </c>
      <c r="H148" s="1" t="str">
        <f>"tab"&amp;C148</f>
        <v>tabDevices</v>
      </c>
    </row>
    <row r="149" spans="3:19" s="10" customFormat="1" x14ac:dyDescent="0.3">
      <c r="D149" s="10" t="s">
        <v>285</v>
      </c>
      <c r="H149" s="10" t="str">
        <f>"dev"&amp;D149</f>
        <v>devMacros</v>
      </c>
      <c r="J149" s="10" t="s">
        <v>285</v>
      </c>
      <c r="K149" s="10" t="s">
        <v>285</v>
      </c>
      <c r="Q149" s="10" t="s">
        <v>396</v>
      </c>
    </row>
    <row r="150" spans="3:19" x14ac:dyDescent="0.3">
      <c r="H150" t="s">
        <v>47</v>
      </c>
      <c r="J150" s="7" t="s">
        <v>286</v>
      </c>
      <c r="K150" s="7" t="s">
        <v>286</v>
      </c>
      <c r="L150" t="s">
        <v>288</v>
      </c>
      <c r="M150" t="s">
        <v>336</v>
      </c>
      <c r="N150" t="str">
        <f>H150</f>
        <v>tvon</v>
      </c>
      <c r="O150" t="s">
        <v>47</v>
      </c>
    </row>
    <row r="151" spans="3:19" x14ac:dyDescent="0.3">
      <c r="H151" t="s">
        <v>48</v>
      </c>
      <c r="J151" s="7" t="s">
        <v>287</v>
      </c>
      <c r="K151" s="7" t="s">
        <v>287</v>
      </c>
      <c r="L151" t="s">
        <v>289</v>
      </c>
      <c r="M151" t="s">
        <v>336</v>
      </c>
      <c r="N151" t="str">
        <f>H151</f>
        <v>tvoff</v>
      </c>
      <c r="O151" t="s">
        <v>47</v>
      </c>
      <c r="P151" s="7" t="s">
        <v>393</v>
      </c>
      <c r="Q151" s="7"/>
      <c r="R151" s="7"/>
      <c r="S151" s="7"/>
    </row>
    <row r="152" spans="3:19" x14ac:dyDescent="0.3">
      <c r="H152" t="s">
        <v>290</v>
      </c>
      <c r="J152" s="7" t="s">
        <v>292</v>
      </c>
      <c r="K152" s="7" t="s">
        <v>292</v>
      </c>
      <c r="L152" t="s">
        <v>294</v>
      </c>
      <c r="M152" t="s">
        <v>336</v>
      </c>
      <c r="N152" t="str">
        <f>H152</f>
        <v>vpon</v>
      </c>
      <c r="O152" t="s">
        <v>290</v>
      </c>
    </row>
    <row r="153" spans="3:19" x14ac:dyDescent="0.3">
      <c r="H153" t="s">
        <v>291</v>
      </c>
      <c r="J153" s="7" t="s">
        <v>293</v>
      </c>
      <c r="K153" s="7" t="s">
        <v>293</v>
      </c>
      <c r="L153" t="s">
        <v>295</v>
      </c>
      <c r="M153" t="s">
        <v>336</v>
      </c>
      <c r="N153" t="str">
        <f>H153</f>
        <v>vpoff</v>
      </c>
      <c r="O153" t="s">
        <v>290</v>
      </c>
      <c r="P153" s="7" t="s">
        <v>393</v>
      </c>
      <c r="Q153" s="7"/>
      <c r="R153" s="7"/>
      <c r="S153" s="7"/>
    </row>
    <row r="154" spans="3:19" s="10" customFormat="1" x14ac:dyDescent="0.3">
      <c r="D154" s="10" t="s">
        <v>232</v>
      </c>
      <c r="H154" s="10" t="str">
        <f>"dev"&amp;D154</f>
        <v>devSalon</v>
      </c>
      <c r="J154" s="10" t="s">
        <v>232</v>
      </c>
      <c r="K154" s="10" t="s">
        <v>232</v>
      </c>
      <c r="L154" s="10" t="s">
        <v>234</v>
      </c>
      <c r="Q154" s="10" t="s">
        <v>395</v>
      </c>
    </row>
    <row r="155" spans="3:19" x14ac:dyDescent="0.3">
      <c r="H155" t="s">
        <v>52</v>
      </c>
      <c r="J155" t="s">
        <v>236</v>
      </c>
      <c r="K155" t="s">
        <v>325</v>
      </c>
      <c r="L155" t="s">
        <v>236</v>
      </c>
      <c r="M155" t="s">
        <v>336</v>
      </c>
      <c r="N155" t="str">
        <f t="shared" ref="N155:N166" si="14">H155</f>
        <v>salon.on</v>
      </c>
    </row>
    <row r="156" spans="3:19" x14ac:dyDescent="0.3">
      <c r="H156" t="s">
        <v>51</v>
      </c>
      <c r="J156" t="s">
        <v>235</v>
      </c>
      <c r="K156" t="s">
        <v>326</v>
      </c>
      <c r="L156" t="s">
        <v>235</v>
      </c>
      <c r="M156" t="s">
        <v>336</v>
      </c>
      <c r="N156" t="str">
        <f t="shared" si="14"/>
        <v>salon.off</v>
      </c>
      <c r="P156" s="7" t="s">
        <v>393</v>
      </c>
      <c r="Q156" s="7"/>
      <c r="R156" s="7"/>
      <c r="S156" s="7"/>
    </row>
    <row r="157" spans="3:19" x14ac:dyDescent="0.3">
      <c r="H157" t="s">
        <v>4</v>
      </c>
      <c r="J157" t="s">
        <v>237</v>
      </c>
      <c r="K157" t="s">
        <v>354</v>
      </c>
      <c r="L157" t="s">
        <v>237</v>
      </c>
      <c r="M157" t="s">
        <v>336</v>
      </c>
      <c r="N157" t="str">
        <f t="shared" si="14"/>
        <v>salon.1.on</v>
      </c>
      <c r="O157" t="s">
        <v>380</v>
      </c>
    </row>
    <row r="158" spans="3:19" x14ac:dyDescent="0.3">
      <c r="H158" t="s">
        <v>9</v>
      </c>
      <c r="J158" t="s">
        <v>246</v>
      </c>
      <c r="K158" t="s">
        <v>355</v>
      </c>
      <c r="L158" t="s">
        <v>246</v>
      </c>
      <c r="M158" t="s">
        <v>336</v>
      </c>
      <c r="N158" t="str">
        <f t="shared" si="14"/>
        <v>salon.1.off</v>
      </c>
      <c r="O158" t="s">
        <v>380</v>
      </c>
      <c r="P158" s="7" t="s">
        <v>393</v>
      </c>
      <c r="Q158" s="7"/>
      <c r="R158" s="7"/>
      <c r="S158" s="7"/>
    </row>
    <row r="159" spans="3:19" x14ac:dyDescent="0.3">
      <c r="H159" t="s">
        <v>5</v>
      </c>
      <c r="J159" t="s">
        <v>238</v>
      </c>
      <c r="K159" t="s">
        <v>356</v>
      </c>
      <c r="L159" t="s">
        <v>238</v>
      </c>
      <c r="M159" t="s">
        <v>336</v>
      </c>
      <c r="N159" t="str">
        <f t="shared" si="14"/>
        <v>salon.2.on</v>
      </c>
      <c r="O159" t="s">
        <v>381</v>
      </c>
    </row>
    <row r="160" spans="3:19" x14ac:dyDescent="0.3">
      <c r="H160" t="s">
        <v>10</v>
      </c>
      <c r="J160" t="s">
        <v>239</v>
      </c>
      <c r="K160" t="s">
        <v>357</v>
      </c>
      <c r="L160" t="s">
        <v>239</v>
      </c>
      <c r="M160" t="s">
        <v>336</v>
      </c>
      <c r="N160" t="str">
        <f t="shared" si="14"/>
        <v>salon.2.off</v>
      </c>
      <c r="O160" t="s">
        <v>381</v>
      </c>
      <c r="P160" s="7" t="s">
        <v>393</v>
      </c>
      <c r="Q160" s="7"/>
      <c r="R160" s="7"/>
      <c r="S160" s="7"/>
    </row>
    <row r="161" spans="4:19" x14ac:dyDescent="0.3">
      <c r="H161" t="s">
        <v>6</v>
      </c>
      <c r="J161" t="s">
        <v>240</v>
      </c>
      <c r="K161" t="s">
        <v>358</v>
      </c>
      <c r="L161" t="s">
        <v>240</v>
      </c>
      <c r="M161" t="s">
        <v>336</v>
      </c>
      <c r="N161" t="str">
        <f t="shared" si="14"/>
        <v>salon.3.on</v>
      </c>
      <c r="O161" t="s">
        <v>382</v>
      </c>
    </row>
    <row r="162" spans="4:19" x14ac:dyDescent="0.3">
      <c r="H162" t="s">
        <v>11</v>
      </c>
      <c r="J162" t="s">
        <v>241</v>
      </c>
      <c r="K162" t="s">
        <v>359</v>
      </c>
      <c r="L162" t="s">
        <v>241</v>
      </c>
      <c r="M162" t="s">
        <v>336</v>
      </c>
      <c r="N162" t="str">
        <f t="shared" si="14"/>
        <v>salon.3.off</v>
      </c>
      <c r="O162" t="s">
        <v>382</v>
      </c>
      <c r="P162" s="7" t="s">
        <v>393</v>
      </c>
      <c r="Q162" s="7"/>
      <c r="R162" s="7"/>
      <c r="S162" s="7"/>
    </row>
    <row r="163" spans="4:19" x14ac:dyDescent="0.3">
      <c r="H163" t="s">
        <v>12</v>
      </c>
      <c r="J163" t="s">
        <v>242</v>
      </c>
      <c r="K163" t="s">
        <v>360</v>
      </c>
      <c r="L163" t="s">
        <v>242</v>
      </c>
      <c r="M163" t="s">
        <v>336</v>
      </c>
      <c r="N163" t="str">
        <f t="shared" si="14"/>
        <v>salon.4.on</v>
      </c>
      <c r="O163" t="s">
        <v>383</v>
      </c>
    </row>
    <row r="164" spans="4:19" x14ac:dyDescent="0.3">
      <c r="H164" t="s">
        <v>14</v>
      </c>
      <c r="J164" t="s">
        <v>243</v>
      </c>
      <c r="K164" t="s">
        <v>361</v>
      </c>
      <c r="L164" t="s">
        <v>243</v>
      </c>
      <c r="M164" t="s">
        <v>336</v>
      </c>
      <c r="N164" t="str">
        <f t="shared" si="14"/>
        <v>salon.4.off</v>
      </c>
      <c r="O164" t="s">
        <v>383</v>
      </c>
      <c r="P164" s="7" t="s">
        <v>393</v>
      </c>
      <c r="Q164" s="7"/>
      <c r="R164" s="7"/>
      <c r="S164" s="7"/>
    </row>
    <row r="165" spans="4:19" x14ac:dyDescent="0.3">
      <c r="H165" t="s">
        <v>13</v>
      </c>
      <c r="J165" t="s">
        <v>244</v>
      </c>
      <c r="K165" t="s">
        <v>362</v>
      </c>
      <c r="L165" t="s">
        <v>244</v>
      </c>
      <c r="M165" t="s">
        <v>336</v>
      </c>
      <c r="N165" t="str">
        <f t="shared" si="14"/>
        <v>salon.5.on</v>
      </c>
      <c r="O165" t="s">
        <v>384</v>
      </c>
    </row>
    <row r="166" spans="4:19" x14ac:dyDescent="0.3">
      <c r="H166" t="s">
        <v>15</v>
      </c>
      <c r="J166" t="s">
        <v>245</v>
      </c>
      <c r="K166" t="s">
        <v>363</v>
      </c>
      <c r="L166" t="s">
        <v>245</v>
      </c>
      <c r="M166" t="s">
        <v>336</v>
      </c>
      <c r="N166" t="str">
        <f t="shared" si="14"/>
        <v>salon.5.off</v>
      </c>
      <c r="O166" t="s">
        <v>384</v>
      </c>
      <c r="P166" s="7" t="s">
        <v>393</v>
      </c>
      <c r="Q166" s="7"/>
      <c r="R166" s="7"/>
      <c r="S166" s="7"/>
    </row>
    <row r="167" spans="4:19" s="10" customFormat="1" x14ac:dyDescent="0.3">
      <c r="D167" s="10" t="s">
        <v>247</v>
      </c>
      <c r="H167" s="10" t="str">
        <f>"dev"&amp;D167</f>
        <v>devStudio</v>
      </c>
      <c r="J167" s="10" t="s">
        <v>247</v>
      </c>
      <c r="K167" s="10" t="s">
        <v>247</v>
      </c>
      <c r="L167" s="10" t="s">
        <v>248</v>
      </c>
      <c r="Q167" s="10" t="s">
        <v>395</v>
      </c>
    </row>
    <row r="168" spans="4:19" x14ac:dyDescent="0.3">
      <c r="H168" t="s">
        <v>261</v>
      </c>
      <c r="J168" t="s">
        <v>249</v>
      </c>
      <c r="K168" t="s">
        <v>325</v>
      </c>
      <c r="L168" t="s">
        <v>249</v>
      </c>
      <c r="M168" t="s">
        <v>336</v>
      </c>
      <c r="N168" t="str">
        <f t="shared" ref="N168:N179" si="15">H168</f>
        <v>studio.on</v>
      </c>
    </row>
    <row r="169" spans="4:19" x14ac:dyDescent="0.3">
      <c r="H169" t="s">
        <v>262</v>
      </c>
      <c r="J169" t="s">
        <v>250</v>
      </c>
      <c r="K169" t="s">
        <v>326</v>
      </c>
      <c r="L169" t="s">
        <v>250</v>
      </c>
      <c r="M169" t="s">
        <v>336</v>
      </c>
      <c r="N169" t="str">
        <f t="shared" si="15"/>
        <v>studio.off</v>
      </c>
      <c r="P169" s="7" t="s">
        <v>393</v>
      </c>
      <c r="Q169" s="7"/>
      <c r="R169" s="7"/>
      <c r="S169" s="7"/>
    </row>
    <row r="170" spans="4:19" x14ac:dyDescent="0.3">
      <c r="H170" t="s">
        <v>370</v>
      </c>
      <c r="J170" t="s">
        <v>251</v>
      </c>
      <c r="K170" t="s">
        <v>354</v>
      </c>
      <c r="L170" t="s">
        <v>251</v>
      </c>
      <c r="M170" t="s">
        <v>336</v>
      </c>
      <c r="N170" t="str">
        <f t="shared" si="15"/>
        <v>studio.1.on</v>
      </c>
      <c r="O170" t="s">
        <v>385</v>
      </c>
    </row>
    <row r="171" spans="4:19" x14ac:dyDescent="0.3">
      <c r="H171" t="s">
        <v>371</v>
      </c>
      <c r="J171" t="s">
        <v>252</v>
      </c>
      <c r="K171" t="s">
        <v>355</v>
      </c>
      <c r="L171" t="s">
        <v>252</v>
      </c>
      <c r="M171" t="s">
        <v>336</v>
      </c>
      <c r="N171" t="str">
        <f t="shared" si="15"/>
        <v>studio.1.off</v>
      </c>
      <c r="O171" t="s">
        <v>385</v>
      </c>
      <c r="P171" s="7" t="s">
        <v>393</v>
      </c>
      <c r="Q171" s="7"/>
      <c r="R171" s="7"/>
      <c r="S171" s="7"/>
    </row>
    <row r="172" spans="4:19" x14ac:dyDescent="0.3">
      <c r="H172" t="s">
        <v>372</v>
      </c>
      <c r="J172" t="s">
        <v>253</v>
      </c>
      <c r="K172" t="s">
        <v>356</v>
      </c>
      <c r="L172" t="s">
        <v>253</v>
      </c>
      <c r="M172" t="s">
        <v>336</v>
      </c>
      <c r="N172" t="str">
        <f t="shared" si="15"/>
        <v>studio.2.on</v>
      </c>
      <c r="O172" t="s">
        <v>386</v>
      </c>
    </row>
    <row r="173" spans="4:19" x14ac:dyDescent="0.3">
      <c r="H173" t="s">
        <v>373</v>
      </c>
      <c r="J173" t="s">
        <v>254</v>
      </c>
      <c r="K173" t="s">
        <v>357</v>
      </c>
      <c r="L173" t="s">
        <v>254</v>
      </c>
      <c r="M173" t="s">
        <v>336</v>
      </c>
      <c r="N173" t="str">
        <f t="shared" si="15"/>
        <v>studio.2.off</v>
      </c>
      <c r="O173" t="s">
        <v>386</v>
      </c>
      <c r="P173" s="7" t="s">
        <v>393</v>
      </c>
      <c r="Q173" s="7"/>
      <c r="R173" s="7"/>
      <c r="S173" s="7"/>
    </row>
    <row r="174" spans="4:19" x14ac:dyDescent="0.3">
      <c r="H174" t="s">
        <v>374</v>
      </c>
      <c r="J174" t="s">
        <v>255</v>
      </c>
      <c r="K174" t="s">
        <v>358</v>
      </c>
      <c r="L174" t="s">
        <v>255</v>
      </c>
      <c r="M174" t="s">
        <v>336</v>
      </c>
      <c r="N174" t="str">
        <f t="shared" si="15"/>
        <v>studio.3.on</v>
      </c>
      <c r="O174" t="s">
        <v>387</v>
      </c>
    </row>
    <row r="175" spans="4:19" x14ac:dyDescent="0.3">
      <c r="H175" t="s">
        <v>375</v>
      </c>
      <c r="J175" t="s">
        <v>256</v>
      </c>
      <c r="K175" t="s">
        <v>359</v>
      </c>
      <c r="L175" t="s">
        <v>256</v>
      </c>
      <c r="M175" t="s">
        <v>336</v>
      </c>
      <c r="N175" t="str">
        <f t="shared" si="15"/>
        <v>studio.3.off</v>
      </c>
      <c r="O175" t="s">
        <v>387</v>
      </c>
      <c r="P175" s="7" t="s">
        <v>393</v>
      </c>
      <c r="Q175" s="7"/>
      <c r="R175" s="7"/>
      <c r="S175" s="7"/>
    </row>
    <row r="176" spans="4:19" x14ac:dyDescent="0.3">
      <c r="H176" t="s">
        <v>376</v>
      </c>
      <c r="J176" t="s">
        <v>257</v>
      </c>
      <c r="K176" t="s">
        <v>360</v>
      </c>
      <c r="L176" t="s">
        <v>257</v>
      </c>
      <c r="M176" t="s">
        <v>336</v>
      </c>
      <c r="N176" t="str">
        <f t="shared" si="15"/>
        <v>studio.4.on</v>
      </c>
      <c r="O176" t="s">
        <v>388</v>
      </c>
    </row>
    <row r="177" spans="4:19" x14ac:dyDescent="0.3">
      <c r="H177" t="s">
        <v>377</v>
      </c>
      <c r="J177" t="s">
        <v>258</v>
      </c>
      <c r="K177" t="s">
        <v>361</v>
      </c>
      <c r="L177" t="s">
        <v>258</v>
      </c>
      <c r="M177" t="s">
        <v>336</v>
      </c>
      <c r="N177" t="str">
        <f t="shared" si="15"/>
        <v>studio.4.off</v>
      </c>
      <c r="O177" t="s">
        <v>388</v>
      </c>
      <c r="P177" s="7" t="s">
        <v>393</v>
      </c>
      <c r="Q177" s="7"/>
      <c r="R177" s="7"/>
      <c r="S177" s="7"/>
    </row>
    <row r="178" spans="4:19" x14ac:dyDescent="0.3">
      <c r="H178" t="s">
        <v>378</v>
      </c>
      <c r="J178" t="s">
        <v>259</v>
      </c>
      <c r="K178" t="s">
        <v>362</v>
      </c>
      <c r="L178" t="s">
        <v>259</v>
      </c>
      <c r="M178" t="s">
        <v>336</v>
      </c>
      <c r="N178" t="str">
        <f t="shared" si="15"/>
        <v>studio.5.on</v>
      </c>
      <c r="O178" t="s">
        <v>389</v>
      </c>
    </row>
    <row r="179" spans="4:19" x14ac:dyDescent="0.3">
      <c r="H179" t="s">
        <v>379</v>
      </c>
      <c r="J179" t="s">
        <v>260</v>
      </c>
      <c r="K179" t="s">
        <v>363</v>
      </c>
      <c r="L179" t="s">
        <v>260</v>
      </c>
      <c r="M179" t="s">
        <v>336</v>
      </c>
      <c r="N179" t="str">
        <f t="shared" si="15"/>
        <v>studio.5.off</v>
      </c>
      <c r="O179" t="s">
        <v>389</v>
      </c>
      <c r="P179" s="7" t="s">
        <v>393</v>
      </c>
      <c r="Q179" s="7"/>
      <c r="R179" s="7"/>
      <c r="S179" s="7"/>
    </row>
    <row r="180" spans="4:19" s="10" customFormat="1" x14ac:dyDescent="0.3">
      <c r="D180" s="10" t="s">
        <v>263</v>
      </c>
      <c r="H180" s="10" t="str">
        <f>"dev"&amp;D180</f>
        <v>devMaison</v>
      </c>
      <c r="J180" s="10" t="s">
        <v>263</v>
      </c>
      <c r="K180" s="10" t="s">
        <v>263</v>
      </c>
      <c r="L180" s="10" t="s">
        <v>272</v>
      </c>
      <c r="Q180" s="10" t="s">
        <v>399</v>
      </c>
    </row>
    <row r="181" spans="4:19" x14ac:dyDescent="0.3">
      <c r="H181" t="s">
        <v>264</v>
      </c>
      <c r="J181" t="s">
        <v>266</v>
      </c>
      <c r="K181" t="s">
        <v>266</v>
      </c>
      <c r="L181" t="s">
        <v>266</v>
      </c>
      <c r="M181" t="s">
        <v>336</v>
      </c>
      <c r="N181" t="str">
        <f>H181</f>
        <v>jardin.on</v>
      </c>
      <c r="O181" t="s">
        <v>390</v>
      </c>
    </row>
    <row r="182" spans="4:19" x14ac:dyDescent="0.3">
      <c r="H182" t="s">
        <v>265</v>
      </c>
      <c r="J182" t="s">
        <v>267</v>
      </c>
      <c r="K182" t="s">
        <v>267</v>
      </c>
      <c r="L182" t="s">
        <v>267</v>
      </c>
      <c r="M182" t="s">
        <v>336</v>
      </c>
      <c r="N182" t="str">
        <f>H182</f>
        <v>jardin.off</v>
      </c>
      <c r="O182" t="s">
        <v>390</v>
      </c>
      <c r="P182" s="7" t="s">
        <v>393</v>
      </c>
      <c r="Q182" s="7"/>
      <c r="R182" s="7"/>
      <c r="S182" s="7"/>
    </row>
    <row r="183" spans="4:19" x14ac:dyDescent="0.3">
      <c r="H183" t="s">
        <v>270</v>
      </c>
      <c r="J183" t="s">
        <v>343</v>
      </c>
      <c r="K183" t="s">
        <v>343</v>
      </c>
      <c r="L183" t="s">
        <v>268</v>
      </c>
      <c r="M183" t="s">
        <v>336</v>
      </c>
      <c r="N183" t="str">
        <f>H183</f>
        <v>volets.on</v>
      </c>
      <c r="O183" t="s">
        <v>391</v>
      </c>
    </row>
    <row r="184" spans="4:19" x14ac:dyDescent="0.3">
      <c r="H184" t="s">
        <v>271</v>
      </c>
      <c r="J184" t="s">
        <v>344</v>
      </c>
      <c r="K184" t="s">
        <v>344</v>
      </c>
      <c r="L184" t="s">
        <v>269</v>
      </c>
      <c r="M184" t="s">
        <v>336</v>
      </c>
      <c r="N184" t="str">
        <f>H184</f>
        <v>volets.off</v>
      </c>
      <c r="O184" t="s">
        <v>391</v>
      </c>
      <c r="P184" s="7" t="s">
        <v>393</v>
      </c>
      <c r="Q184" s="7"/>
      <c r="R184" s="7"/>
      <c r="S184" s="7"/>
    </row>
    <row r="185" spans="4:19" s="10" customFormat="1" x14ac:dyDescent="0.3">
      <c r="D185" s="10" t="s">
        <v>273</v>
      </c>
      <c r="H185" s="10" t="str">
        <f>"dev"&amp;D185</f>
        <v>devTV</v>
      </c>
      <c r="J185" s="10" t="s">
        <v>307</v>
      </c>
      <c r="K185" s="10" t="s">
        <v>307</v>
      </c>
      <c r="L185" s="10" t="s">
        <v>307</v>
      </c>
      <c r="Q185" s="10" t="s">
        <v>397</v>
      </c>
    </row>
    <row r="186" spans="4:19" x14ac:dyDescent="0.3">
      <c r="H186" t="s">
        <v>274</v>
      </c>
      <c r="J186" t="s">
        <v>281</v>
      </c>
      <c r="K186" t="s">
        <v>281</v>
      </c>
      <c r="M186" t="s">
        <v>336</v>
      </c>
      <c r="N186" t="str">
        <f t="shared" ref="N186:N192" si="16">H186</f>
        <v>tv.on</v>
      </c>
    </row>
    <row r="187" spans="4:19" x14ac:dyDescent="0.3">
      <c r="H187" t="s">
        <v>275</v>
      </c>
      <c r="J187" t="s">
        <v>282</v>
      </c>
      <c r="K187" t="s">
        <v>282</v>
      </c>
      <c r="M187" t="s">
        <v>336</v>
      </c>
      <c r="N187" t="str">
        <f t="shared" si="16"/>
        <v>tv.off</v>
      </c>
    </row>
    <row r="188" spans="4:19" x14ac:dyDescent="0.3">
      <c r="H188" t="s">
        <v>276</v>
      </c>
      <c r="J188" t="s">
        <v>283</v>
      </c>
      <c r="K188" t="s">
        <v>283</v>
      </c>
      <c r="M188" t="s">
        <v>336</v>
      </c>
      <c r="N188" t="str">
        <f t="shared" si="16"/>
        <v>tv.mute</v>
      </c>
      <c r="P188" s="7" t="s">
        <v>393</v>
      </c>
      <c r="Q188" s="7"/>
      <c r="R188" s="7"/>
      <c r="S188" s="7"/>
    </row>
    <row r="189" spans="4:19" x14ac:dyDescent="0.3">
      <c r="H189" t="s">
        <v>277</v>
      </c>
      <c r="J189" t="s">
        <v>364</v>
      </c>
      <c r="K189" t="s">
        <v>364</v>
      </c>
      <c r="M189" t="s">
        <v>336</v>
      </c>
      <c r="N189" t="str">
        <f t="shared" si="16"/>
        <v>tv.entree.hdmi1</v>
      </c>
    </row>
    <row r="190" spans="4:19" x14ac:dyDescent="0.3">
      <c r="H190" t="s">
        <v>278</v>
      </c>
      <c r="J190" t="s">
        <v>365</v>
      </c>
      <c r="K190" t="s">
        <v>365</v>
      </c>
      <c r="M190" t="s">
        <v>336</v>
      </c>
      <c r="N190" t="str">
        <f t="shared" si="16"/>
        <v>tv.entree.hdmi2</v>
      </c>
    </row>
    <row r="191" spans="4:19" x14ac:dyDescent="0.3">
      <c r="H191" t="s">
        <v>279</v>
      </c>
      <c r="J191" t="s">
        <v>366</v>
      </c>
      <c r="K191" t="s">
        <v>366</v>
      </c>
      <c r="M191" t="s">
        <v>336</v>
      </c>
      <c r="N191" t="str">
        <f t="shared" si="16"/>
        <v>tv.entree.hdmi3</v>
      </c>
      <c r="P191" s="7" t="s">
        <v>393</v>
      </c>
      <c r="Q191" s="7"/>
      <c r="R191" s="7"/>
      <c r="S191" s="7"/>
    </row>
    <row r="192" spans="4:19" x14ac:dyDescent="0.3">
      <c r="H192" t="s">
        <v>280</v>
      </c>
      <c r="J192" t="s">
        <v>284</v>
      </c>
      <c r="K192" t="s">
        <v>284</v>
      </c>
      <c r="M192" t="s">
        <v>336</v>
      </c>
      <c r="N192" t="str">
        <f t="shared" si="16"/>
        <v>tv.vol0</v>
      </c>
      <c r="P192" s="7" t="s">
        <v>393</v>
      </c>
      <c r="Q192" s="7"/>
      <c r="R192" s="7"/>
      <c r="S192" s="7"/>
    </row>
    <row r="193" spans="4:19" s="10" customFormat="1" x14ac:dyDescent="0.3">
      <c r="D193" s="10" t="s">
        <v>346</v>
      </c>
      <c r="H193" s="10" t="str">
        <f>"dev"&amp;D193</f>
        <v>devVPSalon</v>
      </c>
      <c r="J193" s="10" t="s">
        <v>308</v>
      </c>
      <c r="K193" s="10" t="s">
        <v>308</v>
      </c>
      <c r="L193" s="10" t="s">
        <v>308</v>
      </c>
      <c r="Q193" s="10" t="s">
        <v>397</v>
      </c>
    </row>
    <row r="194" spans="4:19" x14ac:dyDescent="0.3">
      <c r="H194" t="s">
        <v>310</v>
      </c>
      <c r="J194" t="s">
        <v>296</v>
      </c>
      <c r="K194" t="s">
        <v>296</v>
      </c>
      <c r="M194" t="s">
        <v>336</v>
      </c>
      <c r="N194" t="str">
        <f>H194</f>
        <v>vpsalon.on</v>
      </c>
    </row>
    <row r="195" spans="4:19" x14ac:dyDescent="0.3">
      <c r="H195" t="s">
        <v>311</v>
      </c>
      <c r="J195" t="s">
        <v>297</v>
      </c>
      <c r="K195" t="s">
        <v>297</v>
      </c>
      <c r="M195" t="s">
        <v>336</v>
      </c>
      <c r="N195" t="str">
        <f>H195</f>
        <v>vpsalon.off</v>
      </c>
      <c r="P195" s="7" t="s">
        <v>393</v>
      </c>
      <c r="Q195" s="7"/>
      <c r="R195" s="7"/>
      <c r="S195" s="7"/>
    </row>
    <row r="196" spans="4:19" x14ac:dyDescent="0.3">
      <c r="H196" t="s">
        <v>299</v>
      </c>
      <c r="J196" t="s">
        <v>300</v>
      </c>
      <c r="K196" t="s">
        <v>300</v>
      </c>
      <c r="M196" t="s">
        <v>336</v>
      </c>
      <c r="N196" t="str">
        <f>H196</f>
        <v>ecran.haut</v>
      </c>
    </row>
    <row r="197" spans="4:19" x14ac:dyDescent="0.3">
      <c r="H197" t="s">
        <v>298</v>
      </c>
      <c r="J197" t="s">
        <v>301</v>
      </c>
      <c r="K197" t="s">
        <v>301</v>
      </c>
      <c r="M197" t="s">
        <v>336</v>
      </c>
      <c r="N197" t="str">
        <f>H197</f>
        <v>ecran.bas</v>
      </c>
      <c r="P197" s="7" t="s">
        <v>393</v>
      </c>
      <c r="Q197" s="7"/>
      <c r="R197" s="7"/>
      <c r="S197" s="7"/>
    </row>
    <row r="198" spans="4:19" s="10" customFormat="1" x14ac:dyDescent="0.3">
      <c r="D198" s="10" t="s">
        <v>347</v>
      </c>
      <c r="H198" s="10" t="str">
        <f>"dev"&amp;D198</f>
        <v>devVPStudio</v>
      </c>
      <c r="J198" s="10" t="s">
        <v>312</v>
      </c>
      <c r="K198" s="10" t="s">
        <v>312</v>
      </c>
      <c r="L198" s="10" t="s">
        <v>312</v>
      </c>
      <c r="Q198" s="10" t="s">
        <v>397</v>
      </c>
    </row>
    <row r="199" spans="4:19" x14ac:dyDescent="0.3">
      <c r="H199" t="s">
        <v>227</v>
      </c>
      <c r="J199" t="s">
        <v>296</v>
      </c>
      <c r="K199" t="s">
        <v>296</v>
      </c>
      <c r="M199" t="s">
        <v>336</v>
      </c>
      <c r="N199" t="str">
        <f>H199</f>
        <v>vpstudio.on</v>
      </c>
    </row>
    <row r="200" spans="4:19" x14ac:dyDescent="0.3">
      <c r="H200" t="s">
        <v>228</v>
      </c>
      <c r="J200" t="s">
        <v>297</v>
      </c>
      <c r="K200" t="s">
        <v>297</v>
      </c>
      <c r="M200" t="s">
        <v>336</v>
      </c>
      <c r="N200" t="str">
        <f>H200</f>
        <v>vpstudio.off</v>
      </c>
      <c r="P200" s="7" t="s">
        <v>393</v>
      </c>
      <c r="Q200" s="7"/>
      <c r="R200" s="7"/>
      <c r="S200" s="7"/>
    </row>
    <row r="201" spans="4:19" s="10" customFormat="1" x14ac:dyDescent="0.3">
      <c r="D201" s="10" t="s">
        <v>348</v>
      </c>
      <c r="H201" s="10" t="str">
        <f>"dev"&amp;D201</f>
        <v>devAmpliSalon</v>
      </c>
      <c r="J201" s="10" t="s">
        <v>309</v>
      </c>
      <c r="K201" s="10" t="s">
        <v>309</v>
      </c>
      <c r="L201" s="10" t="s">
        <v>309</v>
      </c>
      <c r="Q201" s="10" t="s">
        <v>397</v>
      </c>
    </row>
    <row r="202" spans="4:19" x14ac:dyDescent="0.3">
      <c r="H202" t="s">
        <v>50</v>
      </c>
      <c r="J202" t="s">
        <v>302</v>
      </c>
      <c r="K202" t="s">
        <v>302</v>
      </c>
      <c r="M202" t="s">
        <v>336</v>
      </c>
      <c r="N202" t="str">
        <f>H202</f>
        <v>ampli.on</v>
      </c>
    </row>
    <row r="203" spans="4:19" x14ac:dyDescent="0.3">
      <c r="H203" t="s">
        <v>49</v>
      </c>
      <c r="J203" t="s">
        <v>303</v>
      </c>
      <c r="K203" t="s">
        <v>303</v>
      </c>
      <c r="M203" t="s">
        <v>336</v>
      </c>
      <c r="N203" t="str">
        <f>H203</f>
        <v>ampli.off</v>
      </c>
      <c r="P203" s="7" t="s">
        <v>393</v>
      </c>
      <c r="Q203" s="7"/>
      <c r="R203" s="7"/>
      <c r="S203" s="7"/>
    </row>
    <row r="204" spans="4:19" x14ac:dyDescent="0.3">
      <c r="H204" t="s">
        <v>44</v>
      </c>
      <c r="J204" t="s">
        <v>304</v>
      </c>
      <c r="K204" t="s">
        <v>304</v>
      </c>
      <c r="M204" t="s">
        <v>336</v>
      </c>
      <c r="N204" t="str">
        <f>H204</f>
        <v>ampli.volp</v>
      </c>
    </row>
    <row r="205" spans="4:19" x14ac:dyDescent="0.3">
      <c r="H205" t="s">
        <v>45</v>
      </c>
      <c r="J205" t="s">
        <v>305</v>
      </c>
      <c r="K205" t="s">
        <v>305</v>
      </c>
      <c r="M205" t="s">
        <v>336</v>
      </c>
      <c r="N205" t="str">
        <f>H205</f>
        <v>ampli.volm</v>
      </c>
    </row>
    <row r="206" spans="4:19" x14ac:dyDescent="0.3">
      <c r="H206" t="s">
        <v>46</v>
      </c>
      <c r="J206" t="s">
        <v>283</v>
      </c>
      <c r="K206" t="s">
        <v>283</v>
      </c>
      <c r="M206" t="s">
        <v>336</v>
      </c>
      <c r="N206" t="str">
        <f>H206</f>
        <v>ampli.mute</v>
      </c>
      <c r="P206" s="7" t="s">
        <v>393</v>
      </c>
      <c r="Q206" s="7"/>
      <c r="R206" s="7"/>
      <c r="S206" s="7"/>
    </row>
    <row r="207" spans="4:19" s="10" customFormat="1" x14ac:dyDescent="0.3">
      <c r="D207" s="10" t="s">
        <v>349</v>
      </c>
      <c r="H207" s="10" t="str">
        <f>"dev"&amp;D207</f>
        <v>devAmpliStudio</v>
      </c>
      <c r="J207" s="10" t="s">
        <v>345</v>
      </c>
      <c r="K207" s="10" t="s">
        <v>345</v>
      </c>
      <c r="L207" s="10" t="s">
        <v>345</v>
      </c>
      <c r="Q207" s="10" t="s">
        <v>397</v>
      </c>
    </row>
    <row r="208" spans="4:19" x14ac:dyDescent="0.3">
      <c r="H208" t="s">
        <v>350</v>
      </c>
      <c r="J208" t="s">
        <v>304</v>
      </c>
      <c r="K208" t="s">
        <v>304</v>
      </c>
      <c r="M208" t="s">
        <v>336</v>
      </c>
      <c r="N208" t="str">
        <f>H208</f>
        <v>preamp.volp</v>
      </c>
    </row>
    <row r="209" spans="4:19" x14ac:dyDescent="0.3">
      <c r="H209" t="s">
        <v>351</v>
      </c>
      <c r="J209" t="s">
        <v>305</v>
      </c>
      <c r="K209" t="s">
        <v>305</v>
      </c>
      <c r="M209" t="s">
        <v>336</v>
      </c>
      <c r="N209" t="str">
        <f>H209</f>
        <v>preamp.volm</v>
      </c>
    </row>
    <row r="210" spans="4:19" x14ac:dyDescent="0.3">
      <c r="H210" t="s">
        <v>229</v>
      </c>
      <c r="J210" t="s">
        <v>283</v>
      </c>
      <c r="K210" t="s">
        <v>283</v>
      </c>
      <c r="M210" t="s">
        <v>336</v>
      </c>
      <c r="N210" t="str">
        <f>H210</f>
        <v>preamp.mute</v>
      </c>
      <c r="P210" s="7" t="s">
        <v>393</v>
      </c>
      <c r="Q210" s="7"/>
      <c r="R210" s="7"/>
      <c r="S210" s="7"/>
    </row>
    <row r="211" spans="4:19" s="10" customFormat="1" x14ac:dyDescent="0.3">
      <c r="D211" s="10" t="s">
        <v>306</v>
      </c>
      <c r="H211" s="10" t="str">
        <f>"dev"&amp;D211</f>
        <v>devHDMI</v>
      </c>
      <c r="J211" s="10" t="s">
        <v>306</v>
      </c>
      <c r="K211" s="10" t="s">
        <v>306</v>
      </c>
      <c r="L211" s="10" t="s">
        <v>314</v>
      </c>
      <c r="Q211" s="10" t="s">
        <v>397</v>
      </c>
    </row>
    <row r="212" spans="4:19" x14ac:dyDescent="0.3">
      <c r="H212" t="s">
        <v>77</v>
      </c>
      <c r="J212" t="s">
        <v>364</v>
      </c>
      <c r="K212">
        <v>1</v>
      </c>
      <c r="M212" t="s">
        <v>336</v>
      </c>
      <c r="N212" t="str">
        <f>H212</f>
        <v>hdmi.1</v>
      </c>
    </row>
    <row r="213" spans="4:19" x14ac:dyDescent="0.3">
      <c r="H213" t="s">
        <v>78</v>
      </c>
      <c r="J213" t="s">
        <v>365</v>
      </c>
      <c r="K213">
        <v>2</v>
      </c>
      <c r="M213" t="s">
        <v>336</v>
      </c>
      <c r="N213" t="str">
        <f>H213</f>
        <v>hdmi.2</v>
      </c>
    </row>
    <row r="214" spans="4:19" x14ac:dyDescent="0.3">
      <c r="H214" t="s">
        <v>79</v>
      </c>
      <c r="J214" t="s">
        <v>366</v>
      </c>
      <c r="K214">
        <v>3</v>
      </c>
      <c r="M214" t="s">
        <v>336</v>
      </c>
      <c r="N214" t="str">
        <f>H214</f>
        <v>hdmi.3</v>
      </c>
    </row>
    <row r="215" spans="4:19" x14ac:dyDescent="0.3">
      <c r="H215" t="s">
        <v>80</v>
      </c>
      <c r="J215" t="s">
        <v>367</v>
      </c>
      <c r="K215">
        <v>4</v>
      </c>
      <c r="M215" t="s">
        <v>336</v>
      </c>
      <c r="N215" t="str">
        <f>H215</f>
        <v>hdmi.4</v>
      </c>
    </row>
    <row r="216" spans="4:19" x14ac:dyDescent="0.3">
      <c r="H216" t="s">
        <v>81</v>
      </c>
      <c r="J216" t="s">
        <v>368</v>
      </c>
      <c r="K216">
        <v>5</v>
      </c>
      <c r="M216" t="s">
        <v>336</v>
      </c>
      <c r="N216" t="str">
        <f>H216</f>
        <v>hdmi.5</v>
      </c>
      <c r="P216" s="7" t="s">
        <v>393</v>
      </c>
      <c r="Q216" s="7"/>
      <c r="R216" s="7"/>
      <c r="S216" s="7"/>
    </row>
    <row r="217" spans="4:19" s="10" customFormat="1" x14ac:dyDescent="0.3">
      <c r="D217" s="10" t="s">
        <v>313</v>
      </c>
      <c r="H217" s="10" t="str">
        <f>"dev"&amp;D217</f>
        <v>devSonOff01</v>
      </c>
      <c r="J217" s="10" t="s">
        <v>313</v>
      </c>
      <c r="K217" s="10" t="s">
        <v>313</v>
      </c>
      <c r="L217" s="10" t="s">
        <v>313</v>
      </c>
      <c r="Q217" s="10" t="s">
        <v>398</v>
      </c>
    </row>
    <row r="218" spans="4:19" x14ac:dyDescent="0.3">
      <c r="H218" t="s">
        <v>318</v>
      </c>
      <c r="J218" t="s">
        <v>316</v>
      </c>
      <c r="K218" t="s">
        <v>316</v>
      </c>
      <c r="M218" t="s">
        <v>338</v>
      </c>
      <c r="N218" t="str">
        <f>H218</f>
        <v>sonoff01.version</v>
      </c>
      <c r="P218" s="7" t="s">
        <v>393</v>
      </c>
      <c r="Q218" s="7"/>
      <c r="R218" s="7"/>
      <c r="S218" s="7"/>
    </row>
    <row r="219" spans="4:19" x14ac:dyDescent="0.3">
      <c r="H219" t="s">
        <v>323</v>
      </c>
      <c r="J219" t="s">
        <v>325</v>
      </c>
      <c r="K219" t="s">
        <v>325</v>
      </c>
      <c r="M219" t="s">
        <v>338</v>
      </c>
      <c r="N219" t="str">
        <f>H219</f>
        <v>sonoff01.on</v>
      </c>
    </row>
    <row r="220" spans="4:19" x14ac:dyDescent="0.3">
      <c r="H220" t="s">
        <v>324</v>
      </c>
      <c r="J220" t="s">
        <v>326</v>
      </c>
      <c r="K220" t="s">
        <v>326</v>
      </c>
      <c r="M220" t="s">
        <v>338</v>
      </c>
      <c r="N220" t="str">
        <f>H220</f>
        <v>sonoff01.off</v>
      </c>
    </row>
    <row r="221" spans="4:19" x14ac:dyDescent="0.3">
      <c r="H221" t="s">
        <v>319</v>
      </c>
      <c r="J221" t="s">
        <v>322</v>
      </c>
      <c r="K221" t="s">
        <v>322</v>
      </c>
      <c r="M221" t="s">
        <v>338</v>
      </c>
      <c r="N221" t="str">
        <f>H221</f>
        <v>sonoff01.toggle</v>
      </c>
      <c r="P221" s="7" t="s">
        <v>393</v>
      </c>
      <c r="Q221" s="7"/>
      <c r="R221" s="7"/>
      <c r="S221" s="7"/>
    </row>
    <row r="222" spans="4:19" x14ac:dyDescent="0.3">
      <c r="H222" t="s">
        <v>321</v>
      </c>
      <c r="J222" t="s">
        <v>320</v>
      </c>
      <c r="K222" t="s">
        <v>320</v>
      </c>
      <c r="M222" t="s">
        <v>341</v>
      </c>
      <c r="N222" t="s">
        <v>471</v>
      </c>
      <c r="P222" s="7" t="s">
        <v>393</v>
      </c>
      <c r="Q222" s="7"/>
      <c r="R222" s="7"/>
      <c r="S222" s="7"/>
    </row>
    <row r="223" spans="4:19" s="10" customFormat="1" x14ac:dyDescent="0.3">
      <c r="D223" s="10" t="s">
        <v>327</v>
      </c>
      <c r="H223" s="10" t="str">
        <f>"dev"&amp;D223</f>
        <v>devSonOff02</v>
      </c>
      <c r="J223" s="10" t="s">
        <v>327</v>
      </c>
      <c r="K223" s="10" t="s">
        <v>327</v>
      </c>
      <c r="L223" s="10" t="s">
        <v>327</v>
      </c>
      <c r="Q223" s="10" t="s">
        <v>398</v>
      </c>
    </row>
    <row r="224" spans="4:19" x14ac:dyDescent="0.3">
      <c r="H224" t="s">
        <v>328</v>
      </c>
      <c r="J224" t="s">
        <v>316</v>
      </c>
      <c r="K224" t="s">
        <v>316</v>
      </c>
      <c r="M224" t="s">
        <v>339</v>
      </c>
      <c r="N224" t="str">
        <f>H224</f>
        <v>sonoff02.version</v>
      </c>
      <c r="P224" s="7" t="s">
        <v>393</v>
      </c>
      <c r="Q224" s="7"/>
      <c r="R224" s="7"/>
      <c r="S224" s="7"/>
    </row>
    <row r="225" spans="4:19" x14ac:dyDescent="0.3">
      <c r="H225" t="s">
        <v>329</v>
      </c>
      <c r="J225" t="s">
        <v>325</v>
      </c>
      <c r="K225" t="s">
        <v>325</v>
      </c>
      <c r="M225" t="s">
        <v>339</v>
      </c>
      <c r="N225" t="str">
        <f>H225</f>
        <v>sonoff02.on</v>
      </c>
    </row>
    <row r="226" spans="4:19" x14ac:dyDescent="0.3">
      <c r="H226" t="s">
        <v>330</v>
      </c>
      <c r="J226" t="s">
        <v>326</v>
      </c>
      <c r="K226" t="s">
        <v>326</v>
      </c>
      <c r="M226" t="s">
        <v>339</v>
      </c>
      <c r="N226" t="str">
        <f>H226</f>
        <v>sonoff02.off</v>
      </c>
    </row>
    <row r="227" spans="4:19" x14ac:dyDescent="0.3">
      <c r="H227" t="s">
        <v>331</v>
      </c>
      <c r="J227" t="s">
        <v>322</v>
      </c>
      <c r="K227" t="s">
        <v>322</v>
      </c>
      <c r="M227" t="s">
        <v>339</v>
      </c>
      <c r="N227" t="str">
        <f>H227</f>
        <v>sonoff02.toggle</v>
      </c>
      <c r="P227" s="7" t="s">
        <v>393</v>
      </c>
      <c r="Q227" s="7"/>
      <c r="R227" s="7"/>
      <c r="S227" s="7"/>
    </row>
    <row r="228" spans="4:19" x14ac:dyDescent="0.3">
      <c r="H228" t="s">
        <v>332</v>
      </c>
      <c r="J228" t="s">
        <v>320</v>
      </c>
      <c r="K228" t="s">
        <v>320</v>
      </c>
      <c r="M228" t="s">
        <v>342</v>
      </c>
      <c r="N228" t="s">
        <v>471</v>
      </c>
      <c r="P228" s="7" t="s">
        <v>393</v>
      </c>
      <c r="Q228" s="7"/>
      <c r="R228" s="7"/>
      <c r="S228" s="7"/>
    </row>
    <row r="229" spans="4:19" s="10" customFormat="1" x14ac:dyDescent="0.3">
      <c r="D229" s="10" t="s">
        <v>333</v>
      </c>
      <c r="H229" s="10" t="str">
        <f>"dev"&amp;D229</f>
        <v>devESPIR01</v>
      </c>
      <c r="J229" s="10" t="s">
        <v>333</v>
      </c>
      <c r="K229" s="10" t="s">
        <v>333</v>
      </c>
      <c r="L229" s="10" t="s">
        <v>333</v>
      </c>
      <c r="Q229" s="10" t="s">
        <v>398</v>
      </c>
    </row>
    <row r="230" spans="4:19" x14ac:dyDescent="0.3">
      <c r="H230" t="s">
        <v>315</v>
      </c>
      <c r="J230" t="s">
        <v>316</v>
      </c>
      <c r="K230" t="s">
        <v>316</v>
      </c>
      <c r="M230" t="s">
        <v>337</v>
      </c>
      <c r="N230" t="str">
        <f>H230</f>
        <v>version</v>
      </c>
      <c r="P230" s="7" t="s">
        <v>393</v>
      </c>
      <c r="Q230" s="7"/>
      <c r="R230" s="7"/>
      <c r="S230" s="7"/>
    </row>
    <row r="231" spans="4:19" x14ac:dyDescent="0.3">
      <c r="H231" t="s">
        <v>65</v>
      </c>
      <c r="J231" t="s">
        <v>325</v>
      </c>
      <c r="K231" t="s">
        <v>325</v>
      </c>
      <c r="M231" t="s">
        <v>337</v>
      </c>
      <c r="N231" t="str">
        <f>H231</f>
        <v>on</v>
      </c>
    </row>
    <row r="232" spans="4:19" x14ac:dyDescent="0.3">
      <c r="H232" t="s">
        <v>66</v>
      </c>
      <c r="J232" t="s">
        <v>326</v>
      </c>
      <c r="K232" t="s">
        <v>326</v>
      </c>
      <c r="M232" t="s">
        <v>337</v>
      </c>
      <c r="N232" t="str">
        <f>H232</f>
        <v>off</v>
      </c>
    </row>
    <row r="233" spans="4:19" x14ac:dyDescent="0.3">
      <c r="H233" t="s">
        <v>317</v>
      </c>
      <c r="J233" t="s">
        <v>322</v>
      </c>
      <c r="K233" t="s">
        <v>322</v>
      </c>
      <c r="M233" t="s">
        <v>337</v>
      </c>
      <c r="N233" t="str">
        <f>H233</f>
        <v>toggle</v>
      </c>
      <c r="P233" s="7" t="s">
        <v>393</v>
      </c>
      <c r="Q233" s="7"/>
      <c r="R233" s="7"/>
      <c r="S233" s="7"/>
    </row>
    <row r="234" spans="4:19" x14ac:dyDescent="0.3">
      <c r="H234" t="s">
        <v>320</v>
      </c>
      <c r="J234" t="s">
        <v>320</v>
      </c>
      <c r="K234" t="s">
        <v>320</v>
      </c>
      <c r="M234" t="s">
        <v>340</v>
      </c>
      <c r="N234" t="s">
        <v>471</v>
      </c>
      <c r="P234" s="7" t="s">
        <v>393</v>
      </c>
      <c r="Q234" s="7"/>
      <c r="R234" s="7"/>
      <c r="S234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1" max="1" width="15.88671875" customWidth="1"/>
    <col min="2" max="2" width="97.88671875" bestFit="1" customWidth="1"/>
  </cols>
  <sheetData>
    <row r="1" spans="1:2" s="9" customFormat="1" ht="48.6" customHeight="1" x14ac:dyDescent="0.3">
      <c r="A1" s="9" t="s">
        <v>230</v>
      </c>
      <c r="B1" s="9" t="s">
        <v>467</v>
      </c>
    </row>
    <row r="2" spans="1:2" x14ac:dyDescent="0.3">
      <c r="A2" t="s">
        <v>232</v>
      </c>
      <c r="B2" s="12" t="s">
        <v>425</v>
      </c>
    </row>
    <row r="3" spans="1:2" x14ac:dyDescent="0.3">
      <c r="A3" t="s">
        <v>441</v>
      </c>
      <c r="B3" t="s">
        <v>438</v>
      </c>
    </row>
    <row r="4" spans="1:2" x14ac:dyDescent="0.3">
      <c r="A4" t="s">
        <v>469</v>
      </c>
      <c r="B4" t="s">
        <v>439</v>
      </c>
    </row>
    <row r="5" spans="1:2" x14ac:dyDescent="0.3">
      <c r="A5" t="s">
        <v>470</v>
      </c>
      <c r="B5" t="s">
        <v>440</v>
      </c>
    </row>
  </sheetData>
  <hyperlinks>
    <hyperlink ref="B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0</xdr:col>
                    <xdr:colOff>640080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87"/>
  <sheetViews>
    <sheetView tabSelected="1" zoomScale="70" zoomScaleNormal="70" workbookViewId="0">
      <pane xSplit="3" ySplit="1" topLeftCell="D68" activePane="bottomRight" state="frozen"/>
      <selection pane="topRight" activeCell="D1" sqref="D1"/>
      <selection pane="bottomLeft" activeCell="A2" sqref="A2"/>
      <selection pane="bottomRight" activeCell="G87" sqref="G87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0" s="9" customFormat="1" ht="36.6" customHeight="1" x14ac:dyDescent="0.3">
      <c r="A1" s="9" t="s">
        <v>231</v>
      </c>
      <c r="B1" s="9" t="s">
        <v>369</v>
      </c>
      <c r="C1" s="9" t="s">
        <v>230</v>
      </c>
      <c r="D1" s="9" t="s">
        <v>353</v>
      </c>
      <c r="E1" s="9" t="s">
        <v>233</v>
      </c>
      <c r="F1" s="9" t="s">
        <v>334</v>
      </c>
      <c r="G1" s="9" t="s">
        <v>335</v>
      </c>
      <c r="H1" s="9" t="s">
        <v>352</v>
      </c>
      <c r="I1" s="9" t="s">
        <v>392</v>
      </c>
      <c r="J1" s="9" t="s">
        <v>394</v>
      </c>
    </row>
    <row r="2" spans="1:10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396</v>
      </c>
    </row>
    <row r="3" spans="1:10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0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393</v>
      </c>
      <c r="J4" s="7"/>
    </row>
    <row r="5" spans="1:10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0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393</v>
      </c>
      <c r="J6" s="7"/>
    </row>
    <row r="7" spans="1:10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395</v>
      </c>
    </row>
    <row r="8" spans="1:10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0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393</v>
      </c>
      <c r="J9" s="7"/>
    </row>
    <row r="10" spans="1:10" x14ac:dyDescent="0.3">
      <c r="B10" t="s">
        <v>4</v>
      </c>
      <c r="C10" t="s">
        <v>237</v>
      </c>
      <c r="D10" t="s">
        <v>354</v>
      </c>
      <c r="E10" t="s">
        <v>237</v>
      </c>
      <c r="F10" t="s">
        <v>336</v>
      </c>
      <c r="G10" t="str">
        <f t="shared" si="0"/>
        <v>salon.1.on</v>
      </c>
      <c r="H10" t="s">
        <v>380</v>
      </c>
    </row>
    <row r="11" spans="1:10" x14ac:dyDescent="0.3">
      <c r="B11" t="s">
        <v>9</v>
      </c>
      <c r="C11" t="s">
        <v>246</v>
      </c>
      <c r="D11" t="s">
        <v>355</v>
      </c>
      <c r="E11" t="s">
        <v>246</v>
      </c>
      <c r="F11" t="s">
        <v>336</v>
      </c>
      <c r="G11" t="str">
        <f t="shared" si="0"/>
        <v>salon.1.off</v>
      </c>
      <c r="H11" t="s">
        <v>380</v>
      </c>
      <c r="I11" s="7" t="s">
        <v>393</v>
      </c>
      <c r="J11" s="7"/>
    </row>
    <row r="12" spans="1:10" x14ac:dyDescent="0.3">
      <c r="B12" t="s">
        <v>5</v>
      </c>
      <c r="C12" t="s">
        <v>238</v>
      </c>
      <c r="D12" t="s">
        <v>356</v>
      </c>
      <c r="E12" t="s">
        <v>238</v>
      </c>
      <c r="F12" t="s">
        <v>336</v>
      </c>
      <c r="G12" t="str">
        <f t="shared" si="0"/>
        <v>salon.2.on</v>
      </c>
      <c r="H12" t="s">
        <v>381</v>
      </c>
    </row>
    <row r="13" spans="1:10" x14ac:dyDescent="0.3">
      <c r="B13" t="s">
        <v>10</v>
      </c>
      <c r="C13" t="s">
        <v>239</v>
      </c>
      <c r="D13" t="s">
        <v>357</v>
      </c>
      <c r="E13" t="s">
        <v>239</v>
      </c>
      <c r="F13" t="s">
        <v>336</v>
      </c>
      <c r="G13" t="str">
        <f t="shared" si="0"/>
        <v>salon.2.off</v>
      </c>
      <c r="H13" t="s">
        <v>381</v>
      </c>
      <c r="I13" s="7" t="s">
        <v>393</v>
      </c>
      <c r="J13" s="7"/>
    </row>
    <row r="14" spans="1:10" x14ac:dyDescent="0.3">
      <c r="B14" t="s">
        <v>6</v>
      </c>
      <c r="C14" t="s">
        <v>240</v>
      </c>
      <c r="D14" t="s">
        <v>358</v>
      </c>
      <c r="E14" t="s">
        <v>240</v>
      </c>
      <c r="F14" t="s">
        <v>336</v>
      </c>
      <c r="G14" t="str">
        <f t="shared" si="0"/>
        <v>salon.3.on</v>
      </c>
      <c r="H14" t="s">
        <v>382</v>
      </c>
    </row>
    <row r="15" spans="1:10" x14ac:dyDescent="0.3">
      <c r="B15" t="s">
        <v>11</v>
      </c>
      <c r="C15" t="s">
        <v>241</v>
      </c>
      <c r="D15" t="s">
        <v>359</v>
      </c>
      <c r="E15" t="s">
        <v>241</v>
      </c>
      <c r="F15" t="s">
        <v>336</v>
      </c>
      <c r="G15" t="str">
        <f t="shared" si="0"/>
        <v>salon.3.off</v>
      </c>
      <c r="H15" t="s">
        <v>382</v>
      </c>
      <c r="I15" s="7" t="s">
        <v>393</v>
      </c>
      <c r="J15" s="7"/>
    </row>
    <row r="16" spans="1:10" x14ac:dyDescent="0.3">
      <c r="B16" t="s">
        <v>12</v>
      </c>
      <c r="C16" t="s">
        <v>242</v>
      </c>
      <c r="D16" t="s">
        <v>360</v>
      </c>
      <c r="E16" t="s">
        <v>242</v>
      </c>
      <c r="F16" t="s">
        <v>336</v>
      </c>
      <c r="G16" t="str">
        <f t="shared" si="0"/>
        <v>salon.4.on</v>
      </c>
      <c r="H16" t="s">
        <v>383</v>
      </c>
    </row>
    <row r="17" spans="1:10" x14ac:dyDescent="0.3">
      <c r="B17" t="s">
        <v>14</v>
      </c>
      <c r="C17" t="s">
        <v>243</v>
      </c>
      <c r="D17" t="s">
        <v>361</v>
      </c>
      <c r="E17" t="s">
        <v>243</v>
      </c>
      <c r="F17" t="s">
        <v>336</v>
      </c>
      <c r="G17" t="str">
        <f t="shared" si="0"/>
        <v>salon.4.off</v>
      </c>
      <c r="H17" t="s">
        <v>383</v>
      </c>
      <c r="I17" s="7" t="s">
        <v>393</v>
      </c>
      <c r="J17" s="7"/>
    </row>
    <row r="18" spans="1:10" x14ac:dyDescent="0.3">
      <c r="B18" t="s">
        <v>13</v>
      </c>
      <c r="C18" t="s">
        <v>244</v>
      </c>
      <c r="D18" t="s">
        <v>362</v>
      </c>
      <c r="E18" t="s">
        <v>244</v>
      </c>
      <c r="F18" t="s">
        <v>336</v>
      </c>
      <c r="G18" t="str">
        <f t="shared" si="0"/>
        <v>salon.5.on</v>
      </c>
      <c r="H18" t="s">
        <v>384</v>
      </c>
    </row>
    <row r="19" spans="1:10" x14ac:dyDescent="0.3">
      <c r="B19" t="s">
        <v>15</v>
      </c>
      <c r="C19" t="s">
        <v>245</v>
      </c>
      <c r="D19" t="s">
        <v>363</v>
      </c>
      <c r="E19" t="s">
        <v>245</v>
      </c>
      <c r="F19" t="s">
        <v>336</v>
      </c>
      <c r="G19" t="str">
        <f t="shared" si="0"/>
        <v>salon.5.off</v>
      </c>
      <c r="H19" t="s">
        <v>384</v>
      </c>
      <c r="I19" s="7" t="s">
        <v>393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395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393</v>
      </c>
      <c r="J22" s="7"/>
    </row>
    <row r="23" spans="1:10" x14ac:dyDescent="0.3">
      <c r="B23" t="s">
        <v>370</v>
      </c>
      <c r="C23" t="s">
        <v>251</v>
      </c>
      <c r="D23" t="s">
        <v>354</v>
      </c>
      <c r="E23" t="s">
        <v>251</v>
      </c>
      <c r="F23" t="s">
        <v>336</v>
      </c>
      <c r="G23" t="str">
        <f t="shared" si="1"/>
        <v>studio.1.on</v>
      </c>
      <c r="H23" t="s">
        <v>385</v>
      </c>
    </row>
    <row r="24" spans="1:10" x14ac:dyDescent="0.3">
      <c r="B24" t="s">
        <v>371</v>
      </c>
      <c r="C24" t="s">
        <v>252</v>
      </c>
      <c r="D24" t="s">
        <v>355</v>
      </c>
      <c r="E24" t="s">
        <v>252</v>
      </c>
      <c r="F24" t="s">
        <v>336</v>
      </c>
      <c r="G24" t="str">
        <f t="shared" si="1"/>
        <v>studio.1.off</v>
      </c>
      <c r="H24" t="s">
        <v>385</v>
      </c>
      <c r="I24" s="7" t="s">
        <v>393</v>
      </c>
      <c r="J24" s="7"/>
    </row>
    <row r="25" spans="1:10" x14ac:dyDescent="0.3">
      <c r="B25" t="s">
        <v>372</v>
      </c>
      <c r="C25" t="s">
        <v>253</v>
      </c>
      <c r="D25" t="s">
        <v>356</v>
      </c>
      <c r="E25" t="s">
        <v>253</v>
      </c>
      <c r="F25" t="s">
        <v>336</v>
      </c>
      <c r="G25" t="str">
        <f t="shared" si="1"/>
        <v>studio.2.on</v>
      </c>
      <c r="H25" t="s">
        <v>386</v>
      </c>
    </row>
    <row r="26" spans="1:10" x14ac:dyDescent="0.3">
      <c r="B26" t="s">
        <v>373</v>
      </c>
      <c r="C26" t="s">
        <v>254</v>
      </c>
      <c r="D26" t="s">
        <v>357</v>
      </c>
      <c r="E26" t="s">
        <v>254</v>
      </c>
      <c r="F26" t="s">
        <v>336</v>
      </c>
      <c r="G26" t="str">
        <f t="shared" si="1"/>
        <v>studio.2.off</v>
      </c>
      <c r="H26" t="s">
        <v>386</v>
      </c>
      <c r="I26" s="7" t="s">
        <v>393</v>
      </c>
      <c r="J26" s="7"/>
    </row>
    <row r="27" spans="1:10" x14ac:dyDescent="0.3">
      <c r="B27" t="s">
        <v>374</v>
      </c>
      <c r="C27" t="s">
        <v>255</v>
      </c>
      <c r="D27" t="s">
        <v>358</v>
      </c>
      <c r="E27" t="s">
        <v>255</v>
      </c>
      <c r="F27" t="s">
        <v>336</v>
      </c>
      <c r="G27" t="str">
        <f t="shared" si="1"/>
        <v>studio.3.on</v>
      </c>
      <c r="H27" t="s">
        <v>387</v>
      </c>
    </row>
    <row r="28" spans="1:10" x14ac:dyDescent="0.3">
      <c r="B28" t="s">
        <v>375</v>
      </c>
      <c r="C28" t="s">
        <v>256</v>
      </c>
      <c r="D28" t="s">
        <v>359</v>
      </c>
      <c r="E28" t="s">
        <v>256</v>
      </c>
      <c r="F28" t="s">
        <v>336</v>
      </c>
      <c r="G28" t="str">
        <f t="shared" si="1"/>
        <v>studio.3.off</v>
      </c>
      <c r="H28" t="s">
        <v>387</v>
      </c>
      <c r="I28" s="7" t="s">
        <v>393</v>
      </c>
      <c r="J28" s="7"/>
    </row>
    <row r="29" spans="1:10" x14ac:dyDescent="0.3">
      <c r="B29" t="s">
        <v>376</v>
      </c>
      <c r="C29" t="s">
        <v>257</v>
      </c>
      <c r="D29" t="s">
        <v>360</v>
      </c>
      <c r="E29" t="s">
        <v>257</v>
      </c>
      <c r="F29" t="s">
        <v>336</v>
      </c>
      <c r="G29" t="str">
        <f t="shared" si="1"/>
        <v>studio.4.on</v>
      </c>
      <c r="H29" t="s">
        <v>388</v>
      </c>
    </row>
    <row r="30" spans="1:10" x14ac:dyDescent="0.3">
      <c r="B30" t="s">
        <v>377</v>
      </c>
      <c r="C30" t="s">
        <v>258</v>
      </c>
      <c r="D30" t="s">
        <v>361</v>
      </c>
      <c r="E30" t="s">
        <v>258</v>
      </c>
      <c r="F30" t="s">
        <v>336</v>
      </c>
      <c r="G30" t="str">
        <f t="shared" si="1"/>
        <v>studio.4.off</v>
      </c>
      <c r="H30" t="s">
        <v>388</v>
      </c>
      <c r="I30" s="7" t="s">
        <v>393</v>
      </c>
      <c r="J30" s="7"/>
    </row>
    <row r="31" spans="1:10" x14ac:dyDescent="0.3">
      <c r="B31" t="s">
        <v>378</v>
      </c>
      <c r="C31" t="s">
        <v>259</v>
      </c>
      <c r="D31" t="s">
        <v>362</v>
      </c>
      <c r="E31" t="s">
        <v>259</v>
      </c>
      <c r="F31" t="s">
        <v>336</v>
      </c>
      <c r="G31" t="str">
        <f t="shared" si="1"/>
        <v>studio.5.on</v>
      </c>
      <c r="H31" t="s">
        <v>389</v>
      </c>
    </row>
    <row r="32" spans="1:10" x14ac:dyDescent="0.3">
      <c r="B32" t="s">
        <v>379</v>
      </c>
      <c r="C32" t="s">
        <v>260</v>
      </c>
      <c r="D32" t="s">
        <v>363</v>
      </c>
      <c r="E32" t="s">
        <v>260</v>
      </c>
      <c r="F32" t="s">
        <v>336</v>
      </c>
      <c r="G32" t="str">
        <f t="shared" si="1"/>
        <v>studio.5.off</v>
      </c>
      <c r="H32" t="s">
        <v>389</v>
      </c>
      <c r="I32" s="7" t="s">
        <v>393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399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390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390</v>
      </c>
      <c r="I35" s="7" t="s">
        <v>393</v>
      </c>
      <c r="J35" s="7"/>
    </row>
    <row r="36" spans="1:10" x14ac:dyDescent="0.3">
      <c r="B36" t="s">
        <v>270</v>
      </c>
      <c r="C36" t="s">
        <v>343</v>
      </c>
      <c r="D36" t="s">
        <v>343</v>
      </c>
      <c r="E36" t="s">
        <v>268</v>
      </c>
      <c r="F36" t="s">
        <v>336</v>
      </c>
      <c r="G36" t="str">
        <f>B36</f>
        <v>volets.on</v>
      </c>
      <c r="H36" t="s">
        <v>391</v>
      </c>
    </row>
    <row r="37" spans="1:10" x14ac:dyDescent="0.3">
      <c r="B37" t="s">
        <v>271</v>
      </c>
      <c r="C37" t="s">
        <v>344</v>
      </c>
      <c r="D37" t="s">
        <v>344</v>
      </c>
      <c r="E37" t="s">
        <v>269</v>
      </c>
      <c r="F37" t="s">
        <v>336</v>
      </c>
      <c r="G37" t="str">
        <f>B37</f>
        <v>volets.off</v>
      </c>
      <c r="H37" t="s">
        <v>391</v>
      </c>
      <c r="I37" s="7" t="s">
        <v>393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397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393</v>
      </c>
      <c r="J41" s="7"/>
    </row>
    <row r="42" spans="1:10" x14ac:dyDescent="0.3">
      <c r="B42" t="s">
        <v>277</v>
      </c>
      <c r="C42" t="s">
        <v>364</v>
      </c>
      <c r="D42" t="s">
        <v>364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365</v>
      </c>
      <c r="D43" t="s">
        <v>365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366</v>
      </c>
      <c r="D44" t="s">
        <v>366</v>
      </c>
      <c r="F44" t="s">
        <v>336</v>
      </c>
      <c r="G44" t="str">
        <f t="shared" si="2"/>
        <v>tv.entree.hdmi3</v>
      </c>
      <c r="I44" s="7" t="s">
        <v>393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393</v>
      </c>
      <c r="J45" s="7"/>
    </row>
    <row r="46" spans="1:10" s="8" customFormat="1" x14ac:dyDescent="0.3">
      <c r="A46" s="8" t="s">
        <v>346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397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393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393</v>
      </c>
      <c r="J50" s="7"/>
    </row>
    <row r="51" spans="1:10" s="8" customFormat="1" x14ac:dyDescent="0.3">
      <c r="A51" s="8" t="s">
        <v>347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397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393</v>
      </c>
      <c r="J53" s="7"/>
    </row>
    <row r="54" spans="1:10" s="8" customFormat="1" x14ac:dyDescent="0.3">
      <c r="A54" s="8" t="s">
        <v>348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397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393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393</v>
      </c>
      <c r="J59" s="7"/>
    </row>
    <row r="60" spans="1:10" s="8" customFormat="1" x14ac:dyDescent="0.3">
      <c r="A60" s="8" t="s">
        <v>349</v>
      </c>
      <c r="B60" s="8" t="str">
        <f>"dev"&amp;A60</f>
        <v>devAmpliStudio</v>
      </c>
      <c r="C60" s="8" t="s">
        <v>345</v>
      </c>
      <c r="D60" s="8" t="s">
        <v>345</v>
      </c>
      <c r="E60" s="8" t="s">
        <v>345</v>
      </c>
      <c r="J60" s="8" t="s">
        <v>397</v>
      </c>
    </row>
    <row r="61" spans="1:10" x14ac:dyDescent="0.3">
      <c r="B61" t="s">
        <v>350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351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393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397</v>
      </c>
    </row>
    <row r="65" spans="1:10" x14ac:dyDescent="0.3">
      <c r="B65" t="s">
        <v>77</v>
      </c>
      <c r="C65" t="s">
        <v>364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365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366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367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368</v>
      </c>
      <c r="D69">
        <v>5</v>
      </c>
      <c r="F69" t="s">
        <v>336</v>
      </c>
      <c r="G69" t="str">
        <f>B69</f>
        <v>hdmi.5</v>
      </c>
      <c r="I69" s="7" t="s">
        <v>393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398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393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393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s="12" t="s">
        <v>471</v>
      </c>
      <c r="I75" s="7" t="s">
        <v>393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398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393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393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471</v>
      </c>
      <c r="I81" s="7" t="s">
        <v>393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398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393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393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471</v>
      </c>
      <c r="I87" s="7" t="s">
        <v>393</v>
      </c>
      <c r="J87" s="7"/>
    </row>
  </sheetData>
  <hyperlinks>
    <hyperlink ref="G75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5" sqref="G25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zoomScale="85" zoomScaleNormal="85" workbookViewId="0">
      <pane ySplit="1" topLeftCell="A2" activePane="bottomLeft" state="frozen"/>
      <selection pane="bottomLeft" activeCell="P22" sqref="P22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2018-02-20T14:14:24Z</dcterms:modified>
</cp:coreProperties>
</file>