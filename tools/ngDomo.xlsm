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5" i="4" l="1"/>
  <c r="K15" i="4" s="1"/>
  <c r="H15" i="4"/>
  <c r="N62" i="4" l="1"/>
  <c r="N61" i="4"/>
  <c r="N59" i="4"/>
  <c r="N58" i="4"/>
  <c r="N56" i="4"/>
  <c r="N55" i="4"/>
  <c r="N53" i="4"/>
  <c r="N52" i="4"/>
  <c r="N50" i="4"/>
  <c r="N49" i="4"/>
  <c r="N47" i="4"/>
  <c r="N46" i="4"/>
  <c r="K45" i="4"/>
  <c r="N36" i="4"/>
  <c r="N34" i="4"/>
  <c r="N35" i="4"/>
  <c r="N43" i="4"/>
  <c r="N42" i="4"/>
  <c r="K41" i="4"/>
  <c r="N40" i="4"/>
  <c r="N39" i="4"/>
  <c r="K38" i="4"/>
  <c r="J30" i="4"/>
  <c r="K30" i="4" s="1"/>
  <c r="J28" i="4"/>
  <c r="K28" i="4" s="1"/>
  <c r="J26" i="4"/>
  <c r="K26" i="4" s="1"/>
  <c r="J20" i="4"/>
  <c r="K20" i="4" s="1"/>
  <c r="J4" i="4"/>
  <c r="K4" i="4" s="1"/>
  <c r="K117" i="4" l="1"/>
  <c r="K116" i="4"/>
  <c r="K115" i="4"/>
  <c r="K114" i="4"/>
  <c r="K113" i="4"/>
  <c r="K112" i="4"/>
  <c r="N110" i="4"/>
  <c r="N109" i="4"/>
  <c r="N107" i="4"/>
  <c r="N106" i="4"/>
  <c r="N104" i="4"/>
  <c r="N103" i="4"/>
  <c r="K108" i="4"/>
  <c r="K105" i="4"/>
  <c r="K102" i="4"/>
  <c r="N100" i="4"/>
  <c r="N98" i="4"/>
  <c r="N99" i="4"/>
  <c r="N97" i="4"/>
  <c r="N96" i="4"/>
  <c r="N94" i="4"/>
  <c r="N93" i="4"/>
  <c r="N92" i="4"/>
  <c r="N91" i="4"/>
  <c r="N90" i="4"/>
  <c r="N88" i="4"/>
  <c r="N87" i="4"/>
  <c r="N86" i="4"/>
  <c r="N85" i="4"/>
  <c r="N84" i="4"/>
  <c r="N83" i="4"/>
  <c r="N82" i="4"/>
  <c r="N80" i="4"/>
  <c r="N79" i="4"/>
  <c r="K95" i="4"/>
  <c r="K89" i="4"/>
  <c r="K81" i="4"/>
  <c r="K78" i="4"/>
  <c r="N76" i="4"/>
  <c r="N75" i="4"/>
  <c r="N74" i="4"/>
  <c r="N73" i="4"/>
  <c r="N72" i="4"/>
  <c r="N71" i="4"/>
  <c r="N70" i="4"/>
  <c r="N69" i="4"/>
  <c r="N68" i="4"/>
  <c r="N67" i="4"/>
  <c r="N66" i="4"/>
  <c r="N65" i="4"/>
  <c r="K64" i="4"/>
  <c r="K33" i="4"/>
  <c r="H30" i="4"/>
  <c r="H28" i="4"/>
  <c r="H26" i="4"/>
  <c r="J22" i="4"/>
  <c r="K22" i="4" s="1"/>
  <c r="I22" i="4"/>
  <c r="H22" i="4"/>
  <c r="J21" i="4"/>
  <c r="K21" i="4" s="1"/>
  <c r="I21" i="4"/>
  <c r="H21" i="4"/>
  <c r="H20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25" i="4"/>
  <c r="N210" i="4"/>
  <c r="N209" i="4"/>
  <c r="N208" i="4"/>
  <c r="N207" i="4"/>
  <c r="H206" i="4"/>
  <c r="N204" i="4"/>
  <c r="N203" i="4"/>
  <c r="N202" i="4"/>
  <c r="N201" i="4"/>
  <c r="H200" i="4"/>
  <c r="N198" i="4"/>
  <c r="N197" i="4"/>
  <c r="N196" i="4"/>
  <c r="N195" i="4"/>
  <c r="H194" i="4"/>
  <c r="N193" i="4"/>
  <c r="N192" i="4"/>
  <c r="N191" i="4"/>
  <c r="N190" i="4"/>
  <c r="N189" i="4"/>
  <c r="H188" i="4"/>
  <c r="N187" i="4"/>
  <c r="N186" i="4"/>
  <c r="N185" i="4"/>
  <c r="H184" i="4"/>
  <c r="N183" i="4"/>
  <c r="N182" i="4"/>
  <c r="N181" i="4"/>
  <c r="N180" i="4"/>
  <c r="N179" i="4"/>
  <c r="H178" i="4"/>
  <c r="N177" i="4"/>
  <c r="N176" i="4"/>
  <c r="H175" i="4"/>
  <c r="N174" i="4"/>
  <c r="N173" i="4"/>
  <c r="N172" i="4"/>
  <c r="N171" i="4"/>
  <c r="H170" i="4"/>
  <c r="N169" i="4"/>
  <c r="N168" i="4"/>
  <c r="N167" i="4"/>
  <c r="N166" i="4"/>
  <c r="N165" i="4"/>
  <c r="N164" i="4"/>
  <c r="N163" i="4"/>
  <c r="H162" i="4"/>
  <c r="N161" i="4"/>
  <c r="N160" i="4"/>
  <c r="N159" i="4"/>
  <c r="N158" i="4"/>
  <c r="H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H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H131" i="4"/>
  <c r="N130" i="4"/>
  <c r="N129" i="4"/>
  <c r="N128" i="4"/>
  <c r="N127" i="4"/>
  <c r="H126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<sst xmlns="http://schemas.openxmlformats.org/spreadsheetml/2006/main" count="1942" uniqueCount="475">
  <si>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</si>
  <si>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</si>
  <si>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</si>
  <si>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</si>
  <si>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</si>
  <si>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</si>
  <si>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</si>
  <si>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</si>
  <si>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</si>
  <si>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</si>
  <si>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</si>
  <si>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</si>
  <si>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</si>
  <si>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</si>
  <si>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</si>
  <si>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</si>
  <si>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</si>
  <si>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</si>
  <si>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</si>
  <si>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</si>
  <si>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</si>
  <si>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</si>
  <si>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</si>
  <si>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</si>
  <si>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</si>
  <si>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</si>
  <si>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</si>
  <si>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</si>
  <si>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</si>
  <si>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</si>
  <si>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</si>
  <si>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</si>
  <si>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</si>
  <si>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</si>
  <si>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</si>
  <si>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</si>
  <si>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</si>
  <si>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</si>
  <si>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</si>
  <si>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</si>
  <si>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</si>
  <si>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</si>
  <si>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</si>
  <si>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</si>
  <si>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</si>
  <si>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</si>
  <si>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</si>
  <si>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</si>
  <si>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</si>
  <si>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</si>
  <si>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</si>
  <si>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</si>
  <si>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</si>
  <si>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</si>
  <si>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</si>
  <si>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</si>
  <si>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</si>
  <si>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</si>
  <si>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</si>
  <si>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</si>
  <si>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</si>
  <si>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</si>
  <si>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</si>
  <si>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</si>
  <si>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</si>
  <si>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</si>
  <si>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</si>
  <si>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</si>
  <si>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</si>
  <si>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</si>
  <si>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</si>
  <si>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</si>
  <si>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</si>
  <si>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</si>
  <si>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</si>
  <si>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</si>
  <si>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</si>
  <si>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</si>
  <si>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</si>
  <si>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</si>
  <si>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</si>
  <si>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</si>
  <si>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</si>
  <si>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</si>
  <si>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</si>
  <si>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</si>
  <si>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</si>
  <si>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</si>
  <si>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</si>
  <si>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</si>
  <si>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</si>
  <si>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</si>
  <si>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</si>
  <si>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</si>
  <si>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</si>
  <si>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</si>
  <si>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</si>
  <si>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</si>
  <si>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</si>
  <si>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</si>
  <si>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</si>
  <si>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</si>
  <si>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</si>
  <si>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</si>
  <si>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</si>
  <si>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</si>
  <si>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</si>
  <si>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</si>
  <si>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</si>
  <si>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</si>
  <si>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</si>
  <si>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</si>
  <si>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</si>
  <si>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</si>
  <si>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</si>
  <si>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</si>
  <si>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</si>
  <si>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</si>
  <si>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</si>
  <si>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</si>
  <si>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</si>
  <si>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</si>
  <si>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</si>
  <si>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</si>
  <si>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</si>
  <si>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</si>
  <si>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</si>
  <si>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</si>
  <si>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</si>
  <si>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</si>
  <si>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</si>
  <si>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</si>
  <si>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</si>
  <si>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</si>
  <si>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</si>
  <si>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</si>
  <si>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</si>
  <si>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</si>
  <si>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</si>
  <si>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</si>
  <si>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</si>
  <si>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</si>
  <si>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</si>
  <si>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</si>
  <si>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</si>
  <si>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</si>
  <si>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</si>
  <si>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</si>
  <si>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</si>
  <si>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</si>
  <si>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</si>
  <si>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</si>
  <si>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</si>
  <si>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</si>
  <si>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</si>
  <si>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</si>
  <si>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</si>
  <si>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</si>
  <si>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</si>
  <si>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</si>
  <si>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</si>
  <si>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</si>
  <si>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</si>
  <si>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</si>
  <si>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</si>
  <si>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</si>
  <si>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</si>
  <si>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</si>
  <si>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</si>
  <si>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</si>
  <si>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</si>
  <si>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</si>
  <si>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</si>
  <si>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</si>
  <si>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</si>
  <si>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</si>
  <si>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</si>
  <si>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</si>
  <si>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</si>
  <si>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</si>
  <si>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</si>
  <si>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</si>
  <si>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</si>
  <si>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</si>
  <si>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</si>
  <si>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</si>
  <si>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</si>
  <si>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</si>
  <si>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</si>
  <si>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</si>
  <si>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</si>
  <si>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</si>
  <si>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</si>
  <si>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</si>
  <si>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</si>
  <si>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</si>
  <si>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</si>
  <si>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</si>
  <si>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</si>
  <si>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</si>
  <si>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</si>
  <si>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</si>
  <si>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</si>
  <si>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</si>
  <si>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</si>
  <si>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</si>
  <si>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</si>
  <si>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</si>
  <si>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</si>
  <si>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</si>
  <si>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</si>
  <si>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</si>
  <si>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</si>
  <si>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</si>
  <si>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</si>
  <si>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</si>
  <si>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</si>
  <si>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</si>
  <si>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</si>
  <si>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</si>
  <si>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</si>
  <si>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</si>
  <si>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</si>
  <si>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</si>
  <si>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</si>
  <si>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</si>
  <si>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</si>
  <si>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</si>
  <si>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</si>
  <si>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</si>
  <si>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</si>
  <si>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</si>
  <si>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</si>
  <si>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</si>
  <si>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</si>
  <si>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</si>
  <si>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</si>
  <si>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</si>
  <si>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</si>
  <si>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</si>
  <si>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</si>
  <si>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</si>
  <si>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</si>
  <si>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</si>
  <si>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</si>
  <si>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</si>
  <si>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</si>
  <si>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</si>
  <si>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</si>
  <si>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</si>
  <si>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</si>
  <si>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</si>
  <si>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</si>
  <si>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</si>
  <si>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</si>
  <si>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</si>
  <si>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</si>
  <si>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</si>
  <si>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</si>
  <si>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</si>
  <si>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</si>
  <si>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</si>
  <si>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</si>
  <si>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</si>
  <si>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</si>
  <si>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</si>
  <si>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</si>
  <si>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</si>
  <si>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</si>
  <si>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</si>
  <si>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</si>
  <si>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</si>
  <si>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</si>
  <si>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</si>
  <si>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</si>
  <si>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</si>
  <si>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</si>
  <si>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</si>
  <si>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</si>
  <si>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</si>
  <si>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</si>
  <si>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</si>
  <si>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</si>
  <si>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</si>
  <si>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</si>
  <si>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</si>
  <si>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</si>
  <si>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</si>
  <si>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</si>
  <si>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</si>
  <si>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</si>
  <si>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</si>
  <si>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</si>
  <si>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</si>
  <si>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</si>
  <si>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</si>
  <si>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</si>
  <si>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</si>
  <si>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</si>
  <si>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</si>
  <si>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</si>
  <si>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</si>
  <si>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</si>
  <si>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</si>
  <si>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</si>
  <si>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</si>
  <si>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</si>
  <si>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</si>
  <si>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</si>
  <si>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</si>
  <si>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</si>
  <si>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</si>
  <si>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</si>
  <si>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</si>
  <si>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</si>
  <si>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</si>
  <si>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</si>
  <si>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</si>
  <si>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</si>
  <si>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</si>
  <si>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</si>
  <si>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</si>
  <si>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</si>
  <si>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</si>
  <si>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</si>
  <si>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</si>
  <si>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</si>
  <si>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</si>
  <si>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</si>
  <si>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</si>
  <si>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</si>
  <si>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</si>
  <si>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</si>
  <si>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</si>
  <si>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</si>
  <si>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</si>
  <si>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</si>
  <si>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</si>
  <si>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</si>
  <si>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</si>
  <si>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</si>
  <si>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</si>
  <si>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</si>
  <si>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</si>
  <si>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</si>
  <si>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</si>
  <si>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</si>
  <si>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</si>
  <si>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</si>
  <si>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</si>
  <si>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</si>
  <si>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</si>
  <si>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</si>
  <si>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</si>
  <si>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</si>
  <si>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</si>
  <si>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</si>
  <si>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</si>
  <si>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</si>
  <si>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</si>
  <si>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</si>
  <si>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</si>
  <si>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</si>
  <si>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</si>
  <si>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</si>
  <si>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</si>
  <si>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</si>
  <si>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</si>
  <si>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</si>
  <si>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</si>
  <si>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json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</si>
  <si>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</si>
  <si>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</si>
  <si>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</si>
  <si>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</si>
  <si>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</si>
  <si>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</si>
  <si>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</si>
  <si>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</si>
  <si>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</si>
  <si>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</si>
  <si>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</si>
  <si>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</si>
  <si>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</si>
  <si>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</si>
  <si>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</si>
  <si>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</si>
  <si>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</si>
  <si>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</si>
  <si>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</si>
  <si>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</si>
  <si>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</si>
  <si>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</si>
  <si>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</si>
  <si>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</si>
  <si>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</si>
  <si>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</si>
  <si>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</si>
  <si>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</si>
  <si>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</si>
  <si>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</si>
  <si>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</si>
  <si>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</si>
  <si>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</si>
  <si>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</si>
  <si>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</si>
  <si>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</si>
  <si>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</si>
  <si>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</si>
  <si>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</si>
  <si>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</si>
  <si>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</si>
  <si>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</si>
  <si>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</si>
  <si>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</si>
  <si>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</si>
  <si>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</si>
  <si>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</si>
  <si>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</si>
  <si>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</si>
  <si>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</si>
  <si>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</si>
  <si>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</si>
  <si>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</si>
  <si>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</si>
  <si>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</si>
  <si>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</si>
  <si>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</si>
  <si>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</si>
  <si>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devices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</si>
  <si>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</si>
  <si>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</si>
  <si>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</si>
  <si>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</si>
  <si>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</si>
  <si>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</si>
  <si>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</si>
  <si>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</si>
  <si>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</si>
  <si>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</si>
  <si>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</si>
  <si>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</si>
  <si>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</si>
  <si>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</si>
  <si>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</si>
  <si>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</si>
  <si>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</si>
  <si>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</si>
  <si>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</si>
  <si>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</si>
  <si>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</si>
  <si>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</si>
  <si>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</si>
  <si>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</si>
  <si>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</si>
  <si>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</si>
  <si>
    <t>cgMaison</t>
  </si>
  <si>
    <t>Jardin</t>
  </si>
  <si>
    <t>Volets</t>
  </si>
  <si>
    <t>component</t>
  </si>
  <si>
    <t>componentGroupId</t>
  </si>
  <si>
    <t>Component</t>
  </si>
  <si>
    <t>Bas</t>
  </si>
  <si>
    <t>Haut</t>
  </si>
  <si>
    <t>doubleCommand</t>
  </si>
  <si>
    <t>Salon 2</t>
  </si>
  <si>
    <t>Salon 1</t>
  </si>
  <si>
    <t>Salon 3</t>
  </si>
  <si>
    <t>Salon 4</t>
  </si>
  <si>
    <t>Salon  5</t>
  </si>
  <si>
    <t>source</t>
  </si>
  <si>
    <t>Test</t>
  </si>
  <si>
    <t>card</t>
  </si>
  <si>
    <t>Royan - Conche</t>
  </si>
  <si>
    <t>Royan - Foncillon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</si>
</sst>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0</xdr:row>
          <xdr:rowOff>144780</xdr:rowOff>
        </xdr:from>
        <xdr:to>
          <xdr:col>0</xdr:col>
          <xdr:colOff>655320</xdr:colOff>
          <xdr:row>0</xdr:row>
          <xdr:rowOff>411480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0</xdr:row>
          <xdr:rowOff>106680</xdr:rowOff>
        </xdr:from>
        <xdr:to>
          <xdr:col>0</xdr:col>
          <xdr:colOff>640080</xdr:colOff>
          <xdr:row>0</xdr:row>
          <xdr:rowOff>396240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0</xdr:row>
          <xdr:rowOff>45720</xdr:rowOff>
        </xdr:from>
        <xdr:to>
          <xdr:col>0</xdr:col>
          <xdr:colOff>670560</xdr:colOff>
          <xdr:row>0</xdr:row>
          <xdr:rowOff>274320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24" sqref="J24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447</v>
      </c>
      <c r="B1" s="9" t="s">
        <v>396</v>
      </c>
      <c r="C1" s="9" t="s">
        <v>230</v>
      </c>
    </row>
    <row r="2" spans="1:3" x14ac:dyDescent="0.3">
      <c r="A2" t="s">
        <v>448</v>
      </c>
      <c r="B2" t="s">
        <v>401</v>
      </c>
      <c r="C2" t="s">
        <v>263</v>
      </c>
    </row>
    <row r="3" spans="1:3" x14ac:dyDescent="0.3">
      <c r="A3" t="s">
        <v>449</v>
      </c>
      <c r="B3" t="s">
        <v>450</v>
      </c>
      <c r="C3" t="s">
        <v>425</v>
      </c>
    </row>
    <row r="4" spans="1:3" x14ac:dyDescent="0.3">
      <c r="A4" t="s">
        <v>451</v>
      </c>
      <c r="B4" t="s">
        <v>452</v>
      </c>
      <c r="C4" t="s">
        <v>453</v>
      </c>
    </row>
    <row r="5" spans="1:3" x14ac:dyDescent="0.3">
      <c r="A5" t="s">
        <v>454</v>
      </c>
      <c r="B5" t="s">
        <v>398</v>
      </c>
      <c r="C5" t="s">
        <v>455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211"/>
  <sheetViews>
    <sheetView tabSelected="1" zoomScale="55" zoomScaleNormal="55" workbookViewId="0">
      <pane xSplit="10" ySplit="1" topLeftCell="K2" activePane="bottomRight" state="frozen"/>
      <selection pane="topRight" activeCell="F1" sqref="F1"/>
      <selection pane="bottomLeft" activeCell="A2" sqref="A2"/>
      <selection pane="bottomRight" activeCell="R24" sqref="R24"/>
    </sheetView>
  </sheetViews>
  <sheetFormatPr defaultRowHeight="14.4" x14ac:dyDescent="0.3"/>
  <cols>
    <col min="1" max="6" width="7.3320312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7" width="10.77734375" customWidth="1"/>
    <col min="18" max="18" width="59.44140625" bestFit="1" customWidth="1"/>
  </cols>
  <sheetData>
    <row r="1" spans="1:18" s="9" customFormat="1" ht="48.6" customHeight="1" x14ac:dyDescent="0.3">
      <c r="A1" s="9" t="s">
        <v>402</v>
      </c>
      <c r="B1" s="9" t="s">
        <v>403</v>
      </c>
      <c r="C1" s="9" t="s">
        <v>406</v>
      </c>
      <c r="D1" s="9" t="s">
        <v>420</v>
      </c>
      <c r="E1" s="9" t="s">
        <v>421</v>
      </c>
      <c r="F1" s="9" t="s">
        <v>445</v>
      </c>
      <c r="G1" s="9" t="s">
        <v>404</v>
      </c>
      <c r="H1" s="9" t="s">
        <v>371</v>
      </c>
      <c r="I1" s="9" t="s">
        <v>460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394</v>
      </c>
      <c r="Q1" s="9" t="s">
        <v>396</v>
      </c>
      <c r="R1" s="9" t="s">
        <v>426</v>
      </c>
    </row>
    <row r="2" spans="1:18" s="1" customFormat="1" x14ac:dyDescent="0.3">
      <c r="A2" s="1" t="s">
        <v>461</v>
      </c>
      <c r="G2" s="1" t="s">
        <v>459</v>
      </c>
      <c r="H2" s="1" t="s">
        <v>446</v>
      </c>
    </row>
    <row r="3" spans="1:18" s="1" customFormat="1" x14ac:dyDescent="0.3">
      <c r="B3" s="1" t="s">
        <v>405</v>
      </c>
      <c r="G3" s="1" t="s">
        <v>405</v>
      </c>
      <c r="H3" s="1" t="s">
        <v>408</v>
      </c>
    </row>
    <row r="4" spans="1:18" s="1" customFormat="1" x14ac:dyDescent="0.3">
      <c r="C4" s="1" t="s">
        <v>411</v>
      </c>
      <c r="G4" s="1" t="s">
        <v>407</v>
      </c>
      <c r="H4" s="1" t="str">
        <f>"tab"&amp;C4</f>
        <v>tabPrincipal</v>
      </c>
      <c r="J4" s="1" t="str">
        <f>C4</f>
        <v>Principal</v>
      </c>
      <c r="K4" s="1" t="str">
        <f t="shared" ref="K4:K9" si="0">J4</f>
        <v>Principal</v>
      </c>
    </row>
    <row r="5" spans="1:18" s="10" customFormat="1" x14ac:dyDescent="0.3">
      <c r="D5" s="10" t="s">
        <v>263</v>
      </c>
      <c r="G5" s="10" t="s">
        <v>410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 t="shared" si="0"/>
        <v>Maison</v>
      </c>
      <c r="L5" s="10" t="s">
        <v>412</v>
      </c>
      <c r="Q5" s="10" t="s">
        <v>401</v>
      </c>
    </row>
    <row r="6" spans="1:18" s="10" customFormat="1" x14ac:dyDescent="0.3">
      <c r="D6" s="10" t="s">
        <v>232</v>
      </c>
      <c r="G6" s="10" t="s">
        <v>410</v>
      </c>
      <c r="H6" s="10" t="str">
        <f>"drop"&amp;D6</f>
        <v>dropSalon</v>
      </c>
      <c r="I6" s="10" t="str">
        <f t="shared" ref="I6:I9" si="1">"cg"&amp;D6</f>
        <v>cgSalon</v>
      </c>
      <c r="J6" s="10" t="str">
        <f>D6</f>
        <v>Salon</v>
      </c>
      <c r="K6" s="10" t="str">
        <f t="shared" si="0"/>
        <v>Salon</v>
      </c>
      <c r="L6" s="10" t="s">
        <v>234</v>
      </c>
      <c r="Q6" s="10" t="s">
        <v>397</v>
      </c>
    </row>
    <row r="7" spans="1:18" s="10" customFormat="1" x14ac:dyDescent="0.3">
      <c r="D7" s="10" t="s">
        <v>247</v>
      </c>
      <c r="G7" s="10" t="s">
        <v>410</v>
      </c>
      <c r="H7" s="10" t="str">
        <f>"drop"&amp;D7</f>
        <v>dropStudio</v>
      </c>
      <c r="I7" s="10" t="str">
        <f t="shared" si="1"/>
        <v>cgStudio</v>
      </c>
      <c r="J7" s="10" t="str">
        <f>D7</f>
        <v>Studio</v>
      </c>
      <c r="K7" s="10" t="str">
        <f t="shared" si="0"/>
        <v>Studio</v>
      </c>
      <c r="L7" s="10" t="s">
        <v>234</v>
      </c>
      <c r="Q7" s="10" t="s">
        <v>397</v>
      </c>
    </row>
    <row r="8" spans="1:18" s="10" customFormat="1" x14ac:dyDescent="0.3">
      <c r="D8" s="10" t="s">
        <v>273</v>
      </c>
      <c r="G8" s="10" t="s">
        <v>410</v>
      </c>
      <c r="H8" s="10" t="str">
        <f>"drop"&amp;D8</f>
        <v>dropTV</v>
      </c>
      <c r="I8" s="10" t="str">
        <f t="shared" si="1"/>
        <v>cgTV</v>
      </c>
      <c r="J8" s="10" t="str">
        <f>D8</f>
        <v>TV</v>
      </c>
      <c r="K8" s="10" t="str">
        <f t="shared" si="0"/>
        <v>TV</v>
      </c>
      <c r="L8" s="10" t="s">
        <v>414</v>
      </c>
      <c r="Q8" s="10" t="s">
        <v>399</v>
      </c>
    </row>
    <row r="9" spans="1:18" s="10" customFormat="1" x14ac:dyDescent="0.3">
      <c r="D9" s="10" t="s">
        <v>415</v>
      </c>
      <c r="G9" s="10" t="s">
        <v>410</v>
      </c>
      <c r="H9" s="10" t="str">
        <f>"drop"&amp;D9</f>
        <v>dropVP</v>
      </c>
      <c r="I9" s="10" t="str">
        <f t="shared" si="1"/>
        <v>cgVP</v>
      </c>
      <c r="J9" s="10" t="str">
        <f>D9</f>
        <v>VP</v>
      </c>
      <c r="K9" s="10" t="str">
        <f t="shared" si="0"/>
        <v>VP</v>
      </c>
      <c r="L9" s="10" t="s">
        <v>416</v>
      </c>
      <c r="Q9" s="10" t="s">
        <v>399</v>
      </c>
    </row>
    <row r="10" spans="1:18" x14ac:dyDescent="0.3">
      <c r="D10" t="s">
        <v>413</v>
      </c>
      <c r="G10" t="s">
        <v>413</v>
      </c>
      <c r="J10" s="7"/>
      <c r="K10" s="7"/>
    </row>
    <row r="11" spans="1:18" x14ac:dyDescent="0.3">
      <c r="D11" t="s">
        <v>417</v>
      </c>
      <c r="G11" t="s">
        <v>417</v>
      </c>
      <c r="I11" t="s">
        <v>423</v>
      </c>
      <c r="J11" s="7"/>
      <c r="K11" s="7"/>
    </row>
    <row r="12" spans="1:18" x14ac:dyDescent="0.3">
      <c r="D12" t="s">
        <v>413</v>
      </c>
      <c r="G12" t="s">
        <v>413</v>
      </c>
      <c r="J12" s="7"/>
      <c r="K12" s="7"/>
    </row>
    <row r="13" spans="1:18" x14ac:dyDescent="0.3">
      <c r="D13" t="s">
        <v>426</v>
      </c>
      <c r="G13" t="s">
        <v>426</v>
      </c>
      <c r="J13" s="7" t="s">
        <v>232</v>
      </c>
      <c r="K13" s="7" t="str">
        <f>J13</f>
        <v>Salon</v>
      </c>
      <c r="R13" t="s">
        <v>427</v>
      </c>
    </row>
    <row r="14" spans="1:18" x14ac:dyDescent="0.3">
      <c r="D14" t="s">
        <v>413</v>
      </c>
      <c r="G14" t="s">
        <v>413</v>
      </c>
      <c r="J14" s="7"/>
      <c r="K14" s="7"/>
    </row>
    <row r="15" spans="1:18" s="1" customFormat="1" x14ac:dyDescent="0.3">
      <c r="C15" s="1" t="s">
        <v>471</v>
      </c>
      <c r="G15" s="1" t="s">
        <v>407</v>
      </c>
      <c r="H15" s="1" t="str">
        <f>"tab"&amp;C15</f>
        <v>tabTest</v>
      </c>
      <c r="J15" s="1" t="str">
        <f>C15</f>
        <v>Test</v>
      </c>
      <c r="K15" s="1" t="str">
        <f>J15</f>
        <v>Test</v>
      </c>
    </row>
    <row r="16" spans="1:18" s="10" customFormat="1" x14ac:dyDescent="0.3">
      <c r="D16" s="10" t="s">
        <v>273</v>
      </c>
      <c r="G16" s="10" t="s">
        <v>472</v>
      </c>
      <c r="I16" s="10" t="s">
        <v>423</v>
      </c>
      <c r="L16" s="10" t="s">
        <v>414</v>
      </c>
      <c r="Q16" s="10" t="s">
        <v>399</v>
      </c>
    </row>
    <row r="17" spans="1:17" x14ac:dyDescent="0.3">
      <c r="D17" t="s">
        <v>413</v>
      </c>
      <c r="G17" t="s">
        <v>413</v>
      </c>
      <c r="J17" s="7"/>
      <c r="K17" s="7"/>
    </row>
    <row r="18" spans="1:17" x14ac:dyDescent="0.3">
      <c r="D18" t="s">
        <v>417</v>
      </c>
      <c r="G18" t="s">
        <v>417</v>
      </c>
      <c r="I18" t="s">
        <v>423</v>
      </c>
      <c r="J18" s="7"/>
      <c r="K18" s="7"/>
    </row>
    <row r="19" spans="1:17" x14ac:dyDescent="0.3">
      <c r="D19" t="s">
        <v>413</v>
      </c>
      <c r="G19" t="s">
        <v>413</v>
      </c>
      <c r="J19" s="7"/>
      <c r="K19" s="7"/>
    </row>
    <row r="20" spans="1:17" s="1" customFormat="1" x14ac:dyDescent="0.3">
      <c r="C20" s="1" t="s">
        <v>428</v>
      </c>
      <c r="G20" s="1" t="s">
        <v>407</v>
      </c>
      <c r="H20" s="1" t="str">
        <f>"tab"&amp;C20</f>
        <v>tabMédia</v>
      </c>
      <c r="J20" s="1" t="str">
        <f>C20</f>
        <v>Média</v>
      </c>
      <c r="K20" s="1" t="str">
        <f>J20</f>
        <v>Média</v>
      </c>
    </row>
    <row r="21" spans="1:17" s="10" customFormat="1" x14ac:dyDescent="0.3">
      <c r="D21" s="10" t="s">
        <v>273</v>
      </c>
      <c r="G21" s="10" t="s">
        <v>410</v>
      </c>
      <c r="H21" s="10" t="str">
        <f>"drop"&amp;D21</f>
        <v>dropTV</v>
      </c>
      <c r="I21" s="10" t="str">
        <f t="shared" ref="I21:I22" si="2">"cg"&amp;D21</f>
        <v>cgTV</v>
      </c>
      <c r="J21" s="10" t="str">
        <f>D21</f>
        <v>TV</v>
      </c>
      <c r="K21" s="10" t="str">
        <f>J21</f>
        <v>TV</v>
      </c>
      <c r="L21" s="10" t="s">
        <v>414</v>
      </c>
      <c r="Q21" s="10" t="s">
        <v>399</v>
      </c>
    </row>
    <row r="22" spans="1:17" s="10" customFormat="1" x14ac:dyDescent="0.3">
      <c r="D22" s="10" t="s">
        <v>415</v>
      </c>
      <c r="G22" s="10" t="s">
        <v>410</v>
      </c>
      <c r="H22" s="10" t="str">
        <f>"drop"&amp;D22</f>
        <v>dropVP</v>
      </c>
      <c r="I22" s="10" t="str">
        <f t="shared" si="2"/>
        <v>cgVP</v>
      </c>
      <c r="J22" s="10" t="str">
        <f>D22</f>
        <v>VP</v>
      </c>
      <c r="K22" s="10" t="str">
        <f>J22</f>
        <v>VP</v>
      </c>
      <c r="L22" s="10" t="s">
        <v>416</v>
      </c>
      <c r="Q22" s="10" t="s">
        <v>399</v>
      </c>
    </row>
    <row r="23" spans="1:17" x14ac:dyDescent="0.3">
      <c r="D23" t="s">
        <v>413</v>
      </c>
      <c r="G23" t="s">
        <v>413</v>
      </c>
      <c r="J23" s="7"/>
      <c r="K23" s="7"/>
    </row>
    <row r="24" spans="1:17" x14ac:dyDescent="0.3">
      <c r="D24" t="s">
        <v>417</v>
      </c>
      <c r="G24" t="s">
        <v>417</v>
      </c>
      <c r="I24" t="s">
        <v>423</v>
      </c>
      <c r="J24" s="7"/>
      <c r="K24" s="7"/>
    </row>
    <row r="25" spans="1:17" x14ac:dyDescent="0.3">
      <c r="D25" t="s">
        <v>413</v>
      </c>
      <c r="G25" t="s">
        <v>413</v>
      </c>
      <c r="J25" s="7"/>
      <c r="K25" s="7"/>
    </row>
    <row r="26" spans="1:17" s="1" customFormat="1" x14ac:dyDescent="0.3">
      <c r="C26" s="1" t="s">
        <v>232</v>
      </c>
      <c r="G26" s="1" t="s">
        <v>407</v>
      </c>
      <c r="H26" s="1" t="str">
        <f>"tab"&amp;C26</f>
        <v>tabSalon</v>
      </c>
      <c r="J26" s="1" t="str">
        <f>C26</f>
        <v>Salon</v>
      </c>
      <c r="K26" s="1" t="str">
        <f>J26</f>
        <v>Salon</v>
      </c>
    </row>
    <row r="27" spans="1:17" x14ac:dyDescent="0.3">
      <c r="D27" t="s">
        <v>417</v>
      </c>
      <c r="G27" t="s">
        <v>417</v>
      </c>
      <c r="I27" t="s">
        <v>418</v>
      </c>
      <c r="J27" s="7"/>
      <c r="K27" s="7"/>
    </row>
    <row r="28" spans="1:17" s="1" customFormat="1" x14ac:dyDescent="0.3">
      <c r="C28" s="1" t="s">
        <v>247</v>
      </c>
      <c r="G28" s="1" t="s">
        <v>407</v>
      </c>
      <c r="H28" s="1" t="str">
        <f>"tab"&amp;C28</f>
        <v>tabStudio</v>
      </c>
      <c r="J28" s="1" t="str">
        <f>C28</f>
        <v>Studio</v>
      </c>
      <c r="K28" s="1" t="str">
        <f>J28</f>
        <v>Studio</v>
      </c>
    </row>
    <row r="29" spans="1:17" x14ac:dyDescent="0.3">
      <c r="D29" t="s">
        <v>417</v>
      </c>
      <c r="G29" t="s">
        <v>417</v>
      </c>
      <c r="I29" t="s">
        <v>419</v>
      </c>
      <c r="J29" s="7"/>
      <c r="K29" s="7"/>
    </row>
    <row r="30" spans="1:17" s="1" customFormat="1" x14ac:dyDescent="0.3">
      <c r="C30" s="1" t="s">
        <v>409</v>
      </c>
      <c r="G30" s="1" t="s">
        <v>407</v>
      </c>
      <c r="H30" s="1" t="str">
        <f>"tab"&amp;C30</f>
        <v>tabDevices</v>
      </c>
      <c r="J30" s="1" t="str">
        <f>C30</f>
        <v>Devices</v>
      </c>
      <c r="K30" s="1" t="str">
        <f>J30</f>
        <v>Devices</v>
      </c>
    </row>
    <row r="31" spans="1:17" x14ac:dyDescent="0.3">
      <c r="D31" t="s">
        <v>409</v>
      </c>
      <c r="G31" t="s">
        <v>429</v>
      </c>
      <c r="J31" s="7"/>
      <c r="K31" s="7"/>
      <c r="L31" t="s">
        <v>409</v>
      </c>
      <c r="Q31" t="s">
        <v>399</v>
      </c>
    </row>
    <row r="32" spans="1:17" s="1" customFormat="1" x14ac:dyDescent="0.3">
      <c r="A32" s="1" t="s">
        <v>461</v>
      </c>
      <c r="G32" s="1" t="s">
        <v>459</v>
      </c>
      <c r="H32" s="1" t="s">
        <v>423</v>
      </c>
    </row>
    <row r="33" spans="1:18" x14ac:dyDescent="0.3">
      <c r="D33" t="s">
        <v>424</v>
      </c>
      <c r="G33" t="s">
        <v>424</v>
      </c>
      <c r="J33" s="7" t="s">
        <v>431</v>
      </c>
      <c r="K33" s="7" t="str">
        <f>J33</f>
        <v>Ampli</v>
      </c>
    </row>
    <row r="34" spans="1:18" x14ac:dyDescent="0.3">
      <c r="D34" t="s">
        <v>422</v>
      </c>
      <c r="G34" t="s">
        <v>422</v>
      </c>
      <c r="H34" t="s">
        <v>45</v>
      </c>
      <c r="J34" t="s">
        <v>305</v>
      </c>
      <c r="K34" t="s">
        <v>305</v>
      </c>
      <c r="M34" t="s">
        <v>336</v>
      </c>
      <c r="N34" t="str">
        <f>H34</f>
        <v>ampli.volm</v>
      </c>
    </row>
    <row r="35" spans="1:18" x14ac:dyDescent="0.3">
      <c r="D35" t="s">
        <v>422</v>
      </c>
      <c r="G35" t="s">
        <v>422</v>
      </c>
      <c r="H35" t="s">
        <v>44</v>
      </c>
      <c r="J35" t="s">
        <v>304</v>
      </c>
      <c r="K35" t="s">
        <v>304</v>
      </c>
      <c r="M35" t="s">
        <v>336</v>
      </c>
      <c r="N35" t="str">
        <f>H35</f>
        <v>ampli.volp</v>
      </c>
    </row>
    <row r="36" spans="1:18" x14ac:dyDescent="0.3">
      <c r="D36" t="s">
        <v>422</v>
      </c>
      <c r="G36" t="s">
        <v>422</v>
      </c>
      <c r="H36" t="s">
        <v>46</v>
      </c>
      <c r="J36" t="s">
        <v>283</v>
      </c>
      <c r="K36" t="s">
        <v>283</v>
      </c>
      <c r="M36" t="s">
        <v>336</v>
      </c>
      <c r="N36" t="str">
        <f>H36</f>
        <v>ampli.mute</v>
      </c>
      <c r="P36" s="7" t="s">
        <v>395</v>
      </c>
      <c r="Q36" s="7"/>
      <c r="R36" s="7"/>
    </row>
    <row r="37" spans="1:18" s="1" customFormat="1" x14ac:dyDescent="0.3">
      <c r="A37" s="1" t="s">
        <v>461</v>
      </c>
      <c r="G37" s="1" t="s">
        <v>459</v>
      </c>
      <c r="H37" s="1" t="s">
        <v>456</v>
      </c>
    </row>
    <row r="38" spans="1:18" x14ac:dyDescent="0.3">
      <c r="D38" t="s">
        <v>424</v>
      </c>
      <c r="G38" t="s">
        <v>424</v>
      </c>
      <c r="J38" s="7" t="s">
        <v>457</v>
      </c>
      <c r="K38" s="7" t="str">
        <f>J38</f>
        <v>Jardin</v>
      </c>
    </row>
    <row r="39" spans="1:18" x14ac:dyDescent="0.3">
      <c r="D39" t="s">
        <v>422</v>
      </c>
      <c r="G39" t="s">
        <v>422</v>
      </c>
      <c r="H39" t="s">
        <v>264</v>
      </c>
      <c r="J39" t="s">
        <v>266</v>
      </c>
      <c r="K39" t="s">
        <v>325</v>
      </c>
      <c r="L39" t="s">
        <v>266</v>
      </c>
      <c r="M39" t="s">
        <v>336</v>
      </c>
      <c r="N39" t="str">
        <f>H39</f>
        <v>jardin.on</v>
      </c>
    </row>
    <row r="40" spans="1:18" x14ac:dyDescent="0.3">
      <c r="D40" t="s">
        <v>422</v>
      </c>
      <c r="G40" t="s">
        <v>422</v>
      </c>
      <c r="H40" t="s">
        <v>265</v>
      </c>
      <c r="J40" t="s">
        <v>267</v>
      </c>
      <c r="K40" t="s">
        <v>326</v>
      </c>
      <c r="L40" t="s">
        <v>267</v>
      </c>
      <c r="M40" t="s">
        <v>336</v>
      </c>
      <c r="N40" t="str">
        <f>H40</f>
        <v>jardin.off</v>
      </c>
      <c r="P40" s="7" t="s">
        <v>395</v>
      </c>
      <c r="Q40" s="7"/>
      <c r="R40" s="7"/>
    </row>
    <row r="41" spans="1:18" x14ac:dyDescent="0.3">
      <c r="D41" t="s">
        <v>424</v>
      </c>
      <c r="G41" t="s">
        <v>424</v>
      </c>
      <c r="J41" s="7" t="s">
        <v>458</v>
      </c>
      <c r="K41" s="7" t="str">
        <f>J41</f>
        <v>Volets</v>
      </c>
    </row>
    <row r="42" spans="1:18" x14ac:dyDescent="0.3">
      <c r="D42" t="s">
        <v>422</v>
      </c>
      <c r="G42" t="s">
        <v>422</v>
      </c>
      <c r="H42" t="s">
        <v>270</v>
      </c>
      <c r="J42" t="s">
        <v>344</v>
      </c>
      <c r="K42" t="s">
        <v>462</v>
      </c>
      <c r="L42" t="s">
        <v>268</v>
      </c>
      <c r="M42" t="s">
        <v>336</v>
      </c>
      <c r="N42" t="str">
        <f>H42</f>
        <v>volets.on</v>
      </c>
    </row>
    <row r="43" spans="1:18" x14ac:dyDescent="0.3">
      <c r="D43" t="s">
        <v>422</v>
      </c>
      <c r="G43" t="s">
        <v>422</v>
      </c>
      <c r="H43" t="s">
        <v>271</v>
      </c>
      <c r="J43" t="s">
        <v>345</v>
      </c>
      <c r="K43" t="s">
        <v>463</v>
      </c>
      <c r="L43" t="s">
        <v>269</v>
      </c>
      <c r="M43" t="s">
        <v>336</v>
      </c>
      <c r="N43" t="str">
        <f>H43</f>
        <v>volets.off</v>
      </c>
      <c r="P43" s="7" t="s">
        <v>395</v>
      </c>
      <c r="Q43" s="7"/>
      <c r="R43" s="7"/>
    </row>
    <row r="44" spans="1:18" s="1" customFormat="1" x14ac:dyDescent="0.3">
      <c r="A44" s="1" t="s">
        <v>461</v>
      </c>
      <c r="G44" s="1" t="s">
        <v>459</v>
      </c>
      <c r="H44" s="1" t="s">
        <v>418</v>
      </c>
    </row>
    <row r="45" spans="1:18" x14ac:dyDescent="0.3">
      <c r="D45" t="s">
        <v>424</v>
      </c>
      <c r="G45" t="s">
        <v>424</v>
      </c>
      <c r="J45" s="7" t="s">
        <v>430</v>
      </c>
      <c r="K45" s="7" t="str">
        <f>J45</f>
        <v>Lumières</v>
      </c>
    </row>
    <row r="46" spans="1:18" x14ac:dyDescent="0.3">
      <c r="D46" t="s">
        <v>422</v>
      </c>
      <c r="G46" t="s">
        <v>422</v>
      </c>
      <c r="H46" t="s">
        <v>52</v>
      </c>
      <c r="J46" t="s">
        <v>236</v>
      </c>
      <c r="K46" t="s">
        <v>325</v>
      </c>
      <c r="L46" t="s">
        <v>236</v>
      </c>
      <c r="M46" t="s">
        <v>336</v>
      </c>
      <c r="N46" t="str">
        <f t="shared" ref="N46:N62" si="3">H46</f>
        <v>salon.on</v>
      </c>
    </row>
    <row r="47" spans="1:18" x14ac:dyDescent="0.3">
      <c r="D47" t="s">
        <v>422</v>
      </c>
      <c r="G47" t="s">
        <v>422</v>
      </c>
      <c r="H47" t="s">
        <v>51</v>
      </c>
      <c r="J47" t="s">
        <v>235</v>
      </c>
      <c r="K47" t="s">
        <v>326</v>
      </c>
      <c r="L47" t="s">
        <v>235</v>
      </c>
      <c r="M47" t="s">
        <v>336</v>
      </c>
      <c r="N47" t="str">
        <f t="shared" si="3"/>
        <v>salon.off</v>
      </c>
      <c r="P47" s="7" t="s">
        <v>395</v>
      </c>
      <c r="Q47" s="7"/>
      <c r="R47" s="7"/>
    </row>
    <row r="48" spans="1:18" x14ac:dyDescent="0.3">
      <c r="D48" t="s">
        <v>464</v>
      </c>
      <c r="G48" t="s">
        <v>464</v>
      </c>
      <c r="H48" t="s">
        <v>382</v>
      </c>
      <c r="J48">
        <v>1</v>
      </c>
      <c r="K48">
        <v>1</v>
      </c>
      <c r="L48" t="s">
        <v>466</v>
      </c>
      <c r="O48" t="s">
        <v>382</v>
      </c>
      <c r="P48" s="7" t="s">
        <v>395</v>
      </c>
      <c r="Q48" s="7"/>
      <c r="R48" s="7"/>
    </row>
    <row r="49" spans="1:18" x14ac:dyDescent="0.3">
      <c r="E49" t="s">
        <v>422</v>
      </c>
      <c r="G49" t="s">
        <v>422</v>
      </c>
      <c r="H49" t="s">
        <v>4</v>
      </c>
      <c r="J49" t="s">
        <v>237</v>
      </c>
      <c r="K49" t="s">
        <v>325</v>
      </c>
      <c r="L49" t="s">
        <v>237</v>
      </c>
      <c r="M49" t="s">
        <v>336</v>
      </c>
      <c r="N49" t="str">
        <f t="shared" si="3"/>
        <v>salon.1.on</v>
      </c>
    </row>
    <row r="50" spans="1:18" x14ac:dyDescent="0.3">
      <c r="E50" t="s">
        <v>422</v>
      </c>
      <c r="G50" t="s">
        <v>422</v>
      </c>
      <c r="H50" t="s">
        <v>9</v>
      </c>
      <c r="J50" t="s">
        <v>246</v>
      </c>
      <c r="K50" t="s">
        <v>326</v>
      </c>
      <c r="L50" t="s">
        <v>246</v>
      </c>
      <c r="M50" t="s">
        <v>336</v>
      </c>
      <c r="N50" t="str">
        <f t="shared" si="3"/>
        <v>salon.1.off</v>
      </c>
      <c r="Q50" s="7"/>
      <c r="R50" s="7"/>
    </row>
    <row r="51" spans="1:18" x14ac:dyDescent="0.3">
      <c r="D51" t="s">
        <v>464</v>
      </c>
      <c r="G51" t="s">
        <v>464</v>
      </c>
      <c r="H51" t="s">
        <v>383</v>
      </c>
      <c r="J51">
        <v>2</v>
      </c>
      <c r="K51">
        <v>2</v>
      </c>
      <c r="L51" t="s">
        <v>465</v>
      </c>
      <c r="O51" t="s">
        <v>383</v>
      </c>
      <c r="P51" s="7" t="s">
        <v>395</v>
      </c>
      <c r="Q51" s="7"/>
      <c r="R51" s="7"/>
    </row>
    <row r="52" spans="1:18" x14ac:dyDescent="0.3">
      <c r="E52" t="s">
        <v>422</v>
      </c>
      <c r="G52" t="s">
        <v>422</v>
      </c>
      <c r="H52" t="s">
        <v>5</v>
      </c>
      <c r="J52" t="s">
        <v>238</v>
      </c>
      <c r="K52" t="s">
        <v>325</v>
      </c>
      <c r="L52" t="s">
        <v>238</v>
      </c>
      <c r="M52" t="s">
        <v>336</v>
      </c>
      <c r="N52" t="str">
        <f t="shared" si="3"/>
        <v>salon.2.on</v>
      </c>
    </row>
    <row r="53" spans="1:18" x14ac:dyDescent="0.3">
      <c r="E53" t="s">
        <v>422</v>
      </c>
      <c r="G53" t="s">
        <v>422</v>
      </c>
      <c r="H53" t="s">
        <v>10</v>
      </c>
      <c r="J53" t="s">
        <v>239</v>
      </c>
      <c r="K53" t="s">
        <v>326</v>
      </c>
      <c r="L53" t="s">
        <v>239</v>
      </c>
      <c r="M53" t="s">
        <v>336</v>
      </c>
      <c r="N53" t="str">
        <f t="shared" si="3"/>
        <v>salon.2.off</v>
      </c>
      <c r="P53" s="7"/>
      <c r="Q53" s="7"/>
      <c r="R53" s="7"/>
    </row>
    <row r="54" spans="1:18" x14ac:dyDescent="0.3">
      <c r="D54" t="s">
        <v>464</v>
      </c>
      <c r="G54" t="s">
        <v>464</v>
      </c>
      <c r="H54" t="s">
        <v>384</v>
      </c>
      <c r="J54">
        <v>3</v>
      </c>
      <c r="K54">
        <v>3</v>
      </c>
      <c r="L54" t="s">
        <v>467</v>
      </c>
      <c r="O54" t="s">
        <v>384</v>
      </c>
      <c r="P54" s="7" t="s">
        <v>395</v>
      </c>
      <c r="Q54" s="7"/>
      <c r="R54" s="7"/>
    </row>
    <row r="55" spans="1:18" x14ac:dyDescent="0.3">
      <c r="E55" t="s">
        <v>422</v>
      </c>
      <c r="G55" t="s">
        <v>422</v>
      </c>
      <c r="H55" t="s">
        <v>6</v>
      </c>
      <c r="J55" t="s">
        <v>240</v>
      </c>
      <c r="K55" t="s">
        <v>325</v>
      </c>
      <c r="L55" t="s">
        <v>240</v>
      </c>
      <c r="M55" t="s">
        <v>336</v>
      </c>
      <c r="N55" t="str">
        <f t="shared" si="3"/>
        <v>salon.3.on</v>
      </c>
    </row>
    <row r="56" spans="1:18" x14ac:dyDescent="0.3">
      <c r="E56" t="s">
        <v>422</v>
      </c>
      <c r="G56" t="s">
        <v>422</v>
      </c>
      <c r="H56" t="s">
        <v>11</v>
      </c>
      <c r="J56" t="s">
        <v>241</v>
      </c>
      <c r="K56" t="s">
        <v>326</v>
      </c>
      <c r="L56" t="s">
        <v>241</v>
      </c>
      <c r="M56" t="s">
        <v>336</v>
      </c>
      <c r="N56" t="str">
        <f t="shared" si="3"/>
        <v>salon.3.off</v>
      </c>
      <c r="P56" s="7"/>
      <c r="Q56" s="7"/>
      <c r="R56" s="7"/>
    </row>
    <row r="57" spans="1:18" x14ac:dyDescent="0.3">
      <c r="D57" t="s">
        <v>464</v>
      </c>
      <c r="G57" t="s">
        <v>464</v>
      </c>
      <c r="H57" t="s">
        <v>385</v>
      </c>
      <c r="J57">
        <v>4</v>
      </c>
      <c r="K57">
        <v>4</v>
      </c>
      <c r="L57" t="s">
        <v>468</v>
      </c>
      <c r="O57" t="s">
        <v>385</v>
      </c>
      <c r="P57" s="7" t="s">
        <v>395</v>
      </c>
      <c r="Q57" s="7"/>
      <c r="R57" s="7"/>
    </row>
    <row r="58" spans="1:18" x14ac:dyDescent="0.3">
      <c r="E58" t="s">
        <v>422</v>
      </c>
      <c r="G58" t="s">
        <v>422</v>
      </c>
      <c r="H58" t="s">
        <v>12</v>
      </c>
      <c r="J58" t="s">
        <v>242</v>
      </c>
      <c r="K58" t="s">
        <v>325</v>
      </c>
      <c r="L58" t="s">
        <v>242</v>
      </c>
      <c r="M58" t="s">
        <v>336</v>
      </c>
      <c r="N58" t="str">
        <f t="shared" si="3"/>
        <v>salon.4.on</v>
      </c>
    </row>
    <row r="59" spans="1:18" x14ac:dyDescent="0.3">
      <c r="E59" t="s">
        <v>422</v>
      </c>
      <c r="G59" t="s">
        <v>422</v>
      </c>
      <c r="H59" t="s">
        <v>14</v>
      </c>
      <c r="J59" t="s">
        <v>243</v>
      </c>
      <c r="K59" t="s">
        <v>326</v>
      </c>
      <c r="L59" t="s">
        <v>243</v>
      </c>
      <c r="M59" t="s">
        <v>336</v>
      </c>
      <c r="N59" t="str">
        <f t="shared" si="3"/>
        <v>salon.4.off</v>
      </c>
      <c r="P59" s="7"/>
      <c r="Q59" s="7"/>
      <c r="R59" s="7"/>
    </row>
    <row r="60" spans="1:18" x14ac:dyDescent="0.3">
      <c r="D60" t="s">
        <v>464</v>
      </c>
      <c r="G60" t="s">
        <v>464</v>
      </c>
      <c r="H60" t="s">
        <v>386</v>
      </c>
      <c r="J60">
        <v>5</v>
      </c>
      <c r="K60">
        <v>5</v>
      </c>
      <c r="L60" t="s">
        <v>469</v>
      </c>
      <c r="O60" t="s">
        <v>386</v>
      </c>
      <c r="P60" s="7" t="s">
        <v>395</v>
      </c>
      <c r="Q60" s="7"/>
      <c r="R60" s="7"/>
    </row>
    <row r="61" spans="1:18" x14ac:dyDescent="0.3">
      <c r="E61" t="s">
        <v>422</v>
      </c>
      <c r="G61" t="s">
        <v>422</v>
      </c>
      <c r="H61" t="s">
        <v>13</v>
      </c>
      <c r="J61" t="s">
        <v>244</v>
      </c>
      <c r="K61" t="s">
        <v>325</v>
      </c>
      <c r="L61" t="s">
        <v>244</v>
      </c>
      <c r="M61" t="s">
        <v>336</v>
      </c>
      <c r="N61" t="str">
        <f t="shared" si="3"/>
        <v>salon.5.on</v>
      </c>
    </row>
    <row r="62" spans="1:18" x14ac:dyDescent="0.3">
      <c r="E62" t="s">
        <v>422</v>
      </c>
      <c r="G62" t="s">
        <v>422</v>
      </c>
      <c r="H62" t="s">
        <v>15</v>
      </c>
      <c r="J62" t="s">
        <v>245</v>
      </c>
      <c r="K62" t="s">
        <v>326</v>
      </c>
      <c r="L62" t="s">
        <v>245</v>
      </c>
      <c r="M62" t="s">
        <v>336</v>
      </c>
      <c r="N62" t="str">
        <f t="shared" si="3"/>
        <v>salon.5.off</v>
      </c>
      <c r="P62" s="7"/>
      <c r="Q62" s="7"/>
      <c r="R62" s="7"/>
    </row>
    <row r="63" spans="1:18" s="1" customFormat="1" x14ac:dyDescent="0.3">
      <c r="A63" s="1" t="s">
        <v>461</v>
      </c>
      <c r="G63" s="1" t="s">
        <v>459</v>
      </c>
      <c r="H63" s="1" t="s">
        <v>419</v>
      </c>
    </row>
    <row r="64" spans="1:18" x14ac:dyDescent="0.3">
      <c r="D64" t="s">
        <v>424</v>
      </c>
      <c r="G64" t="s">
        <v>424</v>
      </c>
      <c r="J64" s="7" t="s">
        <v>430</v>
      </c>
      <c r="K64" s="7" t="str">
        <f>J64</f>
        <v>Lumières</v>
      </c>
    </row>
    <row r="65" spans="1:18" x14ac:dyDescent="0.3">
      <c r="D65" t="s">
        <v>422</v>
      </c>
      <c r="G65" t="s">
        <v>422</v>
      </c>
      <c r="H65" t="s">
        <v>261</v>
      </c>
      <c r="J65" t="s">
        <v>249</v>
      </c>
      <c r="K65" t="s">
        <v>325</v>
      </c>
      <c r="L65" t="s">
        <v>249</v>
      </c>
      <c r="M65" t="s">
        <v>336</v>
      </c>
      <c r="N65" t="str">
        <f t="shared" ref="N65:N76" si="4">H65</f>
        <v>studio.on</v>
      </c>
    </row>
    <row r="66" spans="1:18" x14ac:dyDescent="0.3">
      <c r="D66" t="s">
        <v>422</v>
      </c>
      <c r="G66" t="s">
        <v>422</v>
      </c>
      <c r="H66" t="s">
        <v>262</v>
      </c>
      <c r="J66" t="s">
        <v>250</v>
      </c>
      <c r="K66" t="s">
        <v>326</v>
      </c>
      <c r="L66" t="s">
        <v>250</v>
      </c>
      <c r="M66" t="s">
        <v>336</v>
      </c>
      <c r="N66" t="str">
        <f t="shared" si="4"/>
        <v>studio.off</v>
      </c>
      <c r="P66" s="7" t="s">
        <v>395</v>
      </c>
      <c r="Q66" s="7"/>
      <c r="R66" s="7"/>
    </row>
    <row r="67" spans="1:18" x14ac:dyDescent="0.3">
      <c r="D67" t="s">
        <v>422</v>
      </c>
      <c r="G67" t="s">
        <v>422</v>
      </c>
      <c r="H67" t="s">
        <v>372</v>
      </c>
      <c r="J67" t="s">
        <v>251</v>
      </c>
      <c r="K67" t="s">
        <v>355</v>
      </c>
      <c r="L67" t="s">
        <v>251</v>
      </c>
      <c r="M67" t="s">
        <v>336</v>
      </c>
      <c r="N67" t="str">
        <f t="shared" si="4"/>
        <v>studio.1.on</v>
      </c>
      <c r="O67" t="s">
        <v>387</v>
      </c>
    </row>
    <row r="68" spans="1:18" x14ac:dyDescent="0.3">
      <c r="D68" t="s">
        <v>422</v>
      </c>
      <c r="G68" t="s">
        <v>422</v>
      </c>
      <c r="H68" t="s">
        <v>373</v>
      </c>
      <c r="J68" t="s">
        <v>252</v>
      </c>
      <c r="K68" t="s">
        <v>356</v>
      </c>
      <c r="L68" t="s">
        <v>252</v>
      </c>
      <c r="M68" t="s">
        <v>336</v>
      </c>
      <c r="N68" t="str">
        <f t="shared" si="4"/>
        <v>studio.1.off</v>
      </c>
      <c r="O68" t="s">
        <v>387</v>
      </c>
      <c r="P68" s="7" t="s">
        <v>395</v>
      </c>
      <c r="Q68" s="7"/>
      <c r="R68" s="7"/>
    </row>
    <row r="69" spans="1:18" x14ac:dyDescent="0.3">
      <c r="D69" t="s">
        <v>422</v>
      </c>
      <c r="G69" t="s">
        <v>422</v>
      </c>
      <c r="H69" t="s">
        <v>374</v>
      </c>
      <c r="J69" t="s">
        <v>253</v>
      </c>
      <c r="K69" t="s">
        <v>357</v>
      </c>
      <c r="L69" t="s">
        <v>253</v>
      </c>
      <c r="M69" t="s">
        <v>336</v>
      </c>
      <c r="N69" t="str">
        <f t="shared" si="4"/>
        <v>studio.2.on</v>
      </c>
      <c r="O69" t="s">
        <v>388</v>
      </c>
    </row>
    <row r="70" spans="1:18" x14ac:dyDescent="0.3">
      <c r="D70" t="s">
        <v>422</v>
      </c>
      <c r="G70" t="s">
        <v>422</v>
      </c>
      <c r="H70" t="s">
        <v>375</v>
      </c>
      <c r="J70" t="s">
        <v>254</v>
      </c>
      <c r="K70" t="s">
        <v>358</v>
      </c>
      <c r="L70" t="s">
        <v>254</v>
      </c>
      <c r="M70" t="s">
        <v>336</v>
      </c>
      <c r="N70" t="str">
        <f t="shared" si="4"/>
        <v>studio.2.off</v>
      </c>
      <c r="O70" t="s">
        <v>388</v>
      </c>
      <c r="P70" s="7" t="s">
        <v>395</v>
      </c>
      <c r="Q70" s="7"/>
      <c r="R70" s="7"/>
    </row>
    <row r="71" spans="1:18" x14ac:dyDescent="0.3">
      <c r="D71" t="s">
        <v>422</v>
      </c>
      <c r="G71" t="s">
        <v>422</v>
      </c>
      <c r="H71" t="s">
        <v>376</v>
      </c>
      <c r="J71" t="s">
        <v>255</v>
      </c>
      <c r="K71" t="s">
        <v>359</v>
      </c>
      <c r="L71" t="s">
        <v>255</v>
      </c>
      <c r="M71" t="s">
        <v>336</v>
      </c>
      <c r="N71" t="str">
        <f t="shared" si="4"/>
        <v>studio.3.on</v>
      </c>
      <c r="O71" t="s">
        <v>389</v>
      </c>
    </row>
    <row r="72" spans="1:18" x14ac:dyDescent="0.3">
      <c r="D72" t="s">
        <v>422</v>
      </c>
      <c r="G72" t="s">
        <v>422</v>
      </c>
      <c r="H72" t="s">
        <v>377</v>
      </c>
      <c r="J72" t="s">
        <v>256</v>
      </c>
      <c r="K72" t="s">
        <v>360</v>
      </c>
      <c r="L72" t="s">
        <v>256</v>
      </c>
      <c r="M72" t="s">
        <v>336</v>
      </c>
      <c r="N72" t="str">
        <f t="shared" si="4"/>
        <v>studio.3.off</v>
      </c>
      <c r="O72" t="s">
        <v>389</v>
      </c>
      <c r="P72" s="7" t="s">
        <v>395</v>
      </c>
      <c r="Q72" s="7"/>
      <c r="R72" s="7"/>
    </row>
    <row r="73" spans="1:18" x14ac:dyDescent="0.3">
      <c r="D73" t="s">
        <v>422</v>
      </c>
      <c r="G73" t="s">
        <v>422</v>
      </c>
      <c r="H73" t="s">
        <v>378</v>
      </c>
      <c r="J73" t="s">
        <v>257</v>
      </c>
      <c r="K73" t="s">
        <v>361</v>
      </c>
      <c r="L73" t="s">
        <v>257</v>
      </c>
      <c r="M73" t="s">
        <v>336</v>
      </c>
      <c r="N73" t="str">
        <f t="shared" si="4"/>
        <v>studio.4.on</v>
      </c>
      <c r="O73" t="s">
        <v>390</v>
      </c>
    </row>
    <row r="74" spans="1:18" x14ac:dyDescent="0.3">
      <c r="D74" t="s">
        <v>422</v>
      </c>
      <c r="G74" t="s">
        <v>422</v>
      </c>
      <c r="H74" t="s">
        <v>379</v>
      </c>
      <c r="J74" t="s">
        <v>258</v>
      </c>
      <c r="K74" t="s">
        <v>362</v>
      </c>
      <c r="L74" t="s">
        <v>258</v>
      </c>
      <c r="M74" t="s">
        <v>336</v>
      </c>
      <c r="N74" t="str">
        <f t="shared" si="4"/>
        <v>studio.4.off</v>
      </c>
      <c r="O74" t="s">
        <v>390</v>
      </c>
      <c r="P74" s="7" t="s">
        <v>395</v>
      </c>
      <c r="Q74" s="7"/>
      <c r="R74" s="7"/>
    </row>
    <row r="75" spans="1:18" x14ac:dyDescent="0.3">
      <c r="D75" t="s">
        <v>422</v>
      </c>
      <c r="G75" t="s">
        <v>422</v>
      </c>
      <c r="H75" t="s">
        <v>380</v>
      </c>
      <c r="J75" t="s">
        <v>259</v>
      </c>
      <c r="K75" t="s">
        <v>363</v>
      </c>
      <c r="L75" t="s">
        <v>259</v>
      </c>
      <c r="M75" t="s">
        <v>336</v>
      </c>
      <c r="N75" t="str">
        <f t="shared" si="4"/>
        <v>studio.5.on</v>
      </c>
      <c r="O75" t="s">
        <v>391</v>
      </c>
    </row>
    <row r="76" spans="1:18" x14ac:dyDescent="0.3">
      <c r="D76" t="s">
        <v>422</v>
      </c>
      <c r="G76" t="s">
        <v>422</v>
      </c>
      <c r="H76" t="s">
        <v>381</v>
      </c>
      <c r="J76" t="s">
        <v>260</v>
      </c>
      <c r="K76" t="s">
        <v>364</v>
      </c>
      <c r="L76" t="s">
        <v>260</v>
      </c>
      <c r="M76" t="s">
        <v>336</v>
      </c>
      <c r="N76" t="str">
        <f t="shared" si="4"/>
        <v>studio.5.off</v>
      </c>
      <c r="O76" t="s">
        <v>391</v>
      </c>
      <c r="P76" s="7" t="s">
        <v>395</v>
      </c>
      <c r="Q76" s="7"/>
      <c r="R76" s="7"/>
    </row>
    <row r="77" spans="1:18" s="1" customFormat="1" x14ac:dyDescent="0.3">
      <c r="A77" s="1" t="s">
        <v>461</v>
      </c>
      <c r="G77" s="1" t="s">
        <v>459</v>
      </c>
      <c r="H77" s="1" t="s">
        <v>432</v>
      </c>
    </row>
    <row r="78" spans="1:18" x14ac:dyDescent="0.3">
      <c r="D78" t="s">
        <v>424</v>
      </c>
      <c r="G78" t="s">
        <v>424</v>
      </c>
      <c r="J78" s="7" t="s">
        <v>285</v>
      </c>
      <c r="K78" s="7" t="str">
        <f>J78</f>
        <v>Macros</v>
      </c>
    </row>
    <row r="79" spans="1:18" x14ac:dyDescent="0.3">
      <c r="D79" t="s">
        <v>422</v>
      </c>
      <c r="G79" t="s">
        <v>422</v>
      </c>
      <c r="H79" t="s">
        <v>47</v>
      </c>
      <c r="J79" s="7" t="s">
        <v>286</v>
      </c>
      <c r="K79" s="7" t="s">
        <v>286</v>
      </c>
      <c r="L79" t="s">
        <v>288</v>
      </c>
      <c r="M79" t="s">
        <v>336</v>
      </c>
      <c r="N79" t="str">
        <f>H79</f>
        <v>tvon</v>
      </c>
      <c r="O79" t="s">
        <v>47</v>
      </c>
    </row>
    <row r="80" spans="1:18" x14ac:dyDescent="0.3">
      <c r="D80" t="s">
        <v>422</v>
      </c>
      <c r="G80" t="s">
        <v>422</v>
      </c>
      <c r="H80" t="s">
        <v>48</v>
      </c>
      <c r="J80" s="7" t="s">
        <v>287</v>
      </c>
      <c r="K80" s="7" t="s">
        <v>287</v>
      </c>
      <c r="L80" t="s">
        <v>289</v>
      </c>
      <c r="M80" t="s">
        <v>336</v>
      </c>
      <c r="N80" t="str">
        <f>H80</f>
        <v>tvoff</v>
      </c>
      <c r="O80" t="s">
        <v>47</v>
      </c>
      <c r="P80" s="7" t="s">
        <v>395</v>
      </c>
      <c r="Q80" s="7"/>
      <c r="R80" s="7"/>
    </row>
    <row r="81" spans="4:18" x14ac:dyDescent="0.3">
      <c r="D81" t="s">
        <v>424</v>
      </c>
      <c r="G81" t="s">
        <v>424</v>
      </c>
      <c r="J81" s="7" t="s">
        <v>273</v>
      </c>
      <c r="K81" s="7" t="str">
        <f t="shared" ref="K81:K95" si="5">J81</f>
        <v>TV</v>
      </c>
    </row>
    <row r="82" spans="4:18" x14ac:dyDescent="0.3">
      <c r="D82" t="s">
        <v>422</v>
      </c>
      <c r="G82" t="s">
        <v>422</v>
      </c>
      <c r="H82" t="s">
        <v>274</v>
      </c>
      <c r="J82" t="s">
        <v>281</v>
      </c>
      <c r="K82" t="s">
        <v>281</v>
      </c>
      <c r="M82" t="s">
        <v>336</v>
      </c>
      <c r="N82" t="str">
        <f t="shared" ref="N82:N88" si="6">H82</f>
        <v>tv.on</v>
      </c>
    </row>
    <row r="83" spans="4:18" x14ac:dyDescent="0.3">
      <c r="D83" t="s">
        <v>422</v>
      </c>
      <c r="G83" t="s">
        <v>422</v>
      </c>
      <c r="H83" t="s">
        <v>275</v>
      </c>
      <c r="J83" t="s">
        <v>282</v>
      </c>
      <c r="K83" t="s">
        <v>282</v>
      </c>
      <c r="M83" t="s">
        <v>336</v>
      </c>
      <c r="N83" t="str">
        <f t="shared" si="6"/>
        <v>tv.off</v>
      </c>
    </row>
    <row r="84" spans="4:18" x14ac:dyDescent="0.3">
      <c r="D84" t="s">
        <v>422</v>
      </c>
      <c r="G84" t="s">
        <v>422</v>
      </c>
      <c r="H84" t="s">
        <v>276</v>
      </c>
      <c r="J84" t="s">
        <v>283</v>
      </c>
      <c r="K84" t="s">
        <v>283</v>
      </c>
      <c r="M84" t="s">
        <v>336</v>
      </c>
      <c r="N84" t="str">
        <f t="shared" si="6"/>
        <v>tv.mute</v>
      </c>
      <c r="P84" s="7" t="s">
        <v>395</v>
      </c>
      <c r="Q84" s="7"/>
      <c r="R84" s="7"/>
    </row>
    <row r="85" spans="4:18" x14ac:dyDescent="0.3">
      <c r="D85" t="s">
        <v>422</v>
      </c>
      <c r="G85" t="s">
        <v>422</v>
      </c>
      <c r="H85" t="s">
        <v>277</v>
      </c>
      <c r="J85" t="s">
        <v>365</v>
      </c>
      <c r="K85" t="s">
        <v>365</v>
      </c>
      <c r="M85" t="s">
        <v>336</v>
      </c>
      <c r="N85" t="str">
        <f t="shared" si="6"/>
        <v>tv.entree.hdmi1</v>
      </c>
    </row>
    <row r="86" spans="4:18" x14ac:dyDescent="0.3">
      <c r="D86" t="s">
        <v>422</v>
      </c>
      <c r="G86" t="s">
        <v>422</v>
      </c>
      <c r="H86" t="s">
        <v>278</v>
      </c>
      <c r="J86" t="s">
        <v>366</v>
      </c>
      <c r="K86" t="s">
        <v>366</v>
      </c>
      <c r="M86" t="s">
        <v>336</v>
      </c>
      <c r="N86" t="str">
        <f t="shared" si="6"/>
        <v>tv.entree.hdmi2</v>
      </c>
    </row>
    <row r="87" spans="4:18" x14ac:dyDescent="0.3">
      <c r="D87" t="s">
        <v>422</v>
      </c>
      <c r="G87" t="s">
        <v>422</v>
      </c>
      <c r="H87" t="s">
        <v>279</v>
      </c>
      <c r="J87" t="s">
        <v>367</v>
      </c>
      <c r="K87" t="s">
        <v>367</v>
      </c>
      <c r="M87" t="s">
        <v>336</v>
      </c>
      <c r="N87" t="str">
        <f t="shared" si="6"/>
        <v>tv.entree.hdmi3</v>
      </c>
      <c r="P87" s="7" t="s">
        <v>395</v>
      </c>
      <c r="Q87" s="7"/>
      <c r="R87" s="7"/>
    </row>
    <row r="88" spans="4:18" x14ac:dyDescent="0.3">
      <c r="D88" t="s">
        <v>422</v>
      </c>
      <c r="G88" t="s">
        <v>422</v>
      </c>
      <c r="H88" t="s">
        <v>280</v>
      </c>
      <c r="J88" t="s">
        <v>284</v>
      </c>
      <c r="K88" t="s">
        <v>284</v>
      </c>
      <c r="M88" t="s">
        <v>336</v>
      </c>
      <c r="N88" t="str">
        <f t="shared" si="6"/>
        <v>tv.vol0</v>
      </c>
      <c r="P88" s="7" t="s">
        <v>395</v>
      </c>
      <c r="Q88" s="7"/>
      <c r="R88" s="7"/>
    </row>
    <row r="89" spans="4:18" x14ac:dyDescent="0.3">
      <c r="D89" t="s">
        <v>424</v>
      </c>
      <c r="G89" t="s">
        <v>424</v>
      </c>
      <c r="J89" s="7" t="s">
        <v>434</v>
      </c>
      <c r="K89" s="7" t="str">
        <f t="shared" si="5"/>
        <v>Entrées HDMI</v>
      </c>
    </row>
    <row r="90" spans="4:18" x14ac:dyDescent="0.3">
      <c r="D90" t="s">
        <v>422</v>
      </c>
      <c r="G90" t="s">
        <v>422</v>
      </c>
      <c r="H90" t="s">
        <v>77</v>
      </c>
      <c r="J90" t="s">
        <v>365</v>
      </c>
      <c r="K90">
        <v>1</v>
      </c>
      <c r="M90" t="s">
        <v>336</v>
      </c>
      <c r="N90" t="str">
        <f>H90</f>
        <v>hdmi.1</v>
      </c>
    </row>
    <row r="91" spans="4:18" x14ac:dyDescent="0.3">
      <c r="D91" t="s">
        <v>422</v>
      </c>
      <c r="G91" t="s">
        <v>422</v>
      </c>
      <c r="H91" t="s">
        <v>78</v>
      </c>
      <c r="J91" t="s">
        <v>366</v>
      </c>
      <c r="K91">
        <v>2</v>
      </c>
      <c r="M91" t="s">
        <v>336</v>
      </c>
      <c r="N91" t="str">
        <f>H91</f>
        <v>hdmi.2</v>
      </c>
    </row>
    <row r="92" spans="4:18" x14ac:dyDescent="0.3">
      <c r="D92" t="s">
        <v>422</v>
      </c>
      <c r="G92" t="s">
        <v>422</v>
      </c>
      <c r="H92" t="s">
        <v>79</v>
      </c>
      <c r="J92" t="s">
        <v>367</v>
      </c>
      <c r="K92">
        <v>3</v>
      </c>
      <c r="M92" t="s">
        <v>336</v>
      </c>
      <c r="N92" t="str">
        <f>H92</f>
        <v>hdmi.3</v>
      </c>
    </row>
    <row r="93" spans="4:18" x14ac:dyDescent="0.3">
      <c r="D93" t="s">
        <v>422</v>
      </c>
      <c r="G93" t="s">
        <v>422</v>
      </c>
      <c r="H93" t="s">
        <v>80</v>
      </c>
      <c r="J93" t="s">
        <v>368</v>
      </c>
      <c r="K93">
        <v>4</v>
      </c>
      <c r="M93" t="s">
        <v>336</v>
      </c>
      <c r="N93" t="str">
        <f>H93</f>
        <v>hdmi.4</v>
      </c>
    </row>
    <row r="94" spans="4:18" x14ac:dyDescent="0.3">
      <c r="D94" t="s">
        <v>422</v>
      </c>
      <c r="G94" t="s">
        <v>422</v>
      </c>
      <c r="H94" t="s">
        <v>81</v>
      </c>
      <c r="J94" t="s">
        <v>369</v>
      </c>
      <c r="K94">
        <v>5</v>
      </c>
      <c r="M94" t="s">
        <v>336</v>
      </c>
      <c r="N94" t="str">
        <f>H94</f>
        <v>hdmi.5</v>
      </c>
      <c r="P94" s="7" t="s">
        <v>395</v>
      </c>
      <c r="Q94" s="7"/>
      <c r="R94" s="7"/>
    </row>
    <row r="95" spans="4:18" x14ac:dyDescent="0.3">
      <c r="D95" t="s">
        <v>424</v>
      </c>
      <c r="G95" t="s">
        <v>424</v>
      </c>
      <c r="J95" s="7" t="s">
        <v>431</v>
      </c>
      <c r="K95" s="7" t="str">
        <f t="shared" si="5"/>
        <v>Ampli</v>
      </c>
    </row>
    <row r="96" spans="4:18" x14ac:dyDescent="0.3">
      <c r="D96" t="s">
        <v>422</v>
      </c>
      <c r="G96" t="s">
        <v>422</v>
      </c>
      <c r="H96" t="s">
        <v>50</v>
      </c>
      <c r="J96" t="s">
        <v>302</v>
      </c>
      <c r="K96" t="s">
        <v>302</v>
      </c>
      <c r="M96" t="s">
        <v>336</v>
      </c>
      <c r="N96" t="str">
        <f>H96</f>
        <v>ampli.on</v>
      </c>
    </row>
    <row r="97" spans="1:18" x14ac:dyDescent="0.3">
      <c r="D97" t="s">
        <v>422</v>
      </c>
      <c r="G97" t="s">
        <v>422</v>
      </c>
      <c r="H97" t="s">
        <v>49</v>
      </c>
      <c r="J97" t="s">
        <v>303</v>
      </c>
      <c r="K97" t="s">
        <v>303</v>
      </c>
      <c r="M97" t="s">
        <v>336</v>
      </c>
      <c r="N97" t="str">
        <f>H97</f>
        <v>ampli.off</v>
      </c>
      <c r="P97" s="7" t="s">
        <v>395</v>
      </c>
      <c r="Q97" s="7"/>
      <c r="R97" s="7"/>
    </row>
    <row r="98" spans="1:18" x14ac:dyDescent="0.3">
      <c r="D98" t="s">
        <v>422</v>
      </c>
      <c r="G98" t="s">
        <v>422</v>
      </c>
      <c r="H98" t="s">
        <v>45</v>
      </c>
      <c r="J98" t="s">
        <v>305</v>
      </c>
      <c r="K98" t="s">
        <v>305</v>
      </c>
      <c r="M98" t="s">
        <v>336</v>
      </c>
      <c r="N98" t="str">
        <f>H98</f>
        <v>ampli.volm</v>
      </c>
    </row>
    <row r="99" spans="1:18" x14ac:dyDescent="0.3">
      <c r="D99" t="s">
        <v>422</v>
      </c>
      <c r="G99" t="s">
        <v>422</v>
      </c>
      <c r="H99" t="s">
        <v>44</v>
      </c>
      <c r="J99" t="s">
        <v>304</v>
      </c>
      <c r="K99" t="s">
        <v>304</v>
      </c>
      <c r="M99" t="s">
        <v>336</v>
      </c>
      <c r="N99" t="str">
        <f>H99</f>
        <v>ampli.volp</v>
      </c>
    </row>
    <row r="100" spans="1:18" x14ac:dyDescent="0.3">
      <c r="D100" t="s">
        <v>422</v>
      </c>
      <c r="G100" t="s">
        <v>422</v>
      </c>
      <c r="H100" t="s">
        <v>46</v>
      </c>
      <c r="J100" t="s">
        <v>283</v>
      </c>
      <c r="K100" t="s">
        <v>283</v>
      </c>
      <c r="M100" t="s">
        <v>336</v>
      </c>
      <c r="N100" t="str">
        <f>H100</f>
        <v>ampli.mute</v>
      </c>
      <c r="P100" s="7" t="s">
        <v>395</v>
      </c>
      <c r="Q100" s="7"/>
      <c r="R100" s="7"/>
    </row>
    <row r="101" spans="1:18" s="1" customFormat="1" x14ac:dyDescent="0.3">
      <c r="A101" s="1" t="s">
        <v>461</v>
      </c>
      <c r="G101" s="1" t="s">
        <v>459</v>
      </c>
      <c r="H101" s="1" t="s">
        <v>435</v>
      </c>
    </row>
    <row r="102" spans="1:18" x14ac:dyDescent="0.3">
      <c r="D102" t="s">
        <v>424</v>
      </c>
      <c r="G102" t="s">
        <v>424</v>
      </c>
      <c r="J102" s="7" t="s">
        <v>285</v>
      </c>
      <c r="K102" s="7" t="str">
        <f>J102</f>
        <v>Macros</v>
      </c>
    </row>
    <row r="103" spans="1:18" x14ac:dyDescent="0.3">
      <c r="D103" t="s">
        <v>422</v>
      </c>
      <c r="G103" t="s">
        <v>422</v>
      </c>
      <c r="H103" t="s">
        <v>290</v>
      </c>
      <c r="J103" s="7" t="s">
        <v>292</v>
      </c>
      <c r="K103" s="7" t="s">
        <v>292</v>
      </c>
      <c r="L103" t="s">
        <v>294</v>
      </c>
      <c r="M103" t="s">
        <v>336</v>
      </c>
      <c r="N103" t="str">
        <f>H103</f>
        <v>vpon</v>
      </c>
      <c r="O103" t="s">
        <v>290</v>
      </c>
    </row>
    <row r="104" spans="1:18" x14ac:dyDescent="0.3">
      <c r="D104" t="s">
        <v>422</v>
      </c>
      <c r="G104" t="s">
        <v>422</v>
      </c>
      <c r="H104" t="s">
        <v>291</v>
      </c>
      <c r="J104" s="7" t="s">
        <v>293</v>
      </c>
      <c r="K104" s="7" t="s">
        <v>293</v>
      </c>
      <c r="L104" t="s">
        <v>295</v>
      </c>
      <c r="M104" t="s">
        <v>336</v>
      </c>
      <c r="N104" t="str">
        <f>H104</f>
        <v>vpoff</v>
      </c>
      <c r="O104" t="s">
        <v>290</v>
      </c>
      <c r="P104" s="7" t="s">
        <v>395</v>
      </c>
      <c r="Q104" s="7"/>
      <c r="R104" s="7"/>
    </row>
    <row r="105" spans="1:18" x14ac:dyDescent="0.3">
      <c r="D105" t="s">
        <v>424</v>
      </c>
      <c r="G105" t="s">
        <v>424</v>
      </c>
      <c r="J105" s="7" t="s">
        <v>433</v>
      </c>
      <c r="K105" s="7" t="str">
        <f>J105</f>
        <v>Vidéo projecteur</v>
      </c>
    </row>
    <row r="106" spans="1:18" x14ac:dyDescent="0.3">
      <c r="D106" t="s">
        <v>422</v>
      </c>
      <c r="G106" t="s">
        <v>422</v>
      </c>
      <c r="H106" t="s">
        <v>310</v>
      </c>
      <c r="J106" t="s">
        <v>296</v>
      </c>
      <c r="K106" t="s">
        <v>296</v>
      </c>
      <c r="M106" t="s">
        <v>336</v>
      </c>
      <c r="N106" t="str">
        <f>H106</f>
        <v>vpsalon.on</v>
      </c>
    </row>
    <row r="107" spans="1:18" x14ac:dyDescent="0.3">
      <c r="D107" t="s">
        <v>422</v>
      </c>
      <c r="G107" t="s">
        <v>422</v>
      </c>
      <c r="H107" t="s">
        <v>311</v>
      </c>
      <c r="J107" t="s">
        <v>297</v>
      </c>
      <c r="K107" t="s">
        <v>297</v>
      </c>
      <c r="M107" t="s">
        <v>336</v>
      </c>
      <c r="N107" t="str">
        <f>H107</f>
        <v>vpsalon.off</v>
      </c>
      <c r="P107" s="7" t="s">
        <v>395</v>
      </c>
      <c r="Q107" s="7"/>
      <c r="R107" s="7"/>
    </row>
    <row r="108" spans="1:18" x14ac:dyDescent="0.3">
      <c r="D108" t="s">
        <v>424</v>
      </c>
      <c r="G108" t="s">
        <v>424</v>
      </c>
      <c r="J108" s="7" t="s">
        <v>436</v>
      </c>
      <c r="K108" s="7" t="str">
        <f>J108</f>
        <v>Ecran</v>
      </c>
    </row>
    <row r="109" spans="1:18" x14ac:dyDescent="0.3">
      <c r="D109" t="s">
        <v>422</v>
      </c>
      <c r="G109" t="s">
        <v>422</v>
      </c>
      <c r="H109" t="s">
        <v>299</v>
      </c>
      <c r="J109" t="s">
        <v>300</v>
      </c>
      <c r="K109" t="s">
        <v>300</v>
      </c>
      <c r="M109" t="s">
        <v>336</v>
      </c>
      <c r="N109" t="str">
        <f>H109</f>
        <v>ecran.haut</v>
      </c>
    </row>
    <row r="110" spans="1:18" x14ac:dyDescent="0.3">
      <c r="D110" t="s">
        <v>422</v>
      </c>
      <c r="G110" t="s">
        <v>422</v>
      </c>
      <c r="H110" t="s">
        <v>298</v>
      </c>
      <c r="J110" t="s">
        <v>301</v>
      </c>
      <c r="K110" t="s">
        <v>301</v>
      </c>
      <c r="M110" t="s">
        <v>336</v>
      </c>
      <c r="N110" t="str">
        <f>H110</f>
        <v>ecran.bas</v>
      </c>
      <c r="P110" s="7" t="s">
        <v>395</v>
      </c>
      <c r="Q110" s="7"/>
      <c r="R110" s="7"/>
    </row>
    <row r="111" spans="1:18" s="1" customFormat="1" x14ac:dyDescent="0.3">
      <c r="A111" s="1" t="s">
        <v>461</v>
      </c>
      <c r="G111" s="1" t="s">
        <v>459</v>
      </c>
      <c r="H111" s="1" t="s">
        <v>437</v>
      </c>
    </row>
    <row r="112" spans="1:18" x14ac:dyDescent="0.3">
      <c r="D112" t="s">
        <v>424</v>
      </c>
      <c r="G112" t="s">
        <v>424</v>
      </c>
      <c r="J112" s="7" t="s">
        <v>431</v>
      </c>
      <c r="K112" s="7" t="str">
        <f>J112</f>
        <v>Ampli</v>
      </c>
    </row>
    <row r="113" spans="3:18" x14ac:dyDescent="0.3">
      <c r="D113" t="s">
        <v>424</v>
      </c>
      <c r="G113" t="s">
        <v>424</v>
      </c>
      <c r="J113" s="7" t="s">
        <v>273</v>
      </c>
      <c r="K113" s="7" t="str">
        <f t="shared" ref="K113:K117" si="7">J113</f>
        <v>TV</v>
      </c>
    </row>
    <row r="114" spans="3:18" x14ac:dyDescent="0.3">
      <c r="D114" t="s">
        <v>424</v>
      </c>
      <c r="G114" t="s">
        <v>424</v>
      </c>
      <c r="J114" s="7" t="s">
        <v>438</v>
      </c>
      <c r="K114" s="7" t="str">
        <f t="shared" si="7"/>
        <v>TV WebOS</v>
      </c>
    </row>
    <row r="115" spans="3:18" x14ac:dyDescent="0.3">
      <c r="D115" t="s">
        <v>424</v>
      </c>
      <c r="G115" t="s">
        <v>424</v>
      </c>
      <c r="J115" s="7" t="s">
        <v>439</v>
      </c>
      <c r="K115" s="7" t="str">
        <f t="shared" si="7"/>
        <v>HDMI Nec</v>
      </c>
    </row>
    <row r="116" spans="3:18" x14ac:dyDescent="0.3">
      <c r="D116" t="s">
        <v>424</v>
      </c>
      <c r="G116" t="s">
        <v>424</v>
      </c>
      <c r="J116" s="7" t="s">
        <v>415</v>
      </c>
      <c r="K116" s="7" t="str">
        <f t="shared" si="7"/>
        <v>VP</v>
      </c>
    </row>
    <row r="117" spans="3:18" x14ac:dyDescent="0.3">
      <c r="D117" t="s">
        <v>424</v>
      </c>
      <c r="G117" t="s">
        <v>424</v>
      </c>
      <c r="J117" s="7" t="s">
        <v>440</v>
      </c>
      <c r="K117" s="7" t="str">
        <f t="shared" si="7"/>
        <v>EspIR01</v>
      </c>
    </row>
    <row r="118" spans="3:18" x14ac:dyDescent="0.3">
      <c r="J118" s="7"/>
      <c r="K118" s="7"/>
    </row>
    <row r="119" spans="3:18" x14ac:dyDescent="0.3">
      <c r="J119" s="7"/>
      <c r="K119" s="7"/>
    </row>
    <row r="120" spans="3:18" x14ac:dyDescent="0.3">
      <c r="J120" s="7"/>
      <c r="K120" s="7"/>
    </row>
    <row r="121" spans="3:18" x14ac:dyDescent="0.3">
      <c r="J121" s="7"/>
      <c r="K121" s="7"/>
    </row>
    <row r="122" spans="3:18" x14ac:dyDescent="0.3">
      <c r="P122" s="7"/>
      <c r="Q122" s="7"/>
      <c r="R122" s="7"/>
    </row>
    <row r="123" spans="3:18" x14ac:dyDescent="0.3">
      <c r="P123" s="7"/>
      <c r="Q123" s="7"/>
      <c r="R123" s="7"/>
    </row>
    <row r="124" spans="3:18" s="11" customFormat="1" x14ac:dyDescent="0.3"/>
    <row r="125" spans="3:18" s="1" customFormat="1" x14ac:dyDescent="0.3">
      <c r="C125" s="1" t="s">
        <v>409</v>
      </c>
      <c r="G125" s="1" t="s">
        <v>407</v>
      </c>
      <c r="H125" s="1" t="str">
        <f>"tab"&amp;C125</f>
        <v>tabDevices</v>
      </c>
    </row>
    <row r="126" spans="3:18" s="10" customFormat="1" x14ac:dyDescent="0.3">
      <c r="D126" s="10" t="s">
        <v>285</v>
      </c>
      <c r="H126" s="10" t="str">
        <f>"dev"&amp;D126</f>
        <v>devMacros</v>
      </c>
      <c r="J126" s="10" t="s">
        <v>285</v>
      </c>
      <c r="K126" s="10" t="s">
        <v>285</v>
      </c>
      <c r="Q126" s="10" t="s">
        <v>398</v>
      </c>
    </row>
    <row r="127" spans="3:18" x14ac:dyDescent="0.3">
      <c r="H127" t="s">
        <v>47</v>
      </c>
      <c r="J127" s="7" t="s">
        <v>286</v>
      </c>
      <c r="K127" s="7" t="s">
        <v>286</v>
      </c>
      <c r="L127" t="s">
        <v>288</v>
      </c>
      <c r="M127" t="s">
        <v>336</v>
      </c>
      <c r="N127" t="str">
        <f>H127</f>
        <v>tvon</v>
      </c>
      <c r="O127" t="s">
        <v>47</v>
      </c>
    </row>
    <row r="128" spans="3:18" x14ac:dyDescent="0.3">
      <c r="H128" t="s">
        <v>48</v>
      </c>
      <c r="J128" s="7" t="s">
        <v>287</v>
      </c>
      <c r="K128" s="7" t="s">
        <v>287</v>
      </c>
      <c r="L128" t="s">
        <v>289</v>
      </c>
      <c r="M128" t="s">
        <v>336</v>
      </c>
      <c r="N128" t="str">
        <f>H128</f>
        <v>tvoff</v>
      </c>
      <c r="O128" t="s">
        <v>47</v>
      </c>
      <c r="P128" s="7" t="s">
        <v>395</v>
      </c>
      <c r="Q128" s="7"/>
      <c r="R128" s="7"/>
    </row>
    <row r="129" spans="4:18" x14ac:dyDescent="0.3">
      <c r="H129" t="s">
        <v>290</v>
      </c>
      <c r="J129" s="7" t="s">
        <v>292</v>
      </c>
      <c r="K129" s="7" t="s">
        <v>292</v>
      </c>
      <c r="L129" t="s">
        <v>294</v>
      </c>
      <c r="M129" t="s">
        <v>336</v>
      </c>
      <c r="N129" t="str">
        <f>H129</f>
        <v>vpon</v>
      </c>
      <c r="O129" t="s">
        <v>290</v>
      </c>
    </row>
    <row r="130" spans="4:18" x14ac:dyDescent="0.3">
      <c r="H130" t="s">
        <v>291</v>
      </c>
      <c r="J130" s="7" t="s">
        <v>293</v>
      </c>
      <c r="K130" s="7" t="s">
        <v>293</v>
      </c>
      <c r="L130" t="s">
        <v>295</v>
      </c>
      <c r="M130" t="s">
        <v>336</v>
      </c>
      <c r="N130" t="str">
        <f>H130</f>
        <v>vpoff</v>
      </c>
      <c r="O130" t="s">
        <v>290</v>
      </c>
      <c r="P130" s="7" t="s">
        <v>395</v>
      </c>
      <c r="Q130" s="7"/>
      <c r="R130" s="7"/>
    </row>
    <row r="131" spans="4:18" s="10" customFormat="1" x14ac:dyDescent="0.3">
      <c r="D131" s="10" t="s">
        <v>232</v>
      </c>
      <c r="H131" s="10" t="str">
        <f>"dev"&amp;D131</f>
        <v>devSalon</v>
      </c>
      <c r="J131" s="10" t="s">
        <v>232</v>
      </c>
      <c r="K131" s="10" t="s">
        <v>232</v>
      </c>
      <c r="L131" s="10" t="s">
        <v>234</v>
      </c>
      <c r="Q131" s="10" t="s">
        <v>397</v>
      </c>
    </row>
    <row r="132" spans="4:18" x14ac:dyDescent="0.3">
      <c r="H132" t="s">
        <v>52</v>
      </c>
      <c r="J132" t="s">
        <v>236</v>
      </c>
      <c r="K132" t="s">
        <v>325</v>
      </c>
      <c r="L132" t="s">
        <v>236</v>
      </c>
      <c r="M132" t="s">
        <v>336</v>
      </c>
      <c r="N132" t="str">
        <f t="shared" ref="N132:N143" si="8">H132</f>
        <v>salon.on</v>
      </c>
    </row>
    <row r="133" spans="4:18" x14ac:dyDescent="0.3">
      <c r="H133" t="s">
        <v>51</v>
      </c>
      <c r="J133" t="s">
        <v>235</v>
      </c>
      <c r="K133" t="s">
        <v>326</v>
      </c>
      <c r="L133" t="s">
        <v>235</v>
      </c>
      <c r="M133" t="s">
        <v>336</v>
      </c>
      <c r="N133" t="str">
        <f t="shared" si="8"/>
        <v>salon.off</v>
      </c>
      <c r="P133" s="7" t="s">
        <v>395</v>
      </c>
      <c r="Q133" s="7"/>
      <c r="R133" s="7"/>
    </row>
    <row r="134" spans="4:18" x14ac:dyDescent="0.3">
      <c r="H134" t="s">
        <v>4</v>
      </c>
      <c r="J134" t="s">
        <v>237</v>
      </c>
      <c r="K134" t="s">
        <v>355</v>
      </c>
      <c r="L134" t="s">
        <v>237</v>
      </c>
      <c r="M134" t="s">
        <v>336</v>
      </c>
      <c r="N134" t="str">
        <f t="shared" si="8"/>
        <v>salon.1.on</v>
      </c>
      <c r="O134" t="s">
        <v>382</v>
      </c>
    </row>
    <row r="135" spans="4:18" x14ac:dyDescent="0.3">
      <c r="H135" t="s">
        <v>9</v>
      </c>
      <c r="J135" t="s">
        <v>246</v>
      </c>
      <c r="K135" t="s">
        <v>356</v>
      </c>
      <c r="L135" t="s">
        <v>246</v>
      </c>
      <c r="M135" t="s">
        <v>336</v>
      </c>
      <c r="N135" t="str">
        <f t="shared" si="8"/>
        <v>salon.1.off</v>
      </c>
      <c r="O135" t="s">
        <v>382</v>
      </c>
      <c r="P135" s="7" t="s">
        <v>395</v>
      </c>
      <c r="Q135" s="7"/>
      <c r="R135" s="7"/>
    </row>
    <row r="136" spans="4:18" x14ac:dyDescent="0.3">
      <c r="H136" t="s">
        <v>5</v>
      </c>
      <c r="J136" t="s">
        <v>238</v>
      </c>
      <c r="K136" t="s">
        <v>357</v>
      </c>
      <c r="L136" t="s">
        <v>238</v>
      </c>
      <c r="M136" t="s">
        <v>336</v>
      </c>
      <c r="N136" t="str">
        <f t="shared" si="8"/>
        <v>salon.2.on</v>
      </c>
      <c r="O136" t="s">
        <v>383</v>
      </c>
    </row>
    <row r="137" spans="4:18" x14ac:dyDescent="0.3">
      <c r="H137" t="s">
        <v>10</v>
      </c>
      <c r="J137" t="s">
        <v>239</v>
      </c>
      <c r="K137" t="s">
        <v>358</v>
      </c>
      <c r="L137" t="s">
        <v>239</v>
      </c>
      <c r="M137" t="s">
        <v>336</v>
      </c>
      <c r="N137" t="str">
        <f t="shared" si="8"/>
        <v>salon.2.off</v>
      </c>
      <c r="O137" t="s">
        <v>383</v>
      </c>
      <c r="P137" s="7" t="s">
        <v>395</v>
      </c>
      <c r="Q137" s="7"/>
      <c r="R137" s="7"/>
    </row>
    <row r="138" spans="4:18" x14ac:dyDescent="0.3">
      <c r="H138" t="s">
        <v>6</v>
      </c>
      <c r="J138" t="s">
        <v>240</v>
      </c>
      <c r="K138" t="s">
        <v>359</v>
      </c>
      <c r="L138" t="s">
        <v>240</v>
      </c>
      <c r="M138" t="s">
        <v>336</v>
      </c>
      <c r="N138" t="str">
        <f t="shared" si="8"/>
        <v>salon.3.on</v>
      </c>
      <c r="O138" t="s">
        <v>384</v>
      </c>
    </row>
    <row r="139" spans="4:18" x14ac:dyDescent="0.3">
      <c r="H139" t="s">
        <v>11</v>
      </c>
      <c r="J139" t="s">
        <v>241</v>
      </c>
      <c r="K139" t="s">
        <v>360</v>
      </c>
      <c r="L139" t="s">
        <v>241</v>
      </c>
      <c r="M139" t="s">
        <v>336</v>
      </c>
      <c r="N139" t="str">
        <f t="shared" si="8"/>
        <v>salon.3.off</v>
      </c>
      <c r="O139" t="s">
        <v>384</v>
      </c>
      <c r="P139" s="7" t="s">
        <v>395</v>
      </c>
      <c r="Q139" s="7"/>
      <c r="R139" s="7"/>
    </row>
    <row r="140" spans="4:18" x14ac:dyDescent="0.3">
      <c r="H140" t="s">
        <v>12</v>
      </c>
      <c r="J140" t="s">
        <v>242</v>
      </c>
      <c r="K140" t="s">
        <v>361</v>
      </c>
      <c r="L140" t="s">
        <v>242</v>
      </c>
      <c r="M140" t="s">
        <v>336</v>
      </c>
      <c r="N140" t="str">
        <f t="shared" si="8"/>
        <v>salon.4.on</v>
      </c>
      <c r="O140" t="s">
        <v>385</v>
      </c>
    </row>
    <row r="141" spans="4:18" x14ac:dyDescent="0.3">
      <c r="H141" t="s">
        <v>14</v>
      </c>
      <c r="J141" t="s">
        <v>243</v>
      </c>
      <c r="K141" t="s">
        <v>362</v>
      </c>
      <c r="L141" t="s">
        <v>243</v>
      </c>
      <c r="M141" t="s">
        <v>336</v>
      </c>
      <c r="N141" t="str">
        <f t="shared" si="8"/>
        <v>salon.4.off</v>
      </c>
      <c r="O141" t="s">
        <v>385</v>
      </c>
      <c r="P141" s="7" t="s">
        <v>395</v>
      </c>
      <c r="Q141" s="7"/>
      <c r="R141" s="7"/>
    </row>
    <row r="142" spans="4:18" x14ac:dyDescent="0.3">
      <c r="H142" t="s">
        <v>13</v>
      </c>
      <c r="J142" t="s">
        <v>244</v>
      </c>
      <c r="K142" t="s">
        <v>363</v>
      </c>
      <c r="L142" t="s">
        <v>244</v>
      </c>
      <c r="M142" t="s">
        <v>336</v>
      </c>
      <c r="N142" t="str">
        <f t="shared" si="8"/>
        <v>salon.5.on</v>
      </c>
      <c r="O142" t="s">
        <v>386</v>
      </c>
    </row>
    <row r="143" spans="4:18" x14ac:dyDescent="0.3">
      <c r="H143" t="s">
        <v>15</v>
      </c>
      <c r="J143" t="s">
        <v>245</v>
      </c>
      <c r="K143" t="s">
        <v>364</v>
      </c>
      <c r="L143" t="s">
        <v>245</v>
      </c>
      <c r="M143" t="s">
        <v>336</v>
      </c>
      <c r="N143" t="str">
        <f t="shared" si="8"/>
        <v>salon.5.off</v>
      </c>
      <c r="O143" t="s">
        <v>386</v>
      </c>
      <c r="P143" s="7" t="s">
        <v>395</v>
      </c>
      <c r="Q143" s="7"/>
      <c r="R143" s="7"/>
    </row>
    <row r="144" spans="4:18" s="10" customFormat="1" x14ac:dyDescent="0.3">
      <c r="D144" s="10" t="s">
        <v>247</v>
      </c>
      <c r="H144" s="10" t="str">
        <f>"dev"&amp;D144</f>
        <v>devStudio</v>
      </c>
      <c r="J144" s="10" t="s">
        <v>247</v>
      </c>
      <c r="K144" s="10" t="s">
        <v>247</v>
      </c>
      <c r="L144" s="10" t="s">
        <v>248</v>
      </c>
      <c r="Q144" s="10" t="s">
        <v>397</v>
      </c>
    </row>
    <row r="145" spans="4:18" x14ac:dyDescent="0.3">
      <c r="H145" t="s">
        <v>261</v>
      </c>
      <c r="J145" t="s">
        <v>249</v>
      </c>
      <c r="K145" t="s">
        <v>325</v>
      </c>
      <c r="L145" t="s">
        <v>249</v>
      </c>
      <c r="M145" t="s">
        <v>336</v>
      </c>
      <c r="N145" t="str">
        <f t="shared" ref="N145:N156" si="9">H145</f>
        <v>studio.on</v>
      </c>
    </row>
    <row r="146" spans="4:18" x14ac:dyDescent="0.3">
      <c r="H146" t="s">
        <v>262</v>
      </c>
      <c r="J146" t="s">
        <v>250</v>
      </c>
      <c r="K146" t="s">
        <v>326</v>
      </c>
      <c r="L146" t="s">
        <v>250</v>
      </c>
      <c r="M146" t="s">
        <v>336</v>
      </c>
      <c r="N146" t="str">
        <f t="shared" si="9"/>
        <v>studio.off</v>
      </c>
      <c r="P146" s="7" t="s">
        <v>395</v>
      </c>
      <c r="Q146" s="7"/>
      <c r="R146" s="7"/>
    </row>
    <row r="147" spans="4:18" x14ac:dyDescent="0.3">
      <c r="H147" t="s">
        <v>372</v>
      </c>
      <c r="J147" t="s">
        <v>251</v>
      </c>
      <c r="K147" t="s">
        <v>355</v>
      </c>
      <c r="L147" t="s">
        <v>251</v>
      </c>
      <c r="M147" t="s">
        <v>336</v>
      </c>
      <c r="N147" t="str">
        <f t="shared" si="9"/>
        <v>studio.1.on</v>
      </c>
      <c r="O147" t="s">
        <v>387</v>
      </c>
    </row>
    <row r="148" spans="4:18" x14ac:dyDescent="0.3">
      <c r="H148" t="s">
        <v>373</v>
      </c>
      <c r="J148" t="s">
        <v>252</v>
      </c>
      <c r="K148" t="s">
        <v>356</v>
      </c>
      <c r="L148" t="s">
        <v>252</v>
      </c>
      <c r="M148" t="s">
        <v>336</v>
      </c>
      <c r="N148" t="str">
        <f t="shared" si="9"/>
        <v>studio.1.off</v>
      </c>
      <c r="O148" t="s">
        <v>387</v>
      </c>
      <c r="P148" s="7" t="s">
        <v>395</v>
      </c>
      <c r="Q148" s="7"/>
      <c r="R148" s="7"/>
    </row>
    <row r="149" spans="4:18" x14ac:dyDescent="0.3">
      <c r="H149" t="s">
        <v>374</v>
      </c>
      <c r="J149" t="s">
        <v>253</v>
      </c>
      <c r="K149" t="s">
        <v>357</v>
      </c>
      <c r="L149" t="s">
        <v>253</v>
      </c>
      <c r="M149" t="s">
        <v>336</v>
      </c>
      <c r="N149" t="str">
        <f t="shared" si="9"/>
        <v>studio.2.on</v>
      </c>
      <c r="O149" t="s">
        <v>388</v>
      </c>
    </row>
    <row r="150" spans="4:18" x14ac:dyDescent="0.3">
      <c r="H150" t="s">
        <v>375</v>
      </c>
      <c r="J150" t="s">
        <v>254</v>
      </c>
      <c r="K150" t="s">
        <v>358</v>
      </c>
      <c r="L150" t="s">
        <v>254</v>
      </c>
      <c r="M150" t="s">
        <v>336</v>
      </c>
      <c r="N150" t="str">
        <f t="shared" si="9"/>
        <v>studio.2.off</v>
      </c>
      <c r="O150" t="s">
        <v>388</v>
      </c>
      <c r="P150" s="7" t="s">
        <v>395</v>
      </c>
      <c r="Q150" s="7"/>
      <c r="R150" s="7"/>
    </row>
    <row r="151" spans="4:18" x14ac:dyDescent="0.3">
      <c r="H151" t="s">
        <v>376</v>
      </c>
      <c r="J151" t="s">
        <v>255</v>
      </c>
      <c r="K151" t="s">
        <v>359</v>
      </c>
      <c r="L151" t="s">
        <v>255</v>
      </c>
      <c r="M151" t="s">
        <v>336</v>
      </c>
      <c r="N151" t="str">
        <f t="shared" si="9"/>
        <v>studio.3.on</v>
      </c>
      <c r="O151" t="s">
        <v>389</v>
      </c>
    </row>
    <row r="152" spans="4:18" x14ac:dyDescent="0.3">
      <c r="H152" t="s">
        <v>377</v>
      </c>
      <c r="J152" t="s">
        <v>256</v>
      </c>
      <c r="K152" t="s">
        <v>360</v>
      </c>
      <c r="L152" t="s">
        <v>256</v>
      </c>
      <c r="M152" t="s">
        <v>336</v>
      </c>
      <c r="N152" t="str">
        <f t="shared" si="9"/>
        <v>studio.3.off</v>
      </c>
      <c r="O152" t="s">
        <v>389</v>
      </c>
      <c r="P152" s="7" t="s">
        <v>395</v>
      </c>
      <c r="Q152" s="7"/>
      <c r="R152" s="7"/>
    </row>
    <row r="153" spans="4:18" x14ac:dyDescent="0.3">
      <c r="H153" t="s">
        <v>378</v>
      </c>
      <c r="J153" t="s">
        <v>257</v>
      </c>
      <c r="K153" t="s">
        <v>361</v>
      </c>
      <c r="L153" t="s">
        <v>257</v>
      </c>
      <c r="M153" t="s">
        <v>336</v>
      </c>
      <c r="N153" t="str">
        <f t="shared" si="9"/>
        <v>studio.4.on</v>
      </c>
      <c r="O153" t="s">
        <v>390</v>
      </c>
    </row>
    <row r="154" spans="4:18" x14ac:dyDescent="0.3">
      <c r="H154" t="s">
        <v>379</v>
      </c>
      <c r="J154" t="s">
        <v>258</v>
      </c>
      <c r="K154" t="s">
        <v>362</v>
      </c>
      <c r="L154" t="s">
        <v>258</v>
      </c>
      <c r="M154" t="s">
        <v>336</v>
      </c>
      <c r="N154" t="str">
        <f t="shared" si="9"/>
        <v>studio.4.off</v>
      </c>
      <c r="O154" t="s">
        <v>390</v>
      </c>
      <c r="P154" s="7" t="s">
        <v>395</v>
      </c>
      <c r="Q154" s="7"/>
      <c r="R154" s="7"/>
    </row>
    <row r="155" spans="4:18" x14ac:dyDescent="0.3">
      <c r="H155" t="s">
        <v>380</v>
      </c>
      <c r="J155" t="s">
        <v>259</v>
      </c>
      <c r="K155" t="s">
        <v>363</v>
      </c>
      <c r="L155" t="s">
        <v>259</v>
      </c>
      <c r="M155" t="s">
        <v>336</v>
      </c>
      <c r="N155" t="str">
        <f t="shared" si="9"/>
        <v>studio.5.on</v>
      </c>
      <c r="O155" t="s">
        <v>391</v>
      </c>
    </row>
    <row r="156" spans="4:18" x14ac:dyDescent="0.3">
      <c r="H156" t="s">
        <v>381</v>
      </c>
      <c r="J156" t="s">
        <v>260</v>
      </c>
      <c r="K156" t="s">
        <v>364</v>
      </c>
      <c r="L156" t="s">
        <v>260</v>
      </c>
      <c r="M156" t="s">
        <v>336</v>
      </c>
      <c r="N156" t="str">
        <f t="shared" si="9"/>
        <v>studio.5.off</v>
      </c>
      <c r="O156" t="s">
        <v>391</v>
      </c>
      <c r="P156" s="7" t="s">
        <v>395</v>
      </c>
      <c r="Q156" s="7"/>
      <c r="R156" s="7"/>
    </row>
    <row r="157" spans="4:18" s="10" customFormat="1" x14ac:dyDescent="0.3">
      <c r="D157" s="10" t="s">
        <v>263</v>
      </c>
      <c r="H157" s="10" t="str">
        <f>"dev"&amp;D157</f>
        <v>devMaison</v>
      </c>
      <c r="J157" s="10" t="s">
        <v>263</v>
      </c>
      <c r="K157" s="10" t="s">
        <v>263</v>
      </c>
      <c r="L157" s="10" t="s">
        <v>272</v>
      </c>
      <c r="Q157" s="10" t="s">
        <v>401</v>
      </c>
    </row>
    <row r="158" spans="4:18" x14ac:dyDescent="0.3">
      <c r="H158" t="s">
        <v>264</v>
      </c>
      <c r="J158" t="s">
        <v>266</v>
      </c>
      <c r="K158" t="s">
        <v>266</v>
      </c>
      <c r="L158" t="s">
        <v>266</v>
      </c>
      <c r="M158" t="s">
        <v>336</v>
      </c>
      <c r="N158" t="str">
        <f>H158</f>
        <v>jardin.on</v>
      </c>
      <c r="O158" t="s">
        <v>392</v>
      </c>
    </row>
    <row r="159" spans="4:18" x14ac:dyDescent="0.3">
      <c r="H159" t="s">
        <v>265</v>
      </c>
      <c r="J159" t="s">
        <v>267</v>
      </c>
      <c r="K159" t="s">
        <v>267</v>
      </c>
      <c r="L159" t="s">
        <v>267</v>
      </c>
      <c r="M159" t="s">
        <v>336</v>
      </c>
      <c r="N159" t="str">
        <f>H159</f>
        <v>jardin.off</v>
      </c>
      <c r="O159" t="s">
        <v>392</v>
      </c>
      <c r="P159" s="7" t="s">
        <v>395</v>
      </c>
      <c r="Q159" s="7"/>
      <c r="R159" s="7"/>
    </row>
    <row r="160" spans="4:18" x14ac:dyDescent="0.3">
      <c r="H160" t="s">
        <v>270</v>
      </c>
      <c r="J160" t="s">
        <v>344</v>
      </c>
      <c r="K160" t="s">
        <v>344</v>
      </c>
      <c r="L160" t="s">
        <v>268</v>
      </c>
      <c r="M160" t="s">
        <v>336</v>
      </c>
      <c r="N160" t="str">
        <f>H160</f>
        <v>volets.on</v>
      </c>
      <c r="O160" t="s">
        <v>393</v>
      </c>
    </row>
    <row r="161" spans="4:18" x14ac:dyDescent="0.3">
      <c r="H161" t="s">
        <v>271</v>
      </c>
      <c r="J161" t="s">
        <v>345</v>
      </c>
      <c r="K161" t="s">
        <v>345</v>
      </c>
      <c r="L161" t="s">
        <v>269</v>
      </c>
      <c r="M161" t="s">
        <v>336</v>
      </c>
      <c r="N161" t="str">
        <f>H161</f>
        <v>volets.off</v>
      </c>
      <c r="O161" t="s">
        <v>393</v>
      </c>
      <c r="P161" s="7" t="s">
        <v>395</v>
      </c>
      <c r="Q161" s="7"/>
      <c r="R161" s="7"/>
    </row>
    <row r="162" spans="4:18" s="10" customFormat="1" x14ac:dyDescent="0.3">
      <c r="D162" s="10" t="s">
        <v>273</v>
      </c>
      <c r="H162" s="10" t="str">
        <f>"dev"&amp;D162</f>
        <v>devTV</v>
      </c>
      <c r="J162" s="10" t="s">
        <v>307</v>
      </c>
      <c r="K162" s="10" t="s">
        <v>307</v>
      </c>
      <c r="L162" s="10" t="s">
        <v>307</v>
      </c>
      <c r="Q162" s="10" t="s">
        <v>399</v>
      </c>
    </row>
    <row r="163" spans="4:18" x14ac:dyDescent="0.3">
      <c r="H163" t="s">
        <v>274</v>
      </c>
      <c r="J163" t="s">
        <v>281</v>
      </c>
      <c r="K163" t="s">
        <v>281</v>
      </c>
      <c r="M163" t="s">
        <v>336</v>
      </c>
      <c r="N163" t="str">
        <f t="shared" ref="N163:N169" si="10">H163</f>
        <v>tv.on</v>
      </c>
    </row>
    <row r="164" spans="4:18" x14ac:dyDescent="0.3">
      <c r="H164" t="s">
        <v>275</v>
      </c>
      <c r="J164" t="s">
        <v>282</v>
      </c>
      <c r="K164" t="s">
        <v>282</v>
      </c>
      <c r="M164" t="s">
        <v>336</v>
      </c>
      <c r="N164" t="str">
        <f t="shared" si="10"/>
        <v>tv.off</v>
      </c>
    </row>
    <row r="165" spans="4:18" x14ac:dyDescent="0.3">
      <c r="H165" t="s">
        <v>276</v>
      </c>
      <c r="J165" t="s">
        <v>283</v>
      </c>
      <c r="K165" t="s">
        <v>283</v>
      </c>
      <c r="M165" t="s">
        <v>336</v>
      </c>
      <c r="N165" t="str">
        <f t="shared" si="10"/>
        <v>tv.mute</v>
      </c>
      <c r="P165" s="7" t="s">
        <v>395</v>
      </c>
      <c r="Q165" s="7"/>
      <c r="R165" s="7"/>
    </row>
    <row r="166" spans="4:18" x14ac:dyDescent="0.3">
      <c r="H166" t="s">
        <v>277</v>
      </c>
      <c r="J166" t="s">
        <v>365</v>
      </c>
      <c r="K166" t="s">
        <v>365</v>
      </c>
      <c r="M166" t="s">
        <v>336</v>
      </c>
      <c r="N166" t="str">
        <f t="shared" si="10"/>
        <v>tv.entree.hdmi1</v>
      </c>
    </row>
    <row r="167" spans="4:18" x14ac:dyDescent="0.3">
      <c r="H167" t="s">
        <v>278</v>
      </c>
      <c r="J167" t="s">
        <v>366</v>
      </c>
      <c r="K167" t="s">
        <v>366</v>
      </c>
      <c r="M167" t="s">
        <v>336</v>
      </c>
      <c r="N167" t="str">
        <f t="shared" si="10"/>
        <v>tv.entree.hdmi2</v>
      </c>
    </row>
    <row r="168" spans="4:18" x14ac:dyDescent="0.3">
      <c r="H168" t="s">
        <v>279</v>
      </c>
      <c r="J168" t="s">
        <v>367</v>
      </c>
      <c r="K168" t="s">
        <v>367</v>
      </c>
      <c r="M168" t="s">
        <v>336</v>
      </c>
      <c r="N168" t="str">
        <f t="shared" si="10"/>
        <v>tv.entree.hdmi3</v>
      </c>
      <c r="P168" s="7" t="s">
        <v>395</v>
      </c>
      <c r="Q168" s="7"/>
      <c r="R168" s="7"/>
    </row>
    <row r="169" spans="4:18" x14ac:dyDescent="0.3">
      <c r="H169" t="s">
        <v>280</v>
      </c>
      <c r="J169" t="s">
        <v>284</v>
      </c>
      <c r="K169" t="s">
        <v>284</v>
      </c>
      <c r="M169" t="s">
        <v>336</v>
      </c>
      <c r="N169" t="str">
        <f t="shared" si="10"/>
        <v>tv.vol0</v>
      </c>
      <c r="P169" s="7" t="s">
        <v>395</v>
      </c>
      <c r="Q169" s="7"/>
      <c r="R169" s="7"/>
    </row>
    <row r="170" spans="4:18" s="10" customFormat="1" x14ac:dyDescent="0.3">
      <c r="D170" s="10" t="s">
        <v>347</v>
      </c>
      <c r="H170" s="10" t="str">
        <f>"dev"&amp;D170</f>
        <v>devVPSalon</v>
      </c>
      <c r="J170" s="10" t="s">
        <v>308</v>
      </c>
      <c r="K170" s="10" t="s">
        <v>308</v>
      </c>
      <c r="L170" s="10" t="s">
        <v>308</v>
      </c>
      <c r="Q170" s="10" t="s">
        <v>399</v>
      </c>
    </row>
    <row r="171" spans="4:18" x14ac:dyDescent="0.3">
      <c r="H171" t="s">
        <v>310</v>
      </c>
      <c r="J171" t="s">
        <v>296</v>
      </c>
      <c r="K171" t="s">
        <v>296</v>
      </c>
      <c r="M171" t="s">
        <v>336</v>
      </c>
      <c r="N171" t="str">
        <f>H171</f>
        <v>vpsalon.on</v>
      </c>
    </row>
    <row r="172" spans="4:18" x14ac:dyDescent="0.3">
      <c r="H172" t="s">
        <v>311</v>
      </c>
      <c r="J172" t="s">
        <v>297</v>
      </c>
      <c r="K172" t="s">
        <v>297</v>
      </c>
      <c r="M172" t="s">
        <v>336</v>
      </c>
      <c r="N172" t="str">
        <f>H172</f>
        <v>vpsalon.off</v>
      </c>
      <c r="P172" s="7" t="s">
        <v>395</v>
      </c>
      <c r="Q172" s="7"/>
      <c r="R172" s="7"/>
    </row>
    <row r="173" spans="4:18" x14ac:dyDescent="0.3">
      <c r="H173" t="s">
        <v>299</v>
      </c>
      <c r="J173" t="s">
        <v>300</v>
      </c>
      <c r="K173" t="s">
        <v>300</v>
      </c>
      <c r="M173" t="s">
        <v>336</v>
      </c>
      <c r="N173" t="str">
        <f>H173</f>
        <v>ecran.haut</v>
      </c>
    </row>
    <row r="174" spans="4:18" x14ac:dyDescent="0.3">
      <c r="H174" t="s">
        <v>298</v>
      </c>
      <c r="J174" t="s">
        <v>301</v>
      </c>
      <c r="K174" t="s">
        <v>301</v>
      </c>
      <c r="M174" t="s">
        <v>336</v>
      </c>
      <c r="N174" t="str">
        <f>H174</f>
        <v>ecran.bas</v>
      </c>
      <c r="P174" s="7" t="s">
        <v>395</v>
      </c>
      <c r="Q174" s="7"/>
      <c r="R174" s="7"/>
    </row>
    <row r="175" spans="4:18" s="10" customFormat="1" x14ac:dyDescent="0.3">
      <c r="D175" s="10" t="s">
        <v>348</v>
      </c>
      <c r="H175" s="10" t="str">
        <f>"dev"&amp;D175</f>
        <v>devVPStudio</v>
      </c>
      <c r="J175" s="10" t="s">
        <v>312</v>
      </c>
      <c r="K175" s="10" t="s">
        <v>312</v>
      </c>
      <c r="L175" s="10" t="s">
        <v>312</v>
      </c>
      <c r="Q175" s="10" t="s">
        <v>399</v>
      </c>
    </row>
    <row r="176" spans="4:18" x14ac:dyDescent="0.3">
      <c r="H176" t="s">
        <v>227</v>
      </c>
      <c r="J176" t="s">
        <v>296</v>
      </c>
      <c r="K176" t="s">
        <v>296</v>
      </c>
      <c r="M176" t="s">
        <v>336</v>
      </c>
      <c r="N176" t="str">
        <f>H176</f>
        <v>vpstudio.on</v>
      </c>
    </row>
    <row r="177" spans="4:18" x14ac:dyDescent="0.3">
      <c r="H177" t="s">
        <v>228</v>
      </c>
      <c r="J177" t="s">
        <v>297</v>
      </c>
      <c r="K177" t="s">
        <v>297</v>
      </c>
      <c r="M177" t="s">
        <v>336</v>
      </c>
      <c r="N177" t="str">
        <f>H177</f>
        <v>vpstudio.off</v>
      </c>
      <c r="P177" s="7" t="s">
        <v>395</v>
      </c>
      <c r="Q177" s="7"/>
      <c r="R177" s="7"/>
    </row>
    <row r="178" spans="4:18" s="10" customFormat="1" x14ac:dyDescent="0.3">
      <c r="D178" s="10" t="s">
        <v>349</v>
      </c>
      <c r="H178" s="10" t="str">
        <f>"dev"&amp;D178</f>
        <v>devAmpliSalon</v>
      </c>
      <c r="J178" s="10" t="s">
        <v>309</v>
      </c>
      <c r="K178" s="10" t="s">
        <v>309</v>
      </c>
      <c r="L178" s="10" t="s">
        <v>309</v>
      </c>
      <c r="Q178" s="10" t="s">
        <v>399</v>
      </c>
    </row>
    <row r="179" spans="4:18" x14ac:dyDescent="0.3">
      <c r="H179" t="s">
        <v>50</v>
      </c>
      <c r="J179" t="s">
        <v>302</v>
      </c>
      <c r="K179" t="s">
        <v>302</v>
      </c>
      <c r="M179" t="s">
        <v>336</v>
      </c>
      <c r="N179" t="str">
        <f>H179</f>
        <v>ampli.on</v>
      </c>
    </row>
    <row r="180" spans="4:18" x14ac:dyDescent="0.3">
      <c r="H180" t="s">
        <v>49</v>
      </c>
      <c r="J180" t="s">
        <v>303</v>
      </c>
      <c r="K180" t="s">
        <v>303</v>
      </c>
      <c r="M180" t="s">
        <v>336</v>
      </c>
      <c r="N180" t="str">
        <f>H180</f>
        <v>ampli.off</v>
      </c>
      <c r="P180" s="7" t="s">
        <v>395</v>
      </c>
      <c r="Q180" s="7"/>
      <c r="R180" s="7"/>
    </row>
    <row r="181" spans="4:18" x14ac:dyDescent="0.3">
      <c r="H181" t="s">
        <v>44</v>
      </c>
      <c r="J181" t="s">
        <v>304</v>
      </c>
      <c r="K181" t="s">
        <v>304</v>
      </c>
      <c r="M181" t="s">
        <v>336</v>
      </c>
      <c r="N181" t="str">
        <f>H181</f>
        <v>ampli.volp</v>
      </c>
    </row>
    <row r="182" spans="4:18" x14ac:dyDescent="0.3">
      <c r="H182" t="s">
        <v>45</v>
      </c>
      <c r="J182" t="s">
        <v>305</v>
      </c>
      <c r="K182" t="s">
        <v>305</v>
      </c>
      <c r="M182" t="s">
        <v>336</v>
      </c>
      <c r="N182" t="str">
        <f>H182</f>
        <v>ampli.volm</v>
      </c>
    </row>
    <row r="183" spans="4:18" x14ac:dyDescent="0.3">
      <c r="H183" t="s">
        <v>46</v>
      </c>
      <c r="J183" t="s">
        <v>283</v>
      </c>
      <c r="K183" t="s">
        <v>283</v>
      </c>
      <c r="M183" t="s">
        <v>336</v>
      </c>
      <c r="N183" t="str">
        <f>H183</f>
        <v>ampli.mute</v>
      </c>
      <c r="P183" s="7" t="s">
        <v>395</v>
      </c>
      <c r="Q183" s="7"/>
      <c r="R183" s="7"/>
    </row>
    <row r="184" spans="4:18" s="10" customFormat="1" x14ac:dyDescent="0.3">
      <c r="D184" s="10" t="s">
        <v>350</v>
      </c>
      <c r="H184" s="10" t="str">
        <f>"dev"&amp;D184</f>
        <v>devAmpliStudio</v>
      </c>
      <c r="J184" s="10" t="s">
        <v>346</v>
      </c>
      <c r="K184" s="10" t="s">
        <v>346</v>
      </c>
      <c r="L184" s="10" t="s">
        <v>346</v>
      </c>
      <c r="Q184" s="10" t="s">
        <v>399</v>
      </c>
    </row>
    <row r="185" spans="4:18" x14ac:dyDescent="0.3">
      <c r="H185" t="s">
        <v>351</v>
      </c>
      <c r="J185" t="s">
        <v>304</v>
      </c>
      <c r="K185" t="s">
        <v>304</v>
      </c>
      <c r="M185" t="s">
        <v>336</v>
      </c>
      <c r="N185" t="str">
        <f>H185</f>
        <v>preamp.volp</v>
      </c>
    </row>
    <row r="186" spans="4:18" x14ac:dyDescent="0.3">
      <c r="H186" t="s">
        <v>352</v>
      </c>
      <c r="J186" t="s">
        <v>305</v>
      </c>
      <c r="K186" t="s">
        <v>305</v>
      </c>
      <c r="M186" t="s">
        <v>336</v>
      </c>
      <c r="N186" t="str">
        <f>H186</f>
        <v>preamp.volm</v>
      </c>
    </row>
    <row r="187" spans="4:18" x14ac:dyDescent="0.3">
      <c r="H187" t="s">
        <v>229</v>
      </c>
      <c r="J187" t="s">
        <v>283</v>
      </c>
      <c r="K187" t="s">
        <v>283</v>
      </c>
      <c r="M187" t="s">
        <v>336</v>
      </c>
      <c r="N187" t="str">
        <f>H187</f>
        <v>preamp.mute</v>
      </c>
      <c r="P187" s="7" t="s">
        <v>395</v>
      </c>
      <c r="Q187" s="7"/>
      <c r="R187" s="7"/>
    </row>
    <row r="188" spans="4:18" s="10" customFormat="1" x14ac:dyDescent="0.3">
      <c r="D188" s="10" t="s">
        <v>306</v>
      </c>
      <c r="H188" s="10" t="str">
        <f>"dev"&amp;D188</f>
        <v>devHDMI</v>
      </c>
      <c r="J188" s="10" t="s">
        <v>306</v>
      </c>
      <c r="K188" s="10" t="s">
        <v>306</v>
      </c>
      <c r="L188" s="10" t="s">
        <v>314</v>
      </c>
      <c r="Q188" s="10" t="s">
        <v>399</v>
      </c>
    </row>
    <row r="189" spans="4:18" x14ac:dyDescent="0.3">
      <c r="H189" t="s">
        <v>77</v>
      </c>
      <c r="J189" t="s">
        <v>365</v>
      </c>
      <c r="K189">
        <v>1</v>
      </c>
      <c r="M189" t="s">
        <v>336</v>
      </c>
      <c r="N189" t="str">
        <f>H189</f>
        <v>hdmi.1</v>
      </c>
    </row>
    <row r="190" spans="4:18" x14ac:dyDescent="0.3">
      <c r="H190" t="s">
        <v>78</v>
      </c>
      <c r="J190" t="s">
        <v>366</v>
      </c>
      <c r="K190">
        <v>2</v>
      </c>
      <c r="M190" t="s">
        <v>336</v>
      </c>
      <c r="N190" t="str">
        <f>H190</f>
        <v>hdmi.2</v>
      </c>
    </row>
    <row r="191" spans="4:18" x14ac:dyDescent="0.3">
      <c r="H191" t="s">
        <v>79</v>
      </c>
      <c r="J191" t="s">
        <v>367</v>
      </c>
      <c r="K191">
        <v>3</v>
      </c>
      <c r="M191" t="s">
        <v>336</v>
      </c>
      <c r="N191" t="str">
        <f>H191</f>
        <v>hdmi.3</v>
      </c>
    </row>
    <row r="192" spans="4:18" x14ac:dyDescent="0.3">
      <c r="H192" t="s">
        <v>80</v>
      </c>
      <c r="J192" t="s">
        <v>368</v>
      </c>
      <c r="K192">
        <v>4</v>
      </c>
      <c r="M192" t="s">
        <v>336</v>
      </c>
      <c r="N192" t="str">
        <f>H192</f>
        <v>hdmi.4</v>
      </c>
    </row>
    <row r="193" spans="4:18" x14ac:dyDescent="0.3">
      <c r="H193" t="s">
        <v>81</v>
      </c>
      <c r="J193" t="s">
        <v>369</v>
      </c>
      <c r="K193">
        <v>5</v>
      </c>
      <c r="M193" t="s">
        <v>336</v>
      </c>
      <c r="N193" t="str">
        <f>H193</f>
        <v>hdmi.5</v>
      </c>
      <c r="P193" s="7" t="s">
        <v>395</v>
      </c>
      <c r="Q193" s="7"/>
      <c r="R193" s="7"/>
    </row>
    <row r="194" spans="4:18" s="10" customFormat="1" x14ac:dyDescent="0.3">
      <c r="D194" s="10" t="s">
        <v>313</v>
      </c>
      <c r="H194" s="10" t="str">
        <f>"dev"&amp;D194</f>
        <v>devSonOff01</v>
      </c>
      <c r="J194" s="10" t="s">
        <v>313</v>
      </c>
      <c r="K194" s="10" t="s">
        <v>313</v>
      </c>
      <c r="L194" s="10" t="s">
        <v>313</v>
      </c>
      <c r="Q194" s="10" t="s">
        <v>400</v>
      </c>
    </row>
    <row r="195" spans="4:18" x14ac:dyDescent="0.3">
      <c r="H195" t="s">
        <v>318</v>
      </c>
      <c r="J195" t="s">
        <v>316</v>
      </c>
      <c r="K195" t="s">
        <v>316</v>
      </c>
      <c r="M195" t="s">
        <v>338</v>
      </c>
      <c r="N195" t="str">
        <f>H195</f>
        <v>sonoff01.version</v>
      </c>
      <c r="P195" s="7" t="s">
        <v>395</v>
      </c>
      <c r="Q195" s="7"/>
      <c r="R195" s="7"/>
    </row>
    <row r="196" spans="4:18" x14ac:dyDescent="0.3">
      <c r="H196" t="s">
        <v>323</v>
      </c>
      <c r="J196" t="s">
        <v>325</v>
      </c>
      <c r="K196" t="s">
        <v>325</v>
      </c>
      <c r="M196" t="s">
        <v>338</v>
      </c>
      <c r="N196" t="str">
        <f>H196</f>
        <v>sonoff01.on</v>
      </c>
    </row>
    <row r="197" spans="4:18" x14ac:dyDescent="0.3">
      <c r="H197" t="s">
        <v>324</v>
      </c>
      <c r="J197" t="s">
        <v>326</v>
      </c>
      <c r="K197" t="s">
        <v>326</v>
      </c>
      <c r="M197" t="s">
        <v>338</v>
      </c>
      <c r="N197" t="str">
        <f>H197</f>
        <v>sonoff01.off</v>
      </c>
    </row>
    <row r="198" spans="4:18" x14ac:dyDescent="0.3">
      <c r="H198" t="s">
        <v>319</v>
      </c>
      <c r="J198" t="s">
        <v>322</v>
      </c>
      <c r="K198" t="s">
        <v>322</v>
      </c>
      <c r="M198" t="s">
        <v>338</v>
      </c>
      <c r="N198" t="str">
        <f>H198</f>
        <v>sonoff01.toggle</v>
      </c>
      <c r="P198" s="7" t="s">
        <v>395</v>
      </c>
      <c r="Q198" s="7"/>
      <c r="R198" s="7"/>
    </row>
    <row r="199" spans="4:18" x14ac:dyDescent="0.3">
      <c r="H199" t="s">
        <v>321</v>
      </c>
      <c r="J199" t="s">
        <v>320</v>
      </c>
      <c r="K199" t="s">
        <v>320</v>
      </c>
      <c r="M199" t="s">
        <v>341</v>
      </c>
      <c r="N199" t="s">
        <v>343</v>
      </c>
      <c r="P199" s="7" t="s">
        <v>395</v>
      </c>
      <c r="Q199" s="7"/>
      <c r="R199" s="7"/>
    </row>
    <row r="200" spans="4:18" s="10" customFormat="1" x14ac:dyDescent="0.3">
      <c r="D200" s="10" t="s">
        <v>327</v>
      </c>
      <c r="H200" s="10" t="str">
        <f>"dev"&amp;D200</f>
        <v>devSonOff02</v>
      </c>
      <c r="J200" s="10" t="s">
        <v>327</v>
      </c>
      <c r="K200" s="10" t="s">
        <v>327</v>
      </c>
      <c r="L200" s="10" t="s">
        <v>327</v>
      </c>
      <c r="Q200" s="10" t="s">
        <v>400</v>
      </c>
    </row>
    <row r="201" spans="4:18" x14ac:dyDescent="0.3">
      <c r="H201" t="s">
        <v>328</v>
      </c>
      <c r="J201" t="s">
        <v>316</v>
      </c>
      <c r="K201" t="s">
        <v>316</v>
      </c>
      <c r="M201" t="s">
        <v>339</v>
      </c>
      <c r="N201" t="str">
        <f>H201</f>
        <v>sonoff02.version</v>
      </c>
      <c r="P201" s="7" t="s">
        <v>395</v>
      </c>
      <c r="Q201" s="7"/>
      <c r="R201" s="7"/>
    </row>
    <row r="202" spans="4:18" x14ac:dyDescent="0.3">
      <c r="H202" t="s">
        <v>329</v>
      </c>
      <c r="J202" t="s">
        <v>325</v>
      </c>
      <c r="K202" t="s">
        <v>325</v>
      </c>
      <c r="M202" t="s">
        <v>339</v>
      </c>
      <c r="N202" t="str">
        <f>H202</f>
        <v>sonoff02.on</v>
      </c>
    </row>
    <row r="203" spans="4:18" x14ac:dyDescent="0.3">
      <c r="H203" t="s">
        <v>330</v>
      </c>
      <c r="J203" t="s">
        <v>326</v>
      </c>
      <c r="K203" t="s">
        <v>326</v>
      </c>
      <c r="M203" t="s">
        <v>339</v>
      </c>
      <c r="N203" t="str">
        <f>H203</f>
        <v>sonoff02.off</v>
      </c>
    </row>
    <row r="204" spans="4:18" x14ac:dyDescent="0.3">
      <c r="H204" t="s">
        <v>331</v>
      </c>
      <c r="J204" t="s">
        <v>322</v>
      </c>
      <c r="K204" t="s">
        <v>322</v>
      </c>
      <c r="M204" t="s">
        <v>339</v>
      </c>
      <c r="N204" t="str">
        <f>H204</f>
        <v>sonoff02.toggle</v>
      </c>
      <c r="P204" s="7" t="s">
        <v>395</v>
      </c>
      <c r="Q204" s="7"/>
      <c r="R204" s="7"/>
    </row>
    <row r="205" spans="4:18" x14ac:dyDescent="0.3">
      <c r="H205" t="s">
        <v>332</v>
      </c>
      <c r="J205" t="s">
        <v>320</v>
      </c>
      <c r="K205" t="s">
        <v>320</v>
      </c>
      <c r="M205" t="s">
        <v>342</v>
      </c>
      <c r="N205" t="s">
        <v>343</v>
      </c>
      <c r="P205" s="7" t="s">
        <v>395</v>
      </c>
      <c r="Q205" s="7"/>
      <c r="R205" s="7"/>
    </row>
    <row r="206" spans="4:18" s="10" customFormat="1" x14ac:dyDescent="0.3">
      <c r="D206" s="10" t="s">
        <v>333</v>
      </c>
      <c r="H206" s="10" t="str">
        <f>"dev"&amp;D206</f>
        <v>devESPIR01</v>
      </c>
      <c r="J206" s="10" t="s">
        <v>333</v>
      </c>
      <c r="K206" s="10" t="s">
        <v>333</v>
      </c>
      <c r="L206" s="10" t="s">
        <v>333</v>
      </c>
      <c r="Q206" s="10" t="s">
        <v>400</v>
      </c>
    </row>
    <row r="207" spans="4:18" x14ac:dyDescent="0.3">
      <c r="H207" t="s">
        <v>315</v>
      </c>
      <c r="J207" t="s">
        <v>316</v>
      </c>
      <c r="K207" t="s">
        <v>316</v>
      </c>
      <c r="M207" t="s">
        <v>337</v>
      </c>
      <c r="N207" t="str">
        <f>H207</f>
        <v>version</v>
      </c>
      <c r="P207" s="7" t="s">
        <v>395</v>
      </c>
      <c r="Q207" s="7"/>
      <c r="R207" s="7"/>
    </row>
    <row r="208" spans="4:18" x14ac:dyDescent="0.3">
      <c r="H208" t="s">
        <v>65</v>
      </c>
      <c r="J208" t="s">
        <v>325</v>
      </c>
      <c r="K208" t="s">
        <v>325</v>
      </c>
      <c r="M208" t="s">
        <v>337</v>
      </c>
      <c r="N208" t="str">
        <f>H208</f>
        <v>on</v>
      </c>
    </row>
    <row r="209" spans="8:18" x14ac:dyDescent="0.3">
      <c r="H209" t="s">
        <v>66</v>
      </c>
      <c r="J209" t="s">
        <v>326</v>
      </c>
      <c r="K209" t="s">
        <v>326</v>
      </c>
      <c r="M209" t="s">
        <v>337</v>
      </c>
      <c r="N209" t="str">
        <f>H209</f>
        <v>off</v>
      </c>
    </row>
    <row r="210" spans="8:18" x14ac:dyDescent="0.3">
      <c r="H210" t="s">
        <v>317</v>
      </c>
      <c r="J210" t="s">
        <v>322</v>
      </c>
      <c r="K210" t="s">
        <v>322</v>
      </c>
      <c r="M210" t="s">
        <v>337</v>
      </c>
      <c r="N210" t="str">
        <f>H210</f>
        <v>toggle</v>
      </c>
      <c r="P210" s="7" t="s">
        <v>395</v>
      </c>
      <c r="Q210" s="7"/>
      <c r="R210" s="7"/>
    </row>
    <row r="211" spans="8:18" x14ac:dyDescent="0.3">
      <c r="H211" t="s">
        <v>320</v>
      </c>
      <c r="J211" t="s">
        <v>320</v>
      </c>
      <c r="K211" t="s">
        <v>320</v>
      </c>
      <c r="M211" t="s">
        <v>340</v>
      </c>
      <c r="N211" t="s">
        <v>343</v>
      </c>
      <c r="P211" s="7" t="s">
        <v>395</v>
      </c>
      <c r="Q211" s="7"/>
      <c r="R211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6" sqref="A6"/>
    </sheetView>
  </sheetViews>
  <sheetFormatPr defaultRowHeight="14.4" x14ac:dyDescent="0.3"/>
  <cols>
    <col min="1" max="1" width="15.88671875" customWidth="1"/>
    <col min="2" max="2" width="97.88671875" bestFit="1" customWidth="1"/>
  </cols>
  <sheetData>
    <row r="1" spans="1:2" s="9" customFormat="1" ht="48.6" customHeight="1" x14ac:dyDescent="0.3">
      <c r="A1" s="9" t="s">
        <v>230</v>
      </c>
      <c r="B1" s="9" t="s">
        <v>470</v>
      </c>
    </row>
    <row r="2" spans="1:2" x14ac:dyDescent="0.3">
      <c r="A2" t="s">
        <v>232</v>
      </c>
      <c r="B2" t="s">
        <v>427</v>
      </c>
    </row>
    <row r="3" spans="1:2" x14ac:dyDescent="0.3">
      <c r="A3" t="s">
        <v>444</v>
      </c>
      <c r="B3" t="s">
        <v>441</v>
      </c>
    </row>
    <row r="4" spans="1:2" x14ac:dyDescent="0.3">
      <c r="A4" t="s">
        <v>473</v>
      </c>
      <c r="B4" t="s">
        <v>442</v>
      </c>
    </row>
    <row r="5" spans="1:2" x14ac:dyDescent="0.3">
      <c r="A5" t="s">
        <v>474</v>
      </c>
      <c r="B5" t="s">
        <v>443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129540</xdr:colOff>
                    <xdr:row>0</xdr:row>
                    <xdr:rowOff>106680</xdr:rowOff>
                  </from>
                  <to>
                    <xdr:col>0</xdr:col>
                    <xdr:colOff>640080</xdr:colOff>
                    <xdr:row>0</xdr:row>
                    <xdr:rowOff>396240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7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N13" sqref="N13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1" s="9" customFormat="1" ht="36.6" customHeight="1" x14ac:dyDescent="0.3">
      <c r="A1" s="9" t="s">
        <v>231</v>
      </c>
      <c r="B1" s="9" t="s">
        <v>371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394</v>
      </c>
      <c r="J1" s="9" t="s">
        <v>396</v>
      </c>
      <c r="K1" s="9" t="s">
        <v>370</v>
      </c>
    </row>
    <row r="2" spans="1:11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398</v>
      </c>
    </row>
    <row r="3" spans="1:11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1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395</v>
      </c>
      <c r="J4" s="7"/>
    </row>
    <row r="5" spans="1:11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1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395</v>
      </c>
      <c r="J6" s="7"/>
    </row>
    <row r="7" spans="1:11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397</v>
      </c>
    </row>
    <row r="8" spans="1:11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1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395</v>
      </c>
      <c r="J9" s="7"/>
    </row>
    <row r="10" spans="1:11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382</v>
      </c>
    </row>
    <row r="11" spans="1:11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382</v>
      </c>
      <c r="I11" s="7" t="s">
        <v>395</v>
      </c>
      <c r="J11" s="7"/>
    </row>
    <row r="12" spans="1:11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383</v>
      </c>
    </row>
    <row r="13" spans="1:11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383</v>
      </c>
      <c r="I13" s="7" t="s">
        <v>395</v>
      </c>
      <c r="J13" s="7"/>
    </row>
    <row r="14" spans="1:11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384</v>
      </c>
    </row>
    <row r="15" spans="1:11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384</v>
      </c>
      <c r="I15" s="7" t="s">
        <v>395</v>
      </c>
      <c r="J15" s="7"/>
    </row>
    <row r="16" spans="1:11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385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385</v>
      </c>
      <c r="I17" s="7" t="s">
        <v>395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386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386</v>
      </c>
      <c r="I19" s="7" t="s">
        <v>395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397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395</v>
      </c>
      <c r="J22" s="7"/>
    </row>
    <row r="23" spans="1:10" x14ac:dyDescent="0.3">
      <c r="B23" t="s">
        <v>372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387</v>
      </c>
    </row>
    <row r="24" spans="1:10" x14ac:dyDescent="0.3">
      <c r="B24" t="s">
        <v>373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387</v>
      </c>
      <c r="I24" s="7" t="s">
        <v>395</v>
      </c>
      <c r="J24" s="7"/>
    </row>
    <row r="25" spans="1:10" x14ac:dyDescent="0.3">
      <c r="B25" t="s">
        <v>374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388</v>
      </c>
    </row>
    <row r="26" spans="1:10" x14ac:dyDescent="0.3">
      <c r="B26" t="s">
        <v>375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388</v>
      </c>
      <c r="I26" s="7" t="s">
        <v>395</v>
      </c>
      <c r="J26" s="7"/>
    </row>
    <row r="27" spans="1:10" x14ac:dyDescent="0.3">
      <c r="B27" t="s">
        <v>376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389</v>
      </c>
    </row>
    <row r="28" spans="1:10" x14ac:dyDescent="0.3">
      <c r="B28" t="s">
        <v>377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389</v>
      </c>
      <c r="I28" s="7" t="s">
        <v>395</v>
      </c>
      <c r="J28" s="7"/>
    </row>
    <row r="29" spans="1:10" x14ac:dyDescent="0.3">
      <c r="B29" t="s">
        <v>378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390</v>
      </c>
    </row>
    <row r="30" spans="1:10" x14ac:dyDescent="0.3">
      <c r="B30" t="s">
        <v>379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390</v>
      </c>
      <c r="I30" s="7" t="s">
        <v>395</v>
      </c>
      <c r="J30" s="7"/>
    </row>
    <row r="31" spans="1:10" x14ac:dyDescent="0.3">
      <c r="B31" t="s">
        <v>380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391</v>
      </c>
    </row>
    <row r="32" spans="1:10" x14ac:dyDescent="0.3">
      <c r="B32" t="s">
        <v>381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391</v>
      </c>
      <c r="I32" s="7" t="s">
        <v>395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401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392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392</v>
      </c>
      <c r="I35" s="7" t="s">
        <v>395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393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393</v>
      </c>
      <c r="I37" s="7" t="s">
        <v>395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399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395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395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395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399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395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395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399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395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399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395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395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399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395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399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395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400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395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395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t="s">
        <v>343</v>
      </c>
      <c r="I75" s="7" t="s">
        <v>395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400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395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395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395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400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395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395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395</v>
      </c>
      <c r="J87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zoomScale="70" zoomScaleNormal="70"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G2" sqref="G2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zoomScale="85" zoomScaleNormal="85" workbookViewId="0">
      <pane ySplit="1" topLeftCell="A2" activePane="bottomLeft" state="frozen"/>
      <selection pane="bottomLeft" activeCell="P22" sqref="P22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2018-01-26T12:12:52Z</dcterms:modified>
</cp:coreProperties>
</file>