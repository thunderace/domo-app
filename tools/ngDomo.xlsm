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filterPrivacy="1" codeName="ThisWorkbook"/>
  <bookViews>
    <workbookView xWindow="0" yWindow="0" windowWidth="20736" windowHeight="11760" activeTab="1"/>
  </bookViews>
  <sheets>
    <sheet name="Menus" sheetId="6" r:id="rId1"/>
    <sheet name="Components" sheetId="4" r:id="rId2"/>
    <sheet name="Webcams" sheetId="5" r:id="rId3"/>
    <sheet name="Commands" sheetId="3" r:id="rId4"/>
    <sheet name="Triggers" sheetId="1" r:id="rId5"/>
    <sheet name="Action" sheetId="2" r:id="rId6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01" i="4" l="1"/>
  <c r="K100" i="4"/>
  <c r="K99" i="4"/>
  <c r="K98" i="4"/>
  <c r="K97" i="4"/>
  <c r="K96" i="4"/>
  <c r="N94" i="4"/>
  <c r="N93" i="4"/>
  <c r="N91" i="4"/>
  <c r="N90" i="4"/>
  <c r="N88" i="4"/>
  <c r="N87" i="4"/>
  <c r="K92" i="4"/>
  <c r="K89" i="4"/>
  <c r="K86" i="4"/>
  <c r="N84" i="4"/>
  <c r="N83" i="4"/>
  <c r="N82" i="4"/>
  <c r="N81" i="4"/>
  <c r="N80" i="4"/>
  <c r="N78" i="4"/>
  <c r="N77" i="4"/>
  <c r="N76" i="4"/>
  <c r="N75" i="4"/>
  <c r="N74" i="4"/>
  <c r="N72" i="4"/>
  <c r="N71" i="4"/>
  <c r="N70" i="4"/>
  <c r="N69" i="4"/>
  <c r="N68" i="4"/>
  <c r="N67" i="4"/>
  <c r="N66" i="4"/>
  <c r="N64" i="4"/>
  <c r="N63" i="4"/>
  <c r="K79" i="4"/>
  <c r="K73" i="4"/>
  <c r="K65" i="4"/>
  <c r="K62" i="4"/>
  <c r="N60" i="4"/>
  <c r="N59" i="4"/>
  <c r="N58" i="4"/>
  <c r="N57" i="4"/>
  <c r="N56" i="4"/>
  <c r="N55" i="4"/>
  <c r="N54" i="4"/>
  <c r="N53" i="4"/>
  <c r="N52" i="4"/>
  <c r="N51" i="4"/>
  <c r="N50" i="4"/>
  <c r="N49" i="4"/>
  <c r="K48" i="4"/>
  <c r="K29" i="4"/>
  <c r="K34" i="4"/>
  <c r="N46" i="4"/>
  <c r="N45" i="4"/>
  <c r="N44" i="4"/>
  <c r="N43" i="4"/>
  <c r="N42" i="4"/>
  <c r="N41" i="4"/>
  <c r="N40" i="4"/>
  <c r="N39" i="4"/>
  <c r="N38" i="4"/>
  <c r="N37" i="4"/>
  <c r="N36" i="4"/>
  <c r="N35" i="4"/>
  <c r="H26" i="4"/>
  <c r="J25" i="4"/>
  <c r="K25" i="4" s="1"/>
  <c r="H24" i="4"/>
  <c r="J23" i="4"/>
  <c r="K23" i="4" s="1"/>
  <c r="H22" i="4"/>
  <c r="J18" i="4"/>
  <c r="K18" i="4" s="1"/>
  <c r="I18" i="4"/>
  <c r="H18" i="4"/>
  <c r="J17" i="4"/>
  <c r="K17" i="4" s="1"/>
  <c r="I17" i="4"/>
  <c r="H17" i="4"/>
  <c r="N32" i="4"/>
  <c r="N31" i="4"/>
  <c r="N30" i="4"/>
  <c r="H16" i="4"/>
  <c r="K14" i="4"/>
  <c r="K13" i="4"/>
  <c r="I6" i="4"/>
  <c r="I7" i="4"/>
  <c r="I8" i="4"/>
  <c r="I9" i="4"/>
  <c r="I5" i="4"/>
  <c r="J9" i="4"/>
  <c r="K9" i="4" s="1"/>
  <c r="H9" i="4"/>
  <c r="J8" i="4"/>
  <c r="K8" i="4" s="1"/>
  <c r="H8" i="4"/>
  <c r="J7" i="4"/>
  <c r="K7" i="4" s="1"/>
  <c r="H7" i="4"/>
  <c r="J6" i="4"/>
  <c r="K6" i="4" s="1"/>
  <c r="J5" i="4"/>
  <c r="K5" i="4" s="1"/>
  <c r="H6" i="4"/>
  <c r="H5" i="4"/>
  <c r="H4" i="4"/>
  <c r="H109" i="4"/>
  <c r="N194" i="4"/>
  <c r="N193" i="4"/>
  <c r="N192" i="4"/>
  <c r="N191" i="4"/>
  <c r="H190" i="4"/>
  <c r="N188" i="4"/>
  <c r="N187" i="4"/>
  <c r="N186" i="4"/>
  <c r="N185" i="4"/>
  <c r="H184" i="4"/>
  <c r="N182" i="4"/>
  <c r="N181" i="4"/>
  <c r="N180" i="4"/>
  <c r="N179" i="4"/>
  <c r="H178" i="4"/>
  <c r="N177" i="4"/>
  <c r="N176" i="4"/>
  <c r="N175" i="4"/>
  <c r="N174" i="4"/>
  <c r="N173" i="4"/>
  <c r="H172" i="4"/>
  <c r="N171" i="4"/>
  <c r="N170" i="4"/>
  <c r="N169" i="4"/>
  <c r="H168" i="4"/>
  <c r="N167" i="4"/>
  <c r="N166" i="4"/>
  <c r="N165" i="4"/>
  <c r="N164" i="4"/>
  <c r="N163" i="4"/>
  <c r="H162" i="4"/>
  <c r="N161" i="4"/>
  <c r="N160" i="4"/>
  <c r="H159" i="4"/>
  <c r="N158" i="4"/>
  <c r="N157" i="4"/>
  <c r="N156" i="4"/>
  <c r="N155" i="4"/>
  <c r="H154" i="4"/>
  <c r="N153" i="4"/>
  <c r="N152" i="4"/>
  <c r="N151" i="4"/>
  <c r="N150" i="4"/>
  <c r="N149" i="4"/>
  <c r="N148" i="4"/>
  <c r="N147" i="4"/>
  <c r="H146" i="4"/>
  <c r="N145" i="4"/>
  <c r="N144" i="4"/>
  <c r="N143" i="4"/>
  <c r="N142" i="4"/>
  <c r="H141" i="4"/>
  <c r="N140" i="4"/>
  <c r="N139" i="4"/>
  <c r="N138" i="4"/>
  <c r="N137" i="4"/>
  <c r="N136" i="4"/>
  <c r="N135" i="4"/>
  <c r="N134" i="4"/>
  <c r="N133" i="4"/>
  <c r="N132" i="4"/>
  <c r="N131" i="4"/>
  <c r="N130" i="4"/>
  <c r="N129" i="4"/>
  <c r="H128" i="4"/>
  <c r="N127" i="4"/>
  <c r="N126" i="4"/>
  <c r="N125" i="4"/>
  <c r="N124" i="4"/>
  <c r="N123" i="4"/>
  <c r="N122" i="4"/>
  <c r="N121" i="4"/>
  <c r="N120" i="4"/>
  <c r="N119" i="4"/>
  <c r="N118" i="4"/>
  <c r="N117" i="4"/>
  <c r="N116" i="4"/>
  <c r="H115" i="4"/>
  <c r="N114" i="4"/>
  <c r="N113" i="4"/>
  <c r="N112" i="4"/>
  <c r="N111" i="4"/>
  <c r="H110" i="4"/>
  <c r="G63" i="3"/>
  <c r="G59" i="3"/>
  <c r="B82" i="3" l="1"/>
  <c r="B76" i="3"/>
  <c r="B70" i="3"/>
  <c r="B64" i="3"/>
  <c r="B60" i="3"/>
  <c r="B54" i="3"/>
  <c r="B51" i="3"/>
  <c r="B46" i="3"/>
  <c r="B38" i="3"/>
  <c r="B33" i="3"/>
  <c r="B20" i="3"/>
  <c r="B7" i="3"/>
  <c r="B2" i="3"/>
  <c r="G62" i="3"/>
  <c r="G61" i="3"/>
  <c r="G9" i="3"/>
  <c r="G10" i="3"/>
  <c r="G11" i="3"/>
  <c r="G12" i="3"/>
  <c r="G13" i="3"/>
  <c r="G14" i="3"/>
  <c r="G15" i="3"/>
  <c r="G16" i="3"/>
  <c r="G17" i="3"/>
  <c r="G18" i="3"/>
  <c r="G19" i="3"/>
  <c r="G21" i="3"/>
  <c r="G22" i="3"/>
  <c r="G23" i="3"/>
  <c r="G24" i="3"/>
  <c r="G25" i="3"/>
  <c r="G26" i="3"/>
  <c r="G27" i="3"/>
  <c r="G28" i="3"/>
  <c r="G29" i="3"/>
  <c r="G30" i="3"/>
  <c r="G31" i="3"/>
  <c r="G32" i="3"/>
  <c r="G34" i="3"/>
  <c r="G35" i="3"/>
  <c r="G36" i="3"/>
  <c r="G37" i="3"/>
  <c r="G39" i="3"/>
  <c r="G40" i="3"/>
  <c r="G41" i="3"/>
  <c r="G42" i="3"/>
  <c r="G43" i="3"/>
  <c r="G44" i="3"/>
  <c r="G45" i="3"/>
  <c r="G47" i="3"/>
  <c r="G48" i="3"/>
  <c r="G49" i="3"/>
  <c r="G50" i="3"/>
  <c r="G52" i="3"/>
  <c r="G53" i="3"/>
  <c r="G55" i="3"/>
  <c r="G56" i="3"/>
  <c r="G57" i="3"/>
  <c r="G58" i="3"/>
  <c r="G65" i="3"/>
  <c r="G66" i="3"/>
  <c r="G67" i="3"/>
  <c r="G68" i="3"/>
  <c r="G69" i="3"/>
  <c r="G3" i="3"/>
  <c r="G4" i="3"/>
  <c r="G5" i="3"/>
  <c r="G6" i="3"/>
  <c r="G71" i="3"/>
  <c r="G72" i="3"/>
  <c r="G73" i="3"/>
  <c r="G74" i="3"/>
  <c r="G77" i="3"/>
  <c r="G78" i="3"/>
  <c r="G79" i="3"/>
  <c r="G80" i="3"/>
  <c r="G83" i="3"/>
  <c r="G84" i="3"/>
  <c r="G85" i="3"/>
  <c r="G86" i="3"/>
  <c r="G8" i="3"/>
  <c r="J14" i="1" l="1"/>
  <c r="H14" i="1"/>
  <c r="G14" i="1"/>
  <c r="I14" i="1" s="1"/>
  <c r="F14" i="1"/>
  <c r="J13" i="1"/>
  <c r="H13" i="1"/>
  <c r="G13" i="1"/>
  <c r="I13" i="1" s="1"/>
  <c r="F13" i="1"/>
  <c r="G45" i="1"/>
  <c r="G44" i="1"/>
  <c r="G43" i="1"/>
  <c r="I43" i="1" s="1"/>
  <c r="G42" i="1"/>
  <c r="G41" i="1"/>
  <c r="I41" i="1" s="1"/>
  <c r="G40" i="1"/>
  <c r="G39" i="1"/>
  <c r="I39" i="1" s="1"/>
  <c r="G38" i="1"/>
  <c r="G37" i="1"/>
  <c r="I37" i="1" s="1"/>
  <c r="G36" i="1"/>
  <c r="I36" i="1"/>
  <c r="H36" i="1"/>
  <c r="J36" i="1"/>
  <c r="J45" i="1"/>
  <c r="I45" i="1"/>
  <c r="H45" i="1"/>
  <c r="J44" i="1"/>
  <c r="I44" i="1"/>
  <c r="H44" i="1"/>
  <c r="J43" i="1"/>
  <c r="H43" i="1"/>
  <c r="J42" i="1"/>
  <c r="I42" i="1"/>
  <c r="H42" i="1"/>
  <c r="J41" i="1"/>
  <c r="H41" i="1"/>
  <c r="J40" i="1"/>
  <c r="I40" i="1"/>
  <c r="H40" i="1"/>
  <c r="J39" i="1"/>
  <c r="H39" i="1"/>
  <c r="J38" i="1"/>
  <c r="I38" i="1"/>
  <c r="H38" i="1"/>
  <c r="J37" i="1"/>
  <c r="H37" i="1"/>
  <c r="H23" i="1"/>
  <c r="J23" i="1"/>
  <c r="H22" i="1"/>
  <c r="K13" i="1" l="1"/>
  <c r="K14" i="1"/>
  <c r="J33" i="1"/>
  <c r="J34" i="1"/>
  <c r="H33" i="1"/>
  <c r="H34" i="1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2" i="2"/>
  <c r="H3" i="2"/>
  <c r="J3" i="2" s="1"/>
  <c r="H4" i="2"/>
  <c r="J4" i="2" s="1"/>
  <c r="H5" i="2"/>
  <c r="I5" i="2" s="1"/>
  <c r="H6" i="2"/>
  <c r="I6" i="2" s="1"/>
  <c r="H7" i="2"/>
  <c r="J7" i="2" s="1"/>
  <c r="H8" i="2"/>
  <c r="J8" i="2" s="1"/>
  <c r="H9" i="2"/>
  <c r="I9" i="2" s="1"/>
  <c r="H10" i="2"/>
  <c r="I10" i="2" s="1"/>
  <c r="H11" i="2"/>
  <c r="J11" i="2" s="1"/>
  <c r="H12" i="2"/>
  <c r="J12" i="2" s="1"/>
  <c r="H13" i="2"/>
  <c r="I13" i="2" s="1"/>
  <c r="H14" i="2"/>
  <c r="I14" i="2" s="1"/>
  <c r="H15" i="2"/>
  <c r="J15" i="2" s="1"/>
  <c r="H16" i="2"/>
  <c r="J16" i="2" s="1"/>
  <c r="H17" i="2"/>
  <c r="I17" i="2" s="1"/>
  <c r="H18" i="2"/>
  <c r="I18" i="2" s="1"/>
  <c r="H19" i="2"/>
  <c r="J19" i="2" s="1"/>
  <c r="H20" i="2"/>
  <c r="J20" i="2" s="1"/>
  <c r="H21" i="2"/>
  <c r="I21" i="2" s="1"/>
  <c r="H22" i="2"/>
  <c r="I22" i="2" s="1"/>
  <c r="H23" i="2"/>
  <c r="J23" i="2" s="1"/>
  <c r="H24" i="2"/>
  <c r="J24" i="2" s="1"/>
  <c r="H25" i="2"/>
  <c r="I25" i="2" s="1"/>
  <c r="H26" i="2"/>
  <c r="I26" i="2" s="1"/>
  <c r="H27" i="2"/>
  <c r="J27" i="2" s="1"/>
  <c r="H28" i="2"/>
  <c r="J28" i="2" s="1"/>
  <c r="H29" i="2"/>
  <c r="I29" i="2" s="1"/>
  <c r="H30" i="2"/>
  <c r="I30" i="2" s="1"/>
  <c r="H31" i="2"/>
  <c r="J31" i="2" s="1"/>
  <c r="H32" i="2"/>
  <c r="J32" i="2" s="1"/>
  <c r="H33" i="2"/>
  <c r="I33" i="2" s="1"/>
  <c r="H34" i="2"/>
  <c r="I34" i="2" s="1"/>
  <c r="H35" i="2"/>
  <c r="J35" i="2" s="1"/>
  <c r="H36" i="2"/>
  <c r="J36" i="2" s="1"/>
  <c r="H37" i="2"/>
  <c r="I37" i="2" s="1"/>
  <c r="H38" i="2"/>
  <c r="I38" i="2" s="1"/>
  <c r="H39" i="2"/>
  <c r="J39" i="2" s="1"/>
  <c r="H40" i="2"/>
  <c r="J40" i="2" s="1"/>
  <c r="H41" i="2"/>
  <c r="I41" i="2" s="1"/>
  <c r="H42" i="2"/>
  <c r="I42" i="2" s="1"/>
  <c r="H43" i="2"/>
  <c r="J43" i="2" s="1"/>
  <c r="H44" i="2"/>
  <c r="J44" i="2" s="1"/>
  <c r="H45" i="2"/>
  <c r="I45" i="2" s="1"/>
  <c r="H46" i="2"/>
  <c r="I46" i="2" s="1"/>
  <c r="H47" i="2"/>
  <c r="J47" i="2" s="1"/>
  <c r="H48" i="2"/>
  <c r="J48" i="2" s="1"/>
  <c r="H49" i="2"/>
  <c r="I49" i="2" s="1"/>
  <c r="H50" i="2"/>
  <c r="I50" i="2" s="1"/>
  <c r="H51" i="2"/>
  <c r="J51" i="2" s="1"/>
  <c r="H2" i="2"/>
  <c r="J2" i="2" s="1"/>
  <c r="I3" i="2"/>
  <c r="I4" i="2"/>
  <c r="I7" i="2"/>
  <c r="I8" i="2"/>
  <c r="I11" i="2"/>
  <c r="I12" i="2"/>
  <c r="I15" i="2"/>
  <c r="I16" i="2"/>
  <c r="I19" i="2"/>
  <c r="I20" i="2"/>
  <c r="I23" i="2"/>
  <c r="I24" i="2"/>
  <c r="I27" i="2"/>
  <c r="I28" i="2"/>
  <c r="I31" i="2"/>
  <c r="I32" i="2"/>
  <c r="I35" i="2"/>
  <c r="I36" i="2"/>
  <c r="I39" i="2"/>
  <c r="I40" i="2"/>
  <c r="I44" i="2"/>
  <c r="I47" i="2"/>
  <c r="I48" i="2"/>
  <c r="I2" i="2"/>
  <c r="H32" i="1"/>
  <c r="F45" i="1"/>
  <c r="K45" i="1" s="1"/>
  <c r="H4" i="1"/>
  <c r="H5" i="1"/>
  <c r="H6" i="1"/>
  <c r="H7" i="1"/>
  <c r="H8" i="1"/>
  <c r="H9" i="1"/>
  <c r="H10" i="1"/>
  <c r="H11" i="1"/>
  <c r="H12" i="1"/>
  <c r="H15" i="1"/>
  <c r="H16" i="1"/>
  <c r="H17" i="1"/>
  <c r="H18" i="1"/>
  <c r="H19" i="1"/>
  <c r="H20" i="1"/>
  <c r="H21" i="1"/>
  <c r="H24" i="1"/>
  <c r="H31" i="1"/>
  <c r="H3" i="1"/>
  <c r="K24" i="1"/>
  <c r="J24" i="1"/>
  <c r="J31" i="1"/>
  <c r="J32" i="1"/>
  <c r="F4" i="1"/>
  <c r="F5" i="1"/>
  <c r="F6" i="1"/>
  <c r="F7" i="1"/>
  <c r="F8" i="1"/>
  <c r="F9" i="1"/>
  <c r="F10" i="1"/>
  <c r="F11" i="1"/>
  <c r="F12" i="1"/>
  <c r="F15" i="1"/>
  <c r="F16" i="1"/>
  <c r="F17" i="1"/>
  <c r="F18" i="1"/>
  <c r="F19" i="1"/>
  <c r="F20" i="1"/>
  <c r="F21" i="1"/>
  <c r="F22" i="1"/>
  <c r="F23" i="1"/>
  <c r="K23" i="1" s="1"/>
  <c r="F24" i="1"/>
  <c r="F31" i="1"/>
  <c r="F32" i="1"/>
  <c r="F33" i="1"/>
  <c r="F34" i="1"/>
  <c r="F36" i="1"/>
  <c r="K36" i="1" s="1"/>
  <c r="F37" i="1"/>
  <c r="K37" i="1" s="1"/>
  <c r="F38" i="1"/>
  <c r="K38" i="1" s="1"/>
  <c r="F39" i="1"/>
  <c r="K39" i="1" s="1"/>
  <c r="F40" i="1"/>
  <c r="K40" i="1" s="1"/>
  <c r="F41" i="1"/>
  <c r="K41" i="1" s="1"/>
  <c r="F42" i="1"/>
  <c r="K42" i="1" s="1"/>
  <c r="F43" i="1"/>
  <c r="K43" i="1" s="1"/>
  <c r="F44" i="1"/>
  <c r="K44" i="1" s="1"/>
  <c r="F3" i="1"/>
  <c r="G34" i="1"/>
  <c r="I34" i="1" s="1"/>
  <c r="G33" i="1"/>
  <c r="I33" i="1" s="1"/>
  <c r="G32" i="1"/>
  <c r="I32" i="1" s="1"/>
  <c r="G24" i="1"/>
  <c r="I24" i="1" s="1"/>
  <c r="G23" i="1"/>
  <c r="I23" i="1" s="1"/>
  <c r="G22" i="1"/>
  <c r="I22" i="1" s="1"/>
  <c r="G21" i="1"/>
  <c r="I21" i="1" s="1"/>
  <c r="G20" i="1"/>
  <c r="I20" i="1" s="1"/>
  <c r="G19" i="1"/>
  <c r="I19" i="1" s="1"/>
  <c r="G18" i="1"/>
  <c r="I18" i="1" s="1"/>
  <c r="G17" i="1"/>
  <c r="I17" i="1" s="1"/>
  <c r="G16" i="1"/>
  <c r="I16" i="1" s="1"/>
  <c r="G15" i="1"/>
  <c r="I15" i="1" s="1"/>
  <c r="G12" i="1"/>
  <c r="I12" i="1" s="1"/>
  <c r="G11" i="1"/>
  <c r="I11" i="1" s="1"/>
  <c r="G10" i="1"/>
  <c r="I10" i="1" s="1"/>
  <c r="G9" i="1"/>
  <c r="I9" i="1" s="1"/>
  <c r="G8" i="1"/>
  <c r="I8" i="1" s="1"/>
  <c r="G7" i="1"/>
  <c r="I7" i="1" s="1"/>
  <c r="G6" i="1"/>
  <c r="I6" i="1" s="1"/>
  <c r="G5" i="1"/>
  <c r="I5" i="1" s="1"/>
  <c r="G4" i="1"/>
  <c r="I4" i="1" s="1"/>
  <c r="G3" i="1"/>
  <c r="I3" i="1" s="1"/>
  <c r="G31" i="1"/>
  <c r="I31" i="1" s="1"/>
  <c r="J4" i="1"/>
  <c r="J5" i="1"/>
  <c r="J6" i="1"/>
  <c r="J7" i="1"/>
  <c r="J8" i="1"/>
  <c r="J9" i="1"/>
  <c r="J10" i="1"/>
  <c r="J11" i="1"/>
  <c r="J12" i="1"/>
  <c r="J15" i="1"/>
  <c r="J16" i="1"/>
  <c r="J17" i="1"/>
  <c r="J18" i="1"/>
  <c r="J19" i="1"/>
  <c r="J20" i="1"/>
  <c r="J21" i="1"/>
  <c r="J22" i="1"/>
  <c r="J3" i="1"/>
  <c r="I51" i="2" l="1"/>
  <c r="I43" i="2"/>
  <c r="J50" i="2"/>
  <c r="J42" i="2"/>
  <c r="J34" i="2"/>
  <c r="J26" i="2"/>
  <c r="J18" i="2"/>
  <c r="J10" i="2"/>
  <c r="J46" i="2"/>
  <c r="J38" i="2"/>
  <c r="J30" i="2"/>
  <c r="J22" i="2"/>
  <c r="J14" i="2"/>
  <c r="J6" i="2"/>
  <c r="J49" i="2"/>
  <c r="J45" i="2"/>
  <c r="J41" i="2"/>
  <c r="J37" i="2"/>
  <c r="J33" i="2"/>
  <c r="J29" i="2"/>
  <c r="J25" i="2"/>
  <c r="J21" i="2"/>
  <c r="J17" i="2"/>
  <c r="J13" i="2"/>
  <c r="J9" i="2"/>
  <c r="J5" i="2"/>
  <c r="K34" i="1"/>
  <c r="K18" i="1"/>
  <c r="K19" i="1"/>
  <c r="K9" i="1"/>
  <c r="K4" i="1"/>
  <c r="K8" i="1"/>
  <c r="K12" i="1"/>
  <c r="K22" i="1"/>
  <c r="K21" i="1"/>
  <c r="K17" i="1"/>
  <c r="K11" i="1"/>
  <c r="K7" i="1"/>
  <c r="K20" i="1"/>
  <c r="K16" i="1"/>
  <c r="K10" i="1"/>
  <c r="K6" i="1"/>
  <c r="K33" i="1"/>
  <c r="K15" i="1"/>
  <c r="K5" i="1"/>
  <c r="K32" i="1"/>
  <c r="K3" i="1"/>
  <c r="K31" i="1"/>
</calcChain>
</file>

<file path=xl/sharedStrings.xml><?xml version="1.0" encoding="utf-8"?>
<sst xmlns="http://schemas.openxmlformats.org/spreadsheetml/2006/main" count="1884" uniqueCount="463">
  <si>
    <t>Comment</t>
  </si>
  <si>
    <t>Topic</t>
  </si>
  <si>
    <t>Payload</t>
  </si>
  <si>
    <t>idCommand</t>
  </si>
  <si>
    <t>salon.1.on</t>
  </si>
  <si>
    <t>salon.2.on</t>
  </si>
  <si>
    <t>salon.3.on</t>
  </si>
  <si>
    <t>Rx sony</t>
  </si>
  <si>
    <t>Commande</t>
  </si>
  <si>
    <t>salon.1.off</t>
  </si>
  <si>
    <t>salon.2.off</t>
  </si>
  <si>
    <t>salon.3.off</t>
  </si>
  <si>
    <t>salon.4.on</t>
  </si>
  <si>
    <t>salon.5.on</t>
  </si>
  <si>
    <t>salon.4.off</t>
  </si>
  <si>
    <t>salon.5.off</t>
  </si>
  <si>
    <t>rxir sony 1</t>
  </si>
  <si>
    <t>Comment rx</t>
  </si>
  <si>
    <t>rxir sony 2</t>
  </si>
  <si>
    <t>rxir sony 3</t>
  </si>
  <si>
    <t>rxir sony 4</t>
  </si>
  <si>
    <t>rxir sony 5</t>
  </si>
  <si>
    <t>rxir sony 6</t>
  </si>
  <si>
    <t>rxir sony 7</t>
  </si>
  <si>
    <t>rxir sony 8</t>
  </si>
  <si>
    <t>rxir sony 9</t>
  </si>
  <si>
    <t>c11</t>
  </si>
  <si>
    <t>a11</t>
  </si>
  <si>
    <t>e11</t>
  </si>
  <si>
    <t>c91</t>
  </si>
  <si>
    <t>4d1</t>
  </si>
  <si>
    <t>9d1</t>
  </si>
  <si>
    <t>1d1</t>
  </si>
  <si>
    <t>d1</t>
  </si>
  <si>
    <t>8d1</t>
  </si>
  <si>
    <t>cd1</t>
  </si>
  <si>
    <t>2d1</t>
  </si>
  <si>
    <t>rxir sony play</t>
  </si>
  <si>
    <t>rxir sony pause</t>
  </si>
  <si>
    <t>rxir sony stop</t>
  </si>
  <si>
    <t>rxir sony prev</t>
  </si>
  <si>
    <t>rxir sony next</t>
  </si>
  <si>
    <t>rxir sony fbw</t>
  </si>
  <si>
    <t>rxir sony ffw</t>
  </si>
  <si>
    <t>ampli.volp</t>
  </si>
  <si>
    <t>ampli.volm</t>
  </si>
  <si>
    <t>ampli.mute</t>
  </si>
  <si>
    <t>tvon</t>
  </si>
  <si>
    <t>tvoff</t>
  </si>
  <si>
    <t>ampli.off</t>
  </si>
  <si>
    <t>ampli.on</t>
  </si>
  <si>
    <t>salon.off</t>
  </si>
  <si>
    <t>salon.on</t>
  </si>
  <si>
    <t>rxir sony plus</t>
  </si>
  <si>
    <t>rxir sony minus</t>
  </si>
  <si>
    <t>rxrf rf.b4.on</t>
  </si>
  <si>
    <t>Rx RF</t>
  </si>
  <si>
    <t>Event</t>
  </si>
  <si>
    <t>7fd514</t>
  </si>
  <si>
    <t>7fd511</t>
  </si>
  <si>
    <t>7fd544</t>
  </si>
  <si>
    <t>7fd541</t>
  </si>
  <si>
    <t>rxrf rf.b4.off</t>
  </si>
  <si>
    <t>rxrf rf.b5.on</t>
  </si>
  <si>
    <t>rxrf rf.b5.off</t>
  </si>
  <si>
    <t>on</t>
  </si>
  <si>
    <t>off</t>
  </si>
  <si>
    <t>bfc551</t>
  </si>
  <si>
    <t>bfc554</t>
  </si>
  <si>
    <t>bfd151</t>
  </si>
  <si>
    <t>bfd154</t>
  </si>
  <si>
    <t>bfd451</t>
  </si>
  <si>
    <t>bfd454</t>
  </si>
  <si>
    <t>bfd511</t>
  </si>
  <si>
    <t>bfd514</t>
  </si>
  <si>
    <t>bfd541</t>
  </si>
  <si>
    <t>bfd544</t>
  </si>
  <si>
    <t>hdmi.1</t>
  </si>
  <si>
    <t>hdmi.2</t>
  </si>
  <si>
    <t>hdmi.3</t>
  </si>
  <si>
    <t>hdmi.4</t>
  </si>
  <si>
    <t>hdmi.5</t>
  </si>
  <si>
    <t>a</t>
  </si>
  <si>
    <t>b</t>
  </si>
  <si>
    <t>a=111111111100000000000000 FFC000</t>
  </si>
  <si>
    <t>b=011111111100000000000000 7FC000</t>
  </si>
  <si>
    <t>c=101111111100000000000000 BFC000</t>
  </si>
  <si>
    <t>d=110111111100000000000000 DFC000</t>
  </si>
  <si>
    <t>e=111011111100000000000000 EFC000</t>
  </si>
  <si>
    <t>1=00010101010000 0550</t>
  </si>
  <si>
    <t>2=01000101010000 1150</t>
  </si>
  <si>
    <t>3=01010001010000 1450</t>
  </si>
  <si>
    <t>4=01010100010000 1510</t>
  </si>
  <si>
    <t>5=01010101000000 1540</t>
  </si>
  <si>
    <t>on  04</t>
  </si>
  <si>
    <t>off 01</t>
  </si>
  <si>
    <t>ffc000</t>
  </si>
  <si>
    <t>7fc000</t>
  </si>
  <si>
    <t>bfc000</t>
  </si>
  <si>
    <t>dfc000</t>
  </si>
  <si>
    <t>efc000</t>
  </si>
  <si>
    <t>ffc001</t>
  </si>
  <si>
    <t>ffc002</t>
  </si>
  <si>
    <t>ffc003</t>
  </si>
  <si>
    <t>ffc004</t>
  </si>
  <si>
    <t>ffc005</t>
  </si>
  <si>
    <t>ffc006</t>
  </si>
  <si>
    <t>ffc007</t>
  </si>
  <si>
    <t>ffc008</t>
  </si>
  <si>
    <t>ffc009</t>
  </si>
  <si>
    <t>c</t>
  </si>
  <si>
    <t>d</t>
  </si>
  <si>
    <t>e</t>
  </si>
  <si>
    <t>Groupe</t>
  </si>
  <si>
    <t>No</t>
  </si>
  <si>
    <t>0/1</t>
  </si>
  <si>
    <t>Hex no</t>
  </si>
  <si>
    <t>Hex grp</t>
  </si>
  <si>
    <t>Hex 0/1</t>
  </si>
  <si>
    <t>Hex</t>
  </si>
  <si>
    <t>0x</t>
  </si>
  <si>
    <t>Valeur</t>
  </si>
  <si>
    <t>rxrf rf.a.1.on</t>
  </si>
  <si>
    <t>ffc554</t>
  </si>
  <si>
    <t>rxrf rf.a.1.off</t>
  </si>
  <si>
    <t>ffc552</t>
  </si>
  <si>
    <t>rxrf rf.a.2.on</t>
  </si>
  <si>
    <t>ffd156</t>
  </si>
  <si>
    <t>rxrf rf.a.2.off</t>
  </si>
  <si>
    <t>ffd154</t>
  </si>
  <si>
    <t>rxrf rf.a.3.on</t>
  </si>
  <si>
    <t>ffd458</t>
  </si>
  <si>
    <t>rxrf rf.a.3.off</t>
  </si>
  <si>
    <t>ffd456</t>
  </si>
  <si>
    <t>rxrf rf.a.4.on</t>
  </si>
  <si>
    <t>ffd51a</t>
  </si>
  <si>
    <t>rxrf rf.a.4.off</t>
  </si>
  <si>
    <t>ffd518</t>
  </si>
  <si>
    <t>rxrf rf.a.5.on</t>
  </si>
  <si>
    <t>ffd54c</t>
  </si>
  <si>
    <t>rxrf rf.a.5.off</t>
  </si>
  <si>
    <t>ffd54a</t>
  </si>
  <si>
    <t>rxrf rf.b.1.on</t>
  </si>
  <si>
    <t>7fc554</t>
  </si>
  <si>
    <t>rxrf rf.b.1.off</t>
  </si>
  <si>
    <t>7fc551</t>
  </si>
  <si>
    <t>rxrf rf.b.2.on</t>
  </si>
  <si>
    <t>7fd154</t>
  </si>
  <si>
    <t>rxrf rf.b.2.off</t>
  </si>
  <si>
    <t>7fd151</t>
  </si>
  <si>
    <t>rxrf rf.b.3.on</t>
  </si>
  <si>
    <t>7fd454</t>
  </si>
  <si>
    <t>rxrf rf.b.3.off</t>
  </si>
  <si>
    <t>7fd451</t>
  </si>
  <si>
    <t>rxrf rf.b.4.on</t>
  </si>
  <si>
    <t>rxrf rf.b.4.off</t>
  </si>
  <si>
    <t>rxrf rf.b.5.on</t>
  </si>
  <si>
    <t>rxrf rf.b.5.off</t>
  </si>
  <si>
    <t>rxrf rf.c.1.on</t>
  </si>
  <si>
    <t>rxrf rf.c.1.off</t>
  </si>
  <si>
    <t>rxrf rf.c.2.on</t>
  </si>
  <si>
    <t>rxrf rf.c.2.off</t>
  </si>
  <si>
    <t>rxrf rf.c.3.on</t>
  </si>
  <si>
    <t>rxrf rf.c.3.off</t>
  </si>
  <si>
    <t>rxrf rf.c.4.on</t>
  </si>
  <si>
    <t>rxrf rf.c.4.off</t>
  </si>
  <si>
    <t>rxrf rf.c.5.on</t>
  </si>
  <si>
    <t>rxrf rf.c.5.off</t>
  </si>
  <si>
    <t>rxrf rf.d.1.on</t>
  </si>
  <si>
    <t>dfc554</t>
  </si>
  <si>
    <t>rxrf rf.d.1.off</t>
  </si>
  <si>
    <t>dfc551</t>
  </si>
  <si>
    <t>rxrf rf.d.2.on</t>
  </si>
  <si>
    <t>dfd154</t>
  </si>
  <si>
    <t>rxrf rf.d.2.off</t>
  </si>
  <si>
    <t>dfd151</t>
  </si>
  <si>
    <t>rxrf rf.d.3.on</t>
  </si>
  <si>
    <t>dfd454</t>
  </si>
  <si>
    <t>rxrf rf.d.3.off</t>
  </si>
  <si>
    <t>dfd451</t>
  </si>
  <si>
    <t>rxrf rf.d.4.on</t>
  </si>
  <si>
    <t>dfd514</t>
  </si>
  <si>
    <t>rxrf rf.d.4.off</t>
  </si>
  <si>
    <t>dfd511</t>
  </si>
  <si>
    <t>rxrf rf.d.5.on</t>
  </si>
  <si>
    <t>dfd544</t>
  </si>
  <si>
    <t>rxrf rf.d.5.off</t>
  </si>
  <si>
    <t>rxrf rf.e.1.on</t>
  </si>
  <si>
    <t>efc554</t>
  </si>
  <si>
    <t>rxrf rf.e.1.off</t>
  </si>
  <si>
    <t>efc551</t>
  </si>
  <si>
    <t>rxrf rf.e.2.on</t>
  </si>
  <si>
    <t>efd154</t>
  </si>
  <si>
    <t>rxrf rf.e.2.off</t>
  </si>
  <si>
    <t>efd151</t>
  </si>
  <si>
    <t>rxrf rf.e.3.on</t>
  </si>
  <si>
    <t>efd454</t>
  </si>
  <si>
    <t>rxrf rf.e.3.off</t>
  </si>
  <si>
    <t>efd451</t>
  </si>
  <si>
    <t>rxrf rf.e.4.on</t>
  </si>
  <si>
    <t>efd514</t>
  </si>
  <si>
    <t>rxrf rf.e.4.off</t>
  </si>
  <si>
    <t>efd511</t>
  </si>
  <si>
    <t>rxrf rf.e.5.on</t>
  </si>
  <si>
    <t>efd544</t>
  </si>
  <si>
    <t>rxrf rf.e.5.off</t>
  </si>
  <si>
    <t>efd541</t>
  </si>
  <si>
    <t>Sony</t>
  </si>
  <si>
    <t>Action C</t>
  </si>
  <si>
    <t>Action</t>
  </si>
  <si>
    <t>rf.d.1.on</t>
  </si>
  <si>
    <t>rf.d.1.off</t>
  </si>
  <si>
    <t>rf.d.2.on</t>
  </si>
  <si>
    <t>rf.d.2.off</t>
  </si>
  <si>
    <t>rf.d.3.on</t>
  </si>
  <si>
    <t>rf.d.3.off</t>
  </si>
  <si>
    <t>rf.d.4.on</t>
  </si>
  <si>
    <t>rf.d.4.off</t>
  </si>
  <si>
    <t>rf.d.5.on</t>
  </si>
  <si>
    <t>rf.d.5.off</t>
  </si>
  <si>
    <t>dfd541</t>
  </si>
  <si>
    <t>rxir sony &gt;10</t>
  </si>
  <si>
    <t>e51</t>
  </si>
  <si>
    <t>rxir sony 10</t>
  </si>
  <si>
    <t>rxir sony clear</t>
  </si>
  <si>
    <t>f11</t>
  </si>
  <si>
    <t>Action B</t>
  </si>
  <si>
    <t>vpstudio.on</t>
  </si>
  <si>
    <t>vpstudio.off</t>
  </si>
  <si>
    <t>preamp.mute</t>
  </si>
  <si>
    <t>label</t>
  </si>
  <si>
    <t>device</t>
  </si>
  <si>
    <t>Salon</t>
  </si>
  <si>
    <t>comment</t>
  </si>
  <si>
    <t>Télécommande RF Salon</t>
  </si>
  <si>
    <t>Salon Off</t>
  </si>
  <si>
    <t>Salon On</t>
  </si>
  <si>
    <t>Salon 1 On</t>
  </si>
  <si>
    <t>Salon 2 On</t>
  </si>
  <si>
    <t>Salon 2 Off</t>
  </si>
  <si>
    <t>Salon 3 On</t>
  </si>
  <si>
    <t>Salon 3 Off</t>
  </si>
  <si>
    <t>Salon 4 On</t>
  </si>
  <si>
    <t>Salon 4 Off</t>
  </si>
  <si>
    <t>Salon 5 On</t>
  </si>
  <si>
    <t>Salon 5 Off</t>
  </si>
  <si>
    <t>Salon 1 Off</t>
  </si>
  <si>
    <t>Studio</t>
  </si>
  <si>
    <t>Télécommande RF Studio</t>
  </si>
  <si>
    <t>Studio On</t>
  </si>
  <si>
    <t>Studio Off</t>
  </si>
  <si>
    <t>Studio 1 On</t>
  </si>
  <si>
    <t>Studio 1 Off</t>
  </si>
  <si>
    <t>Studio 2 On</t>
  </si>
  <si>
    <t>Studio 2 Off</t>
  </si>
  <si>
    <t>Studio 3 On</t>
  </si>
  <si>
    <t>Studio 3 Off</t>
  </si>
  <si>
    <t>Studio 4 On</t>
  </si>
  <si>
    <t>Studio 4 Off</t>
  </si>
  <si>
    <t>Studio 5 On</t>
  </si>
  <si>
    <t>Studio 5 Off</t>
  </si>
  <si>
    <t>studio.on</t>
  </si>
  <si>
    <t>studio.off</t>
  </si>
  <si>
    <t>Maison</t>
  </si>
  <si>
    <t>jardin.on</t>
  </si>
  <si>
    <t>jardin.off</t>
  </si>
  <si>
    <t>Jardin On</t>
  </si>
  <si>
    <t>Jardin Off</t>
  </si>
  <si>
    <t>Volets On</t>
  </si>
  <si>
    <t>Volets Off</t>
  </si>
  <si>
    <t>volets.on</t>
  </si>
  <si>
    <t>volets.off</t>
  </si>
  <si>
    <t>Commande de la maison</t>
  </si>
  <si>
    <t>TV</t>
  </si>
  <si>
    <t>tv.on</t>
  </si>
  <si>
    <t>tv.off</t>
  </si>
  <si>
    <t>tv.mute</t>
  </si>
  <si>
    <t>tv.entree.hdmi1</t>
  </si>
  <si>
    <t>tv.entree.hdmi2</t>
  </si>
  <si>
    <t>tv.entree.hdmi3</t>
  </si>
  <si>
    <t>tv.vol0</t>
  </si>
  <si>
    <t>TV On</t>
  </si>
  <si>
    <t>TV Off</t>
  </si>
  <si>
    <t>Mute</t>
  </si>
  <si>
    <t>Vol0</t>
  </si>
  <si>
    <t>Macros</t>
  </si>
  <si>
    <t>@TV On</t>
  </si>
  <si>
    <t>@TV Off</t>
  </si>
  <si>
    <t>TV+Ampli On</t>
  </si>
  <si>
    <t>TV+Ampli Off</t>
  </si>
  <si>
    <t>vpon</t>
  </si>
  <si>
    <t>vpoff</t>
  </si>
  <si>
    <t>@VP On</t>
  </si>
  <si>
    <t>@VP Off</t>
  </si>
  <si>
    <t>VP+Ampli On</t>
  </si>
  <si>
    <t>VP+Ampli Off</t>
  </si>
  <si>
    <t>VP On</t>
  </si>
  <si>
    <t>VP Off</t>
  </si>
  <si>
    <t>ecran.bas</t>
  </si>
  <si>
    <t>ecran.haut</t>
  </si>
  <si>
    <t>Ecran Haut</t>
  </si>
  <si>
    <t>Ecran Bas</t>
  </si>
  <si>
    <t>Ampli On</t>
  </si>
  <si>
    <t>Ampli Off</t>
  </si>
  <si>
    <t>V+</t>
  </si>
  <si>
    <t>V-</t>
  </si>
  <si>
    <t>HDMI</t>
  </si>
  <si>
    <t>TV Salon</t>
  </si>
  <si>
    <t>VP Salon</t>
  </si>
  <si>
    <t>Ampli Salon</t>
  </si>
  <si>
    <t>vpsalon.on</t>
  </si>
  <si>
    <t>vpsalon.off</t>
  </si>
  <si>
    <t>VP Studio</t>
  </si>
  <si>
    <t>SonOff01</t>
  </si>
  <si>
    <t>Switch HDMI</t>
  </si>
  <si>
    <t>version</t>
  </si>
  <si>
    <t>Version</t>
  </si>
  <si>
    <t>toggle</t>
  </si>
  <si>
    <t>sonoff01.version</t>
  </si>
  <si>
    <t>sonoff01.toggle</t>
  </si>
  <si>
    <t>OTA</t>
  </si>
  <si>
    <t>sonoff01.OTA</t>
  </si>
  <si>
    <t>Toggle</t>
  </si>
  <si>
    <t>sonoff01.on</t>
  </si>
  <si>
    <t>sonoff01.off</t>
  </si>
  <si>
    <t>On</t>
  </si>
  <si>
    <t>Off</t>
  </si>
  <si>
    <t>SonOff02</t>
  </si>
  <si>
    <t>sonoff02.version</t>
  </si>
  <si>
    <t>sonoff02.on</t>
  </si>
  <si>
    <t>sonoff02.off</t>
  </si>
  <si>
    <t>sonoff02.toggle</t>
  </si>
  <si>
    <t>sonoff02.OTA</t>
  </si>
  <si>
    <t>ESPIR01</t>
  </si>
  <si>
    <t>topic</t>
  </si>
  <si>
    <t>payload</t>
  </si>
  <si>
    <t>home/domo/nodedomo/cmd</t>
  </si>
  <si>
    <t>home/domo/espIR01/cmd</t>
  </si>
  <si>
    <t>home/domo/sonoff01/cmd</t>
  </si>
  <si>
    <t>home/domo/sonoff02/cmd</t>
  </si>
  <si>
    <t>home/domo/espIR01/OTA</t>
  </si>
  <si>
    <t>home/domo/sonoff01/OTA</t>
  </si>
  <si>
    <t>home/domo/sonoff02/OTA</t>
  </si>
  <si>
    <t>http://raffault.free.fr/ESPIR.ino.bin</t>
  </si>
  <si>
    <t>Volets Bas</t>
  </si>
  <si>
    <t>Volets Haut</t>
  </si>
  <si>
    <t>Ampli Studio</t>
  </si>
  <si>
    <t>VPSalon</t>
  </si>
  <si>
    <t>VPStudio</t>
  </si>
  <si>
    <t>AmpliSalon</t>
  </si>
  <si>
    <t>AmpliStudio</t>
  </si>
  <si>
    <t>preamp.volp</t>
  </si>
  <si>
    <t>preamp.volm</t>
  </si>
  <si>
    <t>status</t>
  </si>
  <si>
    <t>shortLabel</t>
  </si>
  <si>
    <t>1 On</t>
  </si>
  <si>
    <t>1 Off</t>
  </si>
  <si>
    <t>2 On</t>
  </si>
  <si>
    <t>2 Off</t>
  </si>
  <si>
    <t>3 On</t>
  </si>
  <si>
    <t>3 Off</t>
  </si>
  <si>
    <t>4 On</t>
  </si>
  <si>
    <t>4 Off</t>
  </si>
  <si>
    <t>5 On</t>
  </si>
  <si>
    <t>5 Off</t>
  </si>
  <si>
    <t>HDMI 1</t>
  </si>
  <si>
    <t>HDMI 2</t>
  </si>
  <si>
    <t>HDMI 3</t>
  </si>
  <si>
    <t>HDMI 4</t>
  </si>
  <si>
    <t>HDMI 5</t>
  </si>
  <si>
    <t>json</t>
  </si>
  <si>
    <t>id</t>
  </si>
  <si>
    <t>studio.1.on</t>
  </si>
  <si>
    <t>studio.1.off</t>
  </si>
  <si>
    <t>studio.2.on</t>
  </si>
  <si>
    <t>studio.2.off</t>
  </si>
  <si>
    <t>studio.3.on</t>
  </si>
  <si>
    <t>studio.3.off</t>
  </si>
  <si>
    <t>studio.4.on</t>
  </si>
  <si>
    <t>studio.4.off</t>
  </si>
  <si>
    <t>studio.5.on</t>
  </si>
  <si>
    <t>studio.5.off</t>
  </si>
  <si>
    <t>salon.1</t>
  </si>
  <si>
    <t>salon.2</t>
  </si>
  <si>
    <t>salon.3</t>
  </si>
  <si>
    <t>salon.4</t>
  </si>
  <si>
    <t>salon.5</t>
  </si>
  <si>
    <t>studio.1</t>
  </si>
  <si>
    <t>studio.2</t>
  </si>
  <si>
    <t>studio.3</t>
  </si>
  <si>
    <t>studio.4</t>
  </si>
  <si>
    <t>studio.5</t>
  </si>
  <si>
    <t>jardin</t>
  </si>
  <si>
    <t>volets</t>
  </si>
  <si>
    <t>break</t>
  </si>
  <si>
    <t>true</t>
  </si>
  <si>
    <t>icon</t>
  </si>
  <si>
    <t>lightbulb-o</t>
  </si>
  <si>
    <t>cog</t>
  </si>
  <si>
    <t>tv</t>
  </si>
  <si>
    <t>server</t>
  </si>
  <si>
    <t>home</t>
  </si>
  <si>
    <t>component1</t>
  </si>
  <si>
    <t>component2</t>
  </si>
  <si>
    <t>type</t>
  </si>
  <si>
    <t>tabset</t>
  </si>
  <si>
    <t>component3</t>
  </si>
  <si>
    <t>tab</t>
  </si>
  <si>
    <t>tabSet</t>
  </si>
  <si>
    <t>Devices</t>
  </si>
  <si>
    <t>dropdownMenuBig</t>
  </si>
  <si>
    <t>Principal</t>
  </si>
  <si>
    <t>Commandes maison</t>
  </si>
  <si>
    <t>separator</t>
  </si>
  <si>
    <t>Commandes TV</t>
  </si>
  <si>
    <t>VP</t>
  </si>
  <si>
    <t>Commandes VP</t>
  </si>
  <si>
    <t>componentGroup</t>
  </si>
  <si>
    <t>cgSalon</t>
  </si>
  <si>
    <t>cgStudio</t>
  </si>
  <si>
    <t>component4</t>
  </si>
  <si>
    <t>component5</t>
  </si>
  <si>
    <t>command</t>
  </si>
  <si>
    <t>cgAmpliVol</t>
  </si>
  <si>
    <t>title</t>
  </si>
  <si>
    <t>Webcams</t>
  </si>
  <si>
    <t>webcam</t>
  </si>
  <si>
    <t>http://82.66.49.29:8200/image.jpg?user=admin&amp;password=tetris</t>
  </si>
  <si>
    <t>Média</t>
  </si>
  <si>
    <t>ComponentGroup</t>
  </si>
  <si>
    <t>dropSalon</t>
  </si>
  <si>
    <t>cgSalon2</t>
  </si>
  <si>
    <t>cgStudio2</t>
  </si>
  <si>
    <t>devices</t>
  </si>
  <si>
    <t>end</t>
  </si>
  <si>
    <t>Lumières</t>
  </si>
  <si>
    <t>Ampli</t>
  </si>
  <si>
    <t>cgTV</t>
  </si>
  <si>
    <t>Vidéo projecteur</t>
  </si>
  <si>
    <t>Entrées HDMI</t>
  </si>
  <si>
    <t>cgVP</t>
  </si>
  <si>
    <t>Ecran</t>
  </si>
  <si>
    <t>cgTests</t>
  </si>
  <si>
    <t>TV WebOS</t>
  </si>
  <si>
    <t>HDMI Nec</t>
  </si>
  <si>
    <t>EspIR01</t>
  </si>
  <si>
    <t>http://images.webcams.travel/original/1251207864-MÃ¯Â¿Â½tÃ¯Â¿Â½o-Plage-de-Pontaillac-Pontaillac.jpg</t>
  </si>
  <si>
    <t>http://images.webcams.travel/original/1365341784-MÃ¯Â¿Â½tÃ¯Â¿Â½o-Plage-de-la-Grande-Conche-Royan.jpg</t>
  </si>
  <si>
    <t>http://images.webcams.travel/original/1346943550-MÃ¯Â¿Â½tÃ¯Â¿Â½o-Port-de-Royan-Live-HD-Royan.jpg</t>
  </si>
  <si>
    <t>Pontaillac</t>
  </si>
  <si>
    <t>Royan Conche</t>
  </si>
  <si>
    <t>Royan</t>
  </si>
  <si>
    <t>component6</t>
  </si>
  <si>
    <t>cgMain</t>
  </si>
  <si>
    <t>page</t>
  </si>
  <si>
    <t>room-page</t>
  </si>
  <si>
    <t>webcam-page</t>
  </si>
  <si>
    <t>camera</t>
  </si>
  <si>
    <t>measure-page</t>
  </si>
  <si>
    <t>line-chart</t>
  </si>
  <si>
    <t>Mesures</t>
  </si>
  <si>
    <t>config-page</t>
  </si>
  <si>
    <t>Config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</si>
</sst>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left"/>
    </xf>
    <xf numFmtId="0" fontId="0" fillId="0" borderId="0" xfId="0" applyAlignment="1">
      <alignment horizontal="left"/>
    </xf>
    <xf numFmtId="0" fontId="1" fillId="2" borderId="0" xfId="0" applyFont="1" applyFill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0" fillId="0" borderId="0" xfId="0" quotePrefix="1"/>
    <xf numFmtId="0" fontId="0" fillId="2" borderId="0" xfId="0" applyFill="1"/>
    <xf numFmtId="0" fontId="1" fillId="3" borderId="0" xfId="0" applyFont="1" applyFill="1"/>
    <xf numFmtId="0" fontId="0" fillId="4" borderId="0" xfId="0" applyFill="1"/>
    <xf numFmtId="0" fontId="1" fillId="0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143691</xdr:colOff>
          <xdr:row>0</xdr:row>
          <xdr:rowOff>145869</xdr:rowOff>
        </xdr:from>
        <xdr:to>
          <xdr:col>0</xdr:col>
          <xdr:colOff>653143</xdr:colOff>
          <xdr:row>0</xdr:row>
          <xdr:rowOff>413657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10B6E077-25E6-4ED2-8F53-65160D714C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143691</xdr:colOff>
          <xdr:row>0</xdr:row>
          <xdr:rowOff>145869</xdr:rowOff>
        </xdr:from>
        <xdr:to>
          <xdr:col>0</xdr:col>
          <xdr:colOff>653143</xdr:colOff>
          <xdr:row>0</xdr:row>
          <xdr:rowOff>413657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92271C9-5D62-49C9-BB2C-801D20A01B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143691</xdr:colOff>
          <xdr:row>0</xdr:row>
          <xdr:rowOff>145869</xdr:rowOff>
        </xdr:from>
        <xdr:to>
          <xdr:col>0</xdr:col>
          <xdr:colOff>653143</xdr:colOff>
          <xdr:row>0</xdr:row>
          <xdr:rowOff>413657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61C9D7FB-3CD7-44B4-993F-F7B63790B7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89262</xdr:colOff>
          <xdr:row>0</xdr:row>
          <xdr:rowOff>43542</xdr:rowOff>
        </xdr:from>
        <xdr:to>
          <xdr:col>0</xdr:col>
          <xdr:colOff>668382</xdr:colOff>
          <xdr:row>0</xdr:row>
          <xdr:rowOff>272142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3A37825-DF53-45BD-BF52-C02A1045C2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Json</a:t>
              </a: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5" sqref="C25"/>
    </sheetView>
  </sheetViews>
  <sheetFormatPr defaultRowHeight="14.4" x14ac:dyDescent="0.3"/>
  <cols>
    <col min="1" max="1" width="20.109375" customWidth="1"/>
    <col min="2" max="2" width="15.77734375" customWidth="1"/>
    <col min="3" max="3" width="13.77734375" customWidth="1"/>
  </cols>
  <sheetData>
    <row r="1" spans="1:3" s="9" customFormat="1" ht="48.6" customHeight="1" x14ac:dyDescent="0.3">
      <c r="A1" s="9" t="s">
        <v>454</v>
      </c>
      <c r="B1" s="9" t="s">
        <v>396</v>
      </c>
      <c r="C1" s="9" t="s">
        <v>230</v>
      </c>
    </row>
    <row r="2" spans="1:3" x14ac:dyDescent="0.3">
      <c r="A2" t="s">
        <v>455</v>
      </c>
      <c r="B2" t="s">
        <v>401</v>
      </c>
      <c r="C2" t="s">
        <v>263</v>
      </c>
    </row>
    <row r="3" spans="1:3" x14ac:dyDescent="0.3">
      <c r="A3" t="s">
        <v>456</v>
      </c>
      <c r="B3" t="s">
        <v>457</v>
      </c>
      <c r="C3" t="s">
        <v>425</v>
      </c>
    </row>
    <row r="4" spans="1:3" x14ac:dyDescent="0.3">
      <c r="A4" t="s">
        <v>458</v>
      </c>
      <c r="B4" t="s">
        <v>459</v>
      </c>
      <c r="C4" t="s">
        <v>460</v>
      </c>
    </row>
    <row r="5" spans="1:3" x14ac:dyDescent="0.3">
      <c r="A5" t="s">
        <v>461</v>
      </c>
      <c r="B5" t="s">
        <v>398</v>
      </c>
      <c r="C5" t="s">
        <v>462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95"/>
  <sheetViews>
    <sheetView tabSelected="1" zoomScale="55" zoomScaleNormal="55" workbookViewId="0">
      <pane xSplit="10" ySplit="1" topLeftCell="M2" activePane="bottomRight" state="frozen"/>
      <selection pane="topRight" activeCell="F1" sqref="F1"/>
      <selection pane="bottomLeft" activeCell="A2" sqref="A2"/>
      <selection pane="bottomRight" activeCell="I66" sqref="I66"/>
    </sheetView>
  </sheetViews>
  <sheetFormatPr defaultRowHeight="14.4" x14ac:dyDescent="0.3"/>
  <cols>
    <col min="1" max="1" width="21.77734375" bestFit="1" customWidth="1"/>
    <col min="2" max="2" width="21.77734375" customWidth="1"/>
    <col min="3" max="6" width="17.21875" customWidth="1"/>
    <col min="7" max="7" width="21.5546875" bestFit="1" customWidth="1"/>
    <col min="8" max="8" width="17.109375" bestFit="1" customWidth="1"/>
    <col min="9" max="9" width="21.5546875" bestFit="1" customWidth="1"/>
    <col min="10" max="10" width="16.88671875" customWidth="1"/>
    <col min="11" max="11" width="16.88671875" bestFit="1" customWidth="1"/>
    <col min="12" max="12" width="25.6640625" customWidth="1"/>
    <col min="13" max="13" width="28.44140625" bestFit="1" customWidth="1"/>
    <col min="14" max="14" width="33.44140625" bestFit="1" customWidth="1"/>
    <col min="15" max="15" width="8.77734375" bestFit="1" customWidth="1"/>
    <col min="16" max="16" width="8" bestFit="1" customWidth="1"/>
    <col min="17" max="17" width="10.77734375" customWidth="1"/>
    <col min="18" max="18" width="59.44140625" bestFit="1" customWidth="1"/>
  </cols>
  <sheetData>
    <row r="1" spans="1:18" s="9" customFormat="1" ht="48.6" customHeight="1" x14ac:dyDescent="0.3">
      <c r="A1" s="9" t="s">
        <v>402</v>
      </c>
      <c r="B1" s="9" t="s">
        <v>403</v>
      </c>
      <c r="C1" s="9" t="s">
        <v>406</v>
      </c>
      <c r="D1" s="9" t="s">
        <v>420</v>
      </c>
      <c r="E1" s="9" t="s">
        <v>421</v>
      </c>
      <c r="F1" s="9" t="s">
        <v>452</v>
      </c>
      <c r="G1" s="9" t="s">
        <v>404</v>
      </c>
      <c r="H1" s="9" t="s">
        <v>371</v>
      </c>
      <c r="I1" s="9" t="s">
        <v>417</v>
      </c>
      <c r="J1" s="9" t="s">
        <v>230</v>
      </c>
      <c r="K1" s="9" t="s">
        <v>354</v>
      </c>
      <c r="L1" s="9" t="s">
        <v>233</v>
      </c>
      <c r="M1" s="9" t="s">
        <v>334</v>
      </c>
      <c r="N1" s="9" t="s">
        <v>335</v>
      </c>
      <c r="O1" s="9" t="s">
        <v>353</v>
      </c>
      <c r="P1" s="9" t="s">
        <v>394</v>
      </c>
      <c r="Q1" s="9" t="s">
        <v>396</v>
      </c>
      <c r="R1" s="9" t="s">
        <v>426</v>
      </c>
    </row>
    <row r="2" spans="1:18" s="1" customFormat="1" x14ac:dyDescent="0.3">
      <c r="A2" s="1" t="s">
        <v>429</v>
      </c>
      <c r="G2" s="1" t="s">
        <v>417</v>
      </c>
      <c r="H2" s="1" t="s">
        <v>453</v>
      </c>
    </row>
    <row r="3" spans="1:18" s="1" customFormat="1" x14ac:dyDescent="0.3">
      <c r="B3" s="1" t="s">
        <v>405</v>
      </c>
      <c r="G3" s="1" t="s">
        <v>405</v>
      </c>
      <c r="H3" s="1" t="s">
        <v>408</v>
      </c>
    </row>
    <row r="4" spans="1:18" s="1" customFormat="1" x14ac:dyDescent="0.3">
      <c r="C4" s="1" t="s">
        <v>411</v>
      </c>
      <c r="G4" s="1" t="s">
        <v>407</v>
      </c>
      <c r="H4" s="1" t="str">
        <f>"tab"&amp;C4</f>
        <v>tabPrincipal</v>
      </c>
    </row>
    <row r="5" spans="1:18" s="10" customFormat="1" x14ac:dyDescent="0.3">
      <c r="D5" s="10" t="s">
        <v>263</v>
      </c>
      <c r="G5" s="10" t="s">
        <v>410</v>
      </c>
      <c r="H5" s="10" t="str">
        <f>"drop"&amp;D5</f>
        <v>dropMaison</v>
      </c>
      <c r="I5" s="10" t="str">
        <f>"cg"&amp;D5</f>
        <v>cgMaison</v>
      </c>
      <c r="J5" s="10" t="str">
        <f>D5</f>
        <v>Maison</v>
      </c>
      <c r="K5" s="10" t="str">
        <f>J5</f>
        <v>Maison</v>
      </c>
      <c r="L5" s="10" t="s">
        <v>412</v>
      </c>
      <c r="Q5" s="10" t="s">
        <v>401</v>
      </c>
    </row>
    <row r="6" spans="1:18" s="10" customFormat="1" x14ac:dyDescent="0.3">
      <c r="D6" s="10" t="s">
        <v>232</v>
      </c>
      <c r="G6" s="10" t="s">
        <v>410</v>
      </c>
      <c r="H6" s="10" t="str">
        <f>"drop"&amp;D6</f>
        <v>dropSalon</v>
      </c>
      <c r="I6" s="10" t="str">
        <f t="shared" ref="I6:I9" si="0">"cg"&amp;D6</f>
        <v>cgSalon</v>
      </c>
      <c r="J6" s="10" t="str">
        <f>D6</f>
        <v>Salon</v>
      </c>
      <c r="K6" s="10" t="str">
        <f>J6</f>
        <v>Salon</v>
      </c>
      <c r="L6" s="10" t="s">
        <v>234</v>
      </c>
      <c r="Q6" s="10" t="s">
        <v>397</v>
      </c>
    </row>
    <row r="7" spans="1:18" s="10" customFormat="1" x14ac:dyDescent="0.3">
      <c r="D7" s="10" t="s">
        <v>247</v>
      </c>
      <c r="G7" s="10" t="s">
        <v>410</v>
      </c>
      <c r="H7" s="10" t="str">
        <f>"drop"&amp;D7</f>
        <v>dropStudio</v>
      </c>
      <c r="I7" s="10" t="str">
        <f t="shared" si="0"/>
        <v>cgStudio</v>
      </c>
      <c r="J7" s="10" t="str">
        <f>D7</f>
        <v>Studio</v>
      </c>
      <c r="K7" s="10" t="str">
        <f>J7</f>
        <v>Studio</v>
      </c>
      <c r="L7" s="10" t="s">
        <v>234</v>
      </c>
      <c r="Q7" s="10" t="s">
        <v>397</v>
      </c>
    </row>
    <row r="8" spans="1:18" s="10" customFormat="1" x14ac:dyDescent="0.3">
      <c r="D8" s="10" t="s">
        <v>273</v>
      </c>
      <c r="G8" s="10" t="s">
        <v>410</v>
      </c>
      <c r="H8" s="10" t="str">
        <f>"drop"&amp;D8</f>
        <v>dropTV</v>
      </c>
      <c r="I8" s="10" t="str">
        <f t="shared" si="0"/>
        <v>cgTV</v>
      </c>
      <c r="J8" s="10" t="str">
        <f>D8</f>
        <v>TV</v>
      </c>
      <c r="K8" s="10" t="str">
        <f>J8</f>
        <v>TV</v>
      </c>
      <c r="L8" s="10" t="s">
        <v>414</v>
      </c>
      <c r="Q8" s="10" t="s">
        <v>399</v>
      </c>
    </row>
    <row r="9" spans="1:18" s="10" customFormat="1" x14ac:dyDescent="0.3">
      <c r="D9" s="10" t="s">
        <v>415</v>
      </c>
      <c r="G9" s="10" t="s">
        <v>410</v>
      </c>
      <c r="H9" s="10" t="str">
        <f>"drop"&amp;D9</f>
        <v>dropVP</v>
      </c>
      <c r="I9" s="10" t="str">
        <f t="shared" si="0"/>
        <v>cgVP</v>
      </c>
      <c r="J9" s="10" t="str">
        <f>D9</f>
        <v>VP</v>
      </c>
      <c r="K9" s="10" t="str">
        <f>J9</f>
        <v>VP</v>
      </c>
      <c r="L9" s="10" t="s">
        <v>416</v>
      </c>
      <c r="Q9" s="10" t="s">
        <v>399</v>
      </c>
    </row>
    <row r="10" spans="1:18" x14ac:dyDescent="0.3">
      <c r="D10" t="s">
        <v>413</v>
      </c>
      <c r="G10" t="s">
        <v>413</v>
      </c>
      <c r="J10" s="7"/>
      <c r="K10" s="7"/>
    </row>
    <row r="11" spans="1:18" x14ac:dyDescent="0.3">
      <c r="D11" t="s">
        <v>417</v>
      </c>
      <c r="G11" t="s">
        <v>417</v>
      </c>
      <c r="I11" t="s">
        <v>423</v>
      </c>
      <c r="J11" s="7"/>
      <c r="K11" s="7"/>
    </row>
    <row r="12" spans="1:18" x14ac:dyDescent="0.3">
      <c r="D12" t="s">
        <v>413</v>
      </c>
      <c r="G12" t="s">
        <v>413</v>
      </c>
      <c r="J12" s="7"/>
      <c r="K12" s="7"/>
    </row>
    <row r="13" spans="1:18" x14ac:dyDescent="0.3">
      <c r="D13" t="s">
        <v>424</v>
      </c>
      <c r="G13" t="s">
        <v>424</v>
      </c>
      <c r="J13" s="7" t="s">
        <v>425</v>
      </c>
      <c r="K13" s="7" t="str">
        <f>J13</f>
        <v>Webcams</v>
      </c>
    </row>
    <row r="14" spans="1:18" x14ac:dyDescent="0.3">
      <c r="D14" t="s">
        <v>426</v>
      </c>
      <c r="G14" t="s">
        <v>426</v>
      </c>
      <c r="J14" s="7" t="s">
        <v>232</v>
      </c>
      <c r="K14" s="7" t="str">
        <f>J14</f>
        <v>Salon</v>
      </c>
      <c r="R14" t="s">
        <v>427</v>
      </c>
    </row>
    <row r="15" spans="1:18" x14ac:dyDescent="0.3">
      <c r="D15" t="s">
        <v>413</v>
      </c>
      <c r="G15" t="s">
        <v>413</v>
      </c>
      <c r="J15" s="7"/>
      <c r="K15" s="7"/>
    </row>
    <row r="16" spans="1:18" s="1" customFormat="1" x14ac:dyDescent="0.3">
      <c r="C16" s="1" t="s">
        <v>428</v>
      </c>
      <c r="G16" s="1" t="s">
        <v>407</v>
      </c>
      <c r="H16" s="1" t="str">
        <f>"tab"&amp;C16</f>
        <v>tabMédia</v>
      </c>
    </row>
    <row r="17" spans="1:18" s="10" customFormat="1" x14ac:dyDescent="0.3">
      <c r="D17" s="10" t="s">
        <v>273</v>
      </c>
      <c r="G17" s="10" t="s">
        <v>410</v>
      </c>
      <c r="H17" s="10" t="str">
        <f>"drop"&amp;D17</f>
        <v>dropTV</v>
      </c>
      <c r="I17" s="10" t="str">
        <f t="shared" ref="I17:I18" si="1">"cg"&amp;D17</f>
        <v>cgTV</v>
      </c>
      <c r="J17" s="10" t="str">
        <f>D17</f>
        <v>TV</v>
      </c>
      <c r="K17" s="10" t="str">
        <f>J17</f>
        <v>TV</v>
      </c>
      <c r="L17" s="10" t="s">
        <v>414</v>
      </c>
      <c r="Q17" s="10" t="s">
        <v>399</v>
      </c>
    </row>
    <row r="18" spans="1:18" s="10" customFormat="1" x14ac:dyDescent="0.3">
      <c r="D18" s="10" t="s">
        <v>415</v>
      </c>
      <c r="G18" s="10" t="s">
        <v>410</v>
      </c>
      <c r="H18" s="10" t="str">
        <f>"drop"&amp;D18</f>
        <v>dropVP</v>
      </c>
      <c r="I18" s="10" t="str">
        <f t="shared" si="1"/>
        <v>cgVP</v>
      </c>
      <c r="J18" s="10" t="str">
        <f>D18</f>
        <v>VP</v>
      </c>
      <c r="K18" s="10" t="str">
        <f>J18</f>
        <v>VP</v>
      </c>
      <c r="L18" s="10" t="s">
        <v>416</v>
      </c>
      <c r="Q18" s="10" t="s">
        <v>399</v>
      </c>
    </row>
    <row r="19" spans="1:18" x14ac:dyDescent="0.3">
      <c r="D19" t="s">
        <v>413</v>
      </c>
      <c r="G19" t="s">
        <v>413</v>
      </c>
      <c r="J19" s="7"/>
      <c r="K19" s="7"/>
    </row>
    <row r="20" spans="1:18" x14ac:dyDescent="0.3">
      <c r="D20" t="s">
        <v>417</v>
      </c>
      <c r="G20" t="s">
        <v>417</v>
      </c>
      <c r="I20" t="s">
        <v>423</v>
      </c>
      <c r="J20" s="7"/>
      <c r="K20" s="7"/>
    </row>
    <row r="21" spans="1:18" x14ac:dyDescent="0.3">
      <c r="D21" t="s">
        <v>413</v>
      </c>
      <c r="G21" t="s">
        <v>413</v>
      </c>
      <c r="J21" s="7"/>
      <c r="K21" s="7"/>
    </row>
    <row r="22" spans="1:18" s="1" customFormat="1" x14ac:dyDescent="0.3">
      <c r="C22" s="1" t="s">
        <v>232</v>
      </c>
      <c r="G22" s="1" t="s">
        <v>407</v>
      </c>
      <c r="H22" s="1" t="str">
        <f>"tab"&amp;C22</f>
        <v>tabSalon</v>
      </c>
    </row>
    <row r="23" spans="1:18" s="10" customFormat="1" x14ac:dyDescent="0.3">
      <c r="D23" s="10" t="s">
        <v>232</v>
      </c>
      <c r="G23" s="10" t="s">
        <v>410</v>
      </c>
      <c r="H23" s="10" t="s">
        <v>430</v>
      </c>
      <c r="I23" s="10" t="s">
        <v>431</v>
      </c>
      <c r="J23" s="10" t="str">
        <f>D23</f>
        <v>Salon</v>
      </c>
      <c r="K23" s="10" t="str">
        <f>J23</f>
        <v>Salon</v>
      </c>
      <c r="L23" s="10" t="s">
        <v>234</v>
      </c>
      <c r="Q23" s="10" t="s">
        <v>399</v>
      </c>
    </row>
    <row r="24" spans="1:18" s="1" customFormat="1" x14ac:dyDescent="0.3">
      <c r="C24" s="1" t="s">
        <v>247</v>
      </c>
      <c r="G24" s="1" t="s">
        <v>407</v>
      </c>
      <c r="H24" s="1" t="str">
        <f>"tab"&amp;C24</f>
        <v>tabStudio</v>
      </c>
    </row>
    <row r="25" spans="1:18" s="10" customFormat="1" x14ac:dyDescent="0.3">
      <c r="D25" s="10" t="s">
        <v>247</v>
      </c>
      <c r="G25" s="10" t="s">
        <v>410</v>
      </c>
      <c r="H25" s="10" t="s">
        <v>430</v>
      </c>
      <c r="I25" s="10" t="s">
        <v>432</v>
      </c>
      <c r="J25" s="10" t="str">
        <f>D25</f>
        <v>Studio</v>
      </c>
      <c r="K25" s="10" t="str">
        <f>J25</f>
        <v>Studio</v>
      </c>
      <c r="L25" s="10" t="s">
        <v>234</v>
      </c>
      <c r="Q25" s="10" t="s">
        <v>399</v>
      </c>
    </row>
    <row r="26" spans="1:18" s="1" customFormat="1" x14ac:dyDescent="0.3">
      <c r="C26" s="1" t="s">
        <v>409</v>
      </c>
      <c r="G26" s="1" t="s">
        <v>407</v>
      </c>
      <c r="H26" s="1" t="str">
        <f>"tab"&amp;C26</f>
        <v>tabDevices</v>
      </c>
    </row>
    <row r="27" spans="1:18" s="10" customFormat="1" x14ac:dyDescent="0.3">
      <c r="D27" s="10" t="s">
        <v>409</v>
      </c>
      <c r="G27" s="10" t="s">
        <v>433</v>
      </c>
      <c r="L27" s="10" t="s">
        <v>409</v>
      </c>
      <c r="Q27" s="10" t="s">
        <v>399</v>
      </c>
    </row>
    <row r="28" spans="1:18" s="1" customFormat="1" x14ac:dyDescent="0.3">
      <c r="A28" s="1" t="s">
        <v>429</v>
      </c>
      <c r="G28" s="1" t="s">
        <v>417</v>
      </c>
      <c r="H28" s="1" t="s">
        <v>423</v>
      </c>
    </row>
    <row r="29" spans="1:18" x14ac:dyDescent="0.3">
      <c r="D29" t="s">
        <v>424</v>
      </c>
      <c r="G29" t="s">
        <v>424</v>
      </c>
      <c r="J29" s="7" t="s">
        <v>436</v>
      </c>
      <c r="K29" s="7" t="str">
        <f>J29</f>
        <v>Ampli</v>
      </c>
    </row>
    <row r="30" spans="1:18" x14ac:dyDescent="0.3">
      <c r="D30" t="s">
        <v>422</v>
      </c>
      <c r="G30" t="s">
        <v>422</v>
      </c>
      <c r="H30" t="s">
        <v>44</v>
      </c>
      <c r="J30" t="s">
        <v>304</v>
      </c>
      <c r="K30" t="s">
        <v>304</v>
      </c>
      <c r="M30" t="s">
        <v>336</v>
      </c>
      <c r="N30" t="str">
        <f>H30</f>
        <v>ampli.volp</v>
      </c>
    </row>
    <row r="31" spans="1:18" x14ac:dyDescent="0.3">
      <c r="D31" t="s">
        <v>422</v>
      </c>
      <c r="G31" t="s">
        <v>422</v>
      </c>
      <c r="H31" t="s">
        <v>45</v>
      </c>
      <c r="J31" t="s">
        <v>305</v>
      </c>
      <c r="K31" t="s">
        <v>305</v>
      </c>
      <c r="M31" t="s">
        <v>336</v>
      </c>
      <c r="N31" t="str">
        <f>H31</f>
        <v>ampli.volm</v>
      </c>
    </row>
    <row r="32" spans="1:18" x14ac:dyDescent="0.3">
      <c r="D32" t="s">
        <v>422</v>
      </c>
      <c r="G32" t="s">
        <v>422</v>
      </c>
      <c r="H32" t="s">
        <v>46</v>
      </c>
      <c r="J32" t="s">
        <v>283</v>
      </c>
      <c r="K32" t="s">
        <v>283</v>
      </c>
      <c r="M32" t="s">
        <v>336</v>
      </c>
      <c r="N32" t="str">
        <f>H32</f>
        <v>ampli.mute</v>
      </c>
      <c r="P32" s="7" t="s">
        <v>395</v>
      </c>
      <c r="Q32" s="7"/>
      <c r="R32" s="7"/>
    </row>
    <row r="33" spans="1:18" s="1" customFormat="1" x14ac:dyDescent="0.3">
      <c r="A33" s="1" t="s">
        <v>429</v>
      </c>
      <c r="G33" s="1" t="s">
        <v>417</v>
      </c>
      <c r="H33" s="1" t="s">
        <v>418</v>
      </c>
    </row>
    <row r="34" spans="1:18" x14ac:dyDescent="0.3">
      <c r="D34" t="s">
        <v>424</v>
      </c>
      <c r="G34" t="s">
        <v>424</v>
      </c>
      <c r="J34" s="7" t="s">
        <v>435</v>
      </c>
      <c r="K34" s="7" t="str">
        <f>J34</f>
        <v>Lumières</v>
      </c>
    </row>
    <row r="35" spans="1:18" x14ac:dyDescent="0.3">
      <c r="D35" t="s">
        <v>422</v>
      </c>
      <c r="G35" t="s">
        <v>422</v>
      </c>
      <c r="H35" t="s">
        <v>52</v>
      </c>
      <c r="J35" t="s">
        <v>236</v>
      </c>
      <c r="K35" t="s">
        <v>325</v>
      </c>
      <c r="L35" t="s">
        <v>236</v>
      </c>
      <c r="M35" t="s">
        <v>336</v>
      </c>
      <c r="N35" t="str">
        <f t="shared" ref="N35:N46" si="2">H35</f>
        <v>salon.on</v>
      </c>
    </row>
    <row r="36" spans="1:18" x14ac:dyDescent="0.3">
      <c r="D36" t="s">
        <v>422</v>
      </c>
      <c r="G36" t="s">
        <v>422</v>
      </c>
      <c r="H36" t="s">
        <v>51</v>
      </c>
      <c r="J36" t="s">
        <v>235</v>
      </c>
      <c r="K36" t="s">
        <v>326</v>
      </c>
      <c r="L36" t="s">
        <v>235</v>
      </c>
      <c r="M36" t="s">
        <v>336</v>
      </c>
      <c r="N36" t="str">
        <f t="shared" si="2"/>
        <v>salon.off</v>
      </c>
      <c r="P36" s="7" t="s">
        <v>395</v>
      </c>
      <c r="Q36" s="7"/>
      <c r="R36" s="7"/>
    </row>
    <row r="37" spans="1:18" x14ac:dyDescent="0.3">
      <c r="D37" t="s">
        <v>422</v>
      </c>
      <c r="G37" t="s">
        <v>422</v>
      </c>
      <c r="H37" t="s">
        <v>4</v>
      </c>
      <c r="J37" t="s">
        <v>237</v>
      </c>
      <c r="K37" t="s">
        <v>355</v>
      </c>
      <c r="L37" t="s">
        <v>237</v>
      </c>
      <c r="M37" t="s">
        <v>336</v>
      </c>
      <c r="N37" t="str">
        <f t="shared" si="2"/>
        <v>salon.1.on</v>
      </c>
      <c r="O37" t="s">
        <v>382</v>
      </c>
    </row>
    <row r="38" spans="1:18" x14ac:dyDescent="0.3">
      <c r="D38" t="s">
        <v>422</v>
      </c>
      <c r="G38" t="s">
        <v>422</v>
      </c>
      <c r="H38" t="s">
        <v>9</v>
      </c>
      <c r="J38" t="s">
        <v>246</v>
      </c>
      <c r="K38" t="s">
        <v>356</v>
      </c>
      <c r="L38" t="s">
        <v>246</v>
      </c>
      <c r="M38" t="s">
        <v>336</v>
      </c>
      <c r="N38" t="str">
        <f t="shared" si="2"/>
        <v>salon.1.off</v>
      </c>
      <c r="O38" t="s">
        <v>382</v>
      </c>
      <c r="P38" s="7" t="s">
        <v>395</v>
      </c>
      <c r="Q38" s="7"/>
      <c r="R38" s="7"/>
    </row>
    <row r="39" spans="1:18" x14ac:dyDescent="0.3">
      <c r="D39" t="s">
        <v>422</v>
      </c>
      <c r="G39" t="s">
        <v>422</v>
      </c>
      <c r="H39" t="s">
        <v>5</v>
      </c>
      <c r="J39" t="s">
        <v>238</v>
      </c>
      <c r="K39" t="s">
        <v>357</v>
      </c>
      <c r="L39" t="s">
        <v>238</v>
      </c>
      <c r="M39" t="s">
        <v>336</v>
      </c>
      <c r="N39" t="str">
        <f t="shared" si="2"/>
        <v>salon.2.on</v>
      </c>
      <c r="O39" t="s">
        <v>383</v>
      </c>
    </row>
    <row r="40" spans="1:18" x14ac:dyDescent="0.3">
      <c r="D40" t="s">
        <v>422</v>
      </c>
      <c r="G40" t="s">
        <v>422</v>
      </c>
      <c r="H40" t="s">
        <v>10</v>
      </c>
      <c r="J40" t="s">
        <v>239</v>
      </c>
      <c r="K40" t="s">
        <v>358</v>
      </c>
      <c r="L40" t="s">
        <v>239</v>
      </c>
      <c r="M40" t="s">
        <v>336</v>
      </c>
      <c r="N40" t="str">
        <f t="shared" si="2"/>
        <v>salon.2.off</v>
      </c>
      <c r="O40" t="s">
        <v>383</v>
      </c>
      <c r="P40" s="7" t="s">
        <v>395</v>
      </c>
      <c r="Q40" s="7"/>
      <c r="R40" s="7"/>
    </row>
    <row r="41" spans="1:18" x14ac:dyDescent="0.3">
      <c r="D41" t="s">
        <v>422</v>
      </c>
      <c r="G41" t="s">
        <v>422</v>
      </c>
      <c r="H41" t="s">
        <v>6</v>
      </c>
      <c r="J41" t="s">
        <v>240</v>
      </c>
      <c r="K41" t="s">
        <v>359</v>
      </c>
      <c r="L41" t="s">
        <v>240</v>
      </c>
      <c r="M41" t="s">
        <v>336</v>
      </c>
      <c r="N41" t="str">
        <f t="shared" si="2"/>
        <v>salon.3.on</v>
      </c>
      <c r="O41" t="s">
        <v>384</v>
      </c>
    </row>
    <row r="42" spans="1:18" x14ac:dyDescent="0.3">
      <c r="D42" t="s">
        <v>422</v>
      </c>
      <c r="G42" t="s">
        <v>422</v>
      </c>
      <c r="H42" t="s">
        <v>11</v>
      </c>
      <c r="J42" t="s">
        <v>241</v>
      </c>
      <c r="K42" t="s">
        <v>360</v>
      </c>
      <c r="L42" t="s">
        <v>241</v>
      </c>
      <c r="M42" t="s">
        <v>336</v>
      </c>
      <c r="N42" t="str">
        <f t="shared" si="2"/>
        <v>salon.3.off</v>
      </c>
      <c r="O42" t="s">
        <v>384</v>
      </c>
      <c r="P42" s="7" t="s">
        <v>395</v>
      </c>
      <c r="Q42" s="7"/>
      <c r="R42" s="7"/>
    </row>
    <row r="43" spans="1:18" x14ac:dyDescent="0.3">
      <c r="D43" t="s">
        <v>422</v>
      </c>
      <c r="G43" t="s">
        <v>422</v>
      </c>
      <c r="H43" t="s">
        <v>12</v>
      </c>
      <c r="J43" t="s">
        <v>242</v>
      </c>
      <c r="K43" t="s">
        <v>361</v>
      </c>
      <c r="L43" t="s">
        <v>242</v>
      </c>
      <c r="M43" t="s">
        <v>336</v>
      </c>
      <c r="N43" t="str">
        <f t="shared" si="2"/>
        <v>salon.4.on</v>
      </c>
      <c r="O43" t="s">
        <v>385</v>
      </c>
    </row>
    <row r="44" spans="1:18" x14ac:dyDescent="0.3">
      <c r="D44" t="s">
        <v>422</v>
      </c>
      <c r="G44" t="s">
        <v>422</v>
      </c>
      <c r="H44" t="s">
        <v>14</v>
      </c>
      <c r="J44" t="s">
        <v>243</v>
      </c>
      <c r="K44" t="s">
        <v>362</v>
      </c>
      <c r="L44" t="s">
        <v>243</v>
      </c>
      <c r="M44" t="s">
        <v>336</v>
      </c>
      <c r="N44" t="str">
        <f t="shared" si="2"/>
        <v>salon.4.off</v>
      </c>
      <c r="O44" t="s">
        <v>385</v>
      </c>
      <c r="P44" s="7" t="s">
        <v>395</v>
      </c>
      <c r="Q44" s="7"/>
      <c r="R44" s="7"/>
    </row>
    <row r="45" spans="1:18" x14ac:dyDescent="0.3">
      <c r="D45" t="s">
        <v>422</v>
      </c>
      <c r="G45" t="s">
        <v>422</v>
      </c>
      <c r="H45" t="s">
        <v>13</v>
      </c>
      <c r="J45" t="s">
        <v>244</v>
      </c>
      <c r="K45" t="s">
        <v>363</v>
      </c>
      <c r="L45" t="s">
        <v>244</v>
      </c>
      <c r="M45" t="s">
        <v>336</v>
      </c>
      <c r="N45" t="str">
        <f t="shared" si="2"/>
        <v>salon.5.on</v>
      </c>
      <c r="O45" t="s">
        <v>386</v>
      </c>
    </row>
    <row r="46" spans="1:18" x14ac:dyDescent="0.3">
      <c r="D46" t="s">
        <v>422</v>
      </c>
      <c r="G46" t="s">
        <v>422</v>
      </c>
      <c r="H46" t="s">
        <v>15</v>
      </c>
      <c r="J46" t="s">
        <v>245</v>
      </c>
      <c r="K46" t="s">
        <v>364</v>
      </c>
      <c r="L46" t="s">
        <v>245</v>
      </c>
      <c r="M46" t="s">
        <v>336</v>
      </c>
      <c r="N46" t="str">
        <f t="shared" si="2"/>
        <v>salon.5.off</v>
      </c>
      <c r="O46" t="s">
        <v>386</v>
      </c>
      <c r="P46" s="7" t="s">
        <v>395</v>
      </c>
      <c r="Q46" s="7"/>
      <c r="R46" s="7"/>
    </row>
    <row r="47" spans="1:18" s="1" customFormat="1" x14ac:dyDescent="0.3">
      <c r="A47" s="1" t="s">
        <v>429</v>
      </c>
      <c r="G47" s="1" t="s">
        <v>417</v>
      </c>
      <c r="H47" s="1" t="s">
        <v>419</v>
      </c>
    </row>
    <row r="48" spans="1:18" x14ac:dyDescent="0.3">
      <c r="D48" t="s">
        <v>424</v>
      </c>
      <c r="G48" t="s">
        <v>424</v>
      </c>
      <c r="J48" s="7" t="s">
        <v>435</v>
      </c>
      <c r="K48" s="7" t="str">
        <f>J48</f>
        <v>Lumières</v>
      </c>
    </row>
    <row r="49" spans="1:18" x14ac:dyDescent="0.3">
      <c r="D49" t="s">
        <v>422</v>
      </c>
      <c r="G49" t="s">
        <v>422</v>
      </c>
      <c r="H49" t="s">
        <v>261</v>
      </c>
      <c r="J49" t="s">
        <v>249</v>
      </c>
      <c r="K49" t="s">
        <v>325</v>
      </c>
      <c r="L49" t="s">
        <v>249</v>
      </c>
      <c r="M49" t="s">
        <v>336</v>
      </c>
      <c r="N49" t="str">
        <f t="shared" ref="N49:N60" si="3">H49</f>
        <v>studio.on</v>
      </c>
    </row>
    <row r="50" spans="1:18" x14ac:dyDescent="0.3">
      <c r="D50" t="s">
        <v>422</v>
      </c>
      <c r="G50" t="s">
        <v>422</v>
      </c>
      <c r="H50" t="s">
        <v>262</v>
      </c>
      <c r="J50" t="s">
        <v>250</v>
      </c>
      <c r="K50" t="s">
        <v>326</v>
      </c>
      <c r="L50" t="s">
        <v>250</v>
      </c>
      <c r="M50" t="s">
        <v>336</v>
      </c>
      <c r="N50" t="str">
        <f t="shared" si="3"/>
        <v>studio.off</v>
      </c>
      <c r="P50" s="7" t="s">
        <v>395</v>
      </c>
      <c r="Q50" s="7"/>
      <c r="R50" s="7"/>
    </row>
    <row r="51" spans="1:18" x14ac:dyDescent="0.3">
      <c r="D51" t="s">
        <v>422</v>
      </c>
      <c r="G51" t="s">
        <v>422</v>
      </c>
      <c r="H51" t="s">
        <v>372</v>
      </c>
      <c r="J51" t="s">
        <v>251</v>
      </c>
      <c r="K51" t="s">
        <v>355</v>
      </c>
      <c r="L51" t="s">
        <v>251</v>
      </c>
      <c r="M51" t="s">
        <v>336</v>
      </c>
      <c r="N51" t="str">
        <f t="shared" si="3"/>
        <v>studio.1.on</v>
      </c>
      <c r="O51" t="s">
        <v>387</v>
      </c>
    </row>
    <row r="52" spans="1:18" x14ac:dyDescent="0.3">
      <c r="D52" t="s">
        <v>422</v>
      </c>
      <c r="G52" t="s">
        <v>422</v>
      </c>
      <c r="H52" t="s">
        <v>373</v>
      </c>
      <c r="J52" t="s">
        <v>252</v>
      </c>
      <c r="K52" t="s">
        <v>356</v>
      </c>
      <c r="L52" t="s">
        <v>252</v>
      </c>
      <c r="M52" t="s">
        <v>336</v>
      </c>
      <c r="N52" t="str">
        <f t="shared" si="3"/>
        <v>studio.1.off</v>
      </c>
      <c r="O52" t="s">
        <v>387</v>
      </c>
      <c r="P52" s="7" t="s">
        <v>395</v>
      </c>
      <c r="Q52" s="7"/>
      <c r="R52" s="7"/>
    </row>
    <row r="53" spans="1:18" x14ac:dyDescent="0.3">
      <c r="D53" t="s">
        <v>422</v>
      </c>
      <c r="G53" t="s">
        <v>422</v>
      </c>
      <c r="H53" t="s">
        <v>374</v>
      </c>
      <c r="J53" t="s">
        <v>253</v>
      </c>
      <c r="K53" t="s">
        <v>357</v>
      </c>
      <c r="L53" t="s">
        <v>253</v>
      </c>
      <c r="M53" t="s">
        <v>336</v>
      </c>
      <c r="N53" t="str">
        <f t="shared" si="3"/>
        <v>studio.2.on</v>
      </c>
      <c r="O53" t="s">
        <v>388</v>
      </c>
    </row>
    <row r="54" spans="1:18" x14ac:dyDescent="0.3">
      <c r="D54" t="s">
        <v>422</v>
      </c>
      <c r="G54" t="s">
        <v>422</v>
      </c>
      <c r="H54" t="s">
        <v>375</v>
      </c>
      <c r="J54" t="s">
        <v>254</v>
      </c>
      <c r="K54" t="s">
        <v>358</v>
      </c>
      <c r="L54" t="s">
        <v>254</v>
      </c>
      <c r="M54" t="s">
        <v>336</v>
      </c>
      <c r="N54" t="str">
        <f t="shared" si="3"/>
        <v>studio.2.off</v>
      </c>
      <c r="O54" t="s">
        <v>388</v>
      </c>
      <c r="P54" s="7" t="s">
        <v>395</v>
      </c>
      <c r="Q54" s="7"/>
      <c r="R54" s="7"/>
    </row>
    <row r="55" spans="1:18" x14ac:dyDescent="0.3">
      <c r="D55" t="s">
        <v>422</v>
      </c>
      <c r="G55" t="s">
        <v>422</v>
      </c>
      <c r="H55" t="s">
        <v>376</v>
      </c>
      <c r="J55" t="s">
        <v>255</v>
      </c>
      <c r="K55" t="s">
        <v>359</v>
      </c>
      <c r="L55" t="s">
        <v>255</v>
      </c>
      <c r="M55" t="s">
        <v>336</v>
      </c>
      <c r="N55" t="str">
        <f t="shared" si="3"/>
        <v>studio.3.on</v>
      </c>
      <c r="O55" t="s">
        <v>389</v>
      </c>
    </row>
    <row r="56" spans="1:18" x14ac:dyDescent="0.3">
      <c r="D56" t="s">
        <v>422</v>
      </c>
      <c r="G56" t="s">
        <v>422</v>
      </c>
      <c r="H56" t="s">
        <v>377</v>
      </c>
      <c r="J56" t="s">
        <v>256</v>
      </c>
      <c r="K56" t="s">
        <v>360</v>
      </c>
      <c r="L56" t="s">
        <v>256</v>
      </c>
      <c r="M56" t="s">
        <v>336</v>
      </c>
      <c r="N56" t="str">
        <f t="shared" si="3"/>
        <v>studio.3.off</v>
      </c>
      <c r="O56" t="s">
        <v>389</v>
      </c>
      <c r="P56" s="7" t="s">
        <v>395</v>
      </c>
      <c r="Q56" s="7"/>
      <c r="R56" s="7"/>
    </row>
    <row r="57" spans="1:18" x14ac:dyDescent="0.3">
      <c r="D57" t="s">
        <v>422</v>
      </c>
      <c r="G57" t="s">
        <v>422</v>
      </c>
      <c r="H57" t="s">
        <v>378</v>
      </c>
      <c r="J57" t="s">
        <v>257</v>
      </c>
      <c r="K57" t="s">
        <v>361</v>
      </c>
      <c r="L57" t="s">
        <v>257</v>
      </c>
      <c r="M57" t="s">
        <v>336</v>
      </c>
      <c r="N57" t="str">
        <f t="shared" si="3"/>
        <v>studio.4.on</v>
      </c>
      <c r="O57" t="s">
        <v>390</v>
      </c>
    </row>
    <row r="58" spans="1:18" x14ac:dyDescent="0.3">
      <c r="D58" t="s">
        <v>422</v>
      </c>
      <c r="G58" t="s">
        <v>422</v>
      </c>
      <c r="H58" t="s">
        <v>379</v>
      </c>
      <c r="J58" t="s">
        <v>258</v>
      </c>
      <c r="K58" t="s">
        <v>362</v>
      </c>
      <c r="L58" t="s">
        <v>258</v>
      </c>
      <c r="M58" t="s">
        <v>336</v>
      </c>
      <c r="N58" t="str">
        <f t="shared" si="3"/>
        <v>studio.4.off</v>
      </c>
      <c r="O58" t="s">
        <v>390</v>
      </c>
      <c r="P58" s="7" t="s">
        <v>395</v>
      </c>
      <c r="Q58" s="7"/>
      <c r="R58" s="7"/>
    </row>
    <row r="59" spans="1:18" x14ac:dyDescent="0.3">
      <c r="D59" t="s">
        <v>422</v>
      </c>
      <c r="G59" t="s">
        <v>422</v>
      </c>
      <c r="H59" t="s">
        <v>380</v>
      </c>
      <c r="J59" t="s">
        <v>259</v>
      </c>
      <c r="K59" t="s">
        <v>363</v>
      </c>
      <c r="L59" t="s">
        <v>259</v>
      </c>
      <c r="M59" t="s">
        <v>336</v>
      </c>
      <c r="N59" t="str">
        <f t="shared" si="3"/>
        <v>studio.5.on</v>
      </c>
      <c r="O59" t="s">
        <v>391</v>
      </c>
    </row>
    <row r="60" spans="1:18" x14ac:dyDescent="0.3">
      <c r="D60" t="s">
        <v>422</v>
      </c>
      <c r="G60" t="s">
        <v>422</v>
      </c>
      <c r="H60" t="s">
        <v>381</v>
      </c>
      <c r="J60" t="s">
        <v>260</v>
      </c>
      <c r="K60" t="s">
        <v>364</v>
      </c>
      <c r="L60" t="s">
        <v>260</v>
      </c>
      <c r="M60" t="s">
        <v>336</v>
      </c>
      <c r="N60" t="str">
        <f t="shared" si="3"/>
        <v>studio.5.off</v>
      </c>
      <c r="O60" t="s">
        <v>391</v>
      </c>
      <c r="P60" s="7" t="s">
        <v>395</v>
      </c>
      <c r="Q60" s="7"/>
      <c r="R60" s="7"/>
    </row>
    <row r="61" spans="1:18" s="1" customFormat="1" x14ac:dyDescent="0.3">
      <c r="A61" s="1" t="s">
        <v>429</v>
      </c>
      <c r="G61" s="1" t="s">
        <v>417</v>
      </c>
      <c r="H61" s="1" t="s">
        <v>437</v>
      </c>
    </row>
    <row r="62" spans="1:18" x14ac:dyDescent="0.3">
      <c r="D62" t="s">
        <v>424</v>
      </c>
      <c r="G62" t="s">
        <v>424</v>
      </c>
      <c r="J62" s="7" t="s">
        <v>285</v>
      </c>
      <c r="K62" s="7" t="str">
        <f>J62</f>
        <v>Macros</v>
      </c>
    </row>
    <row r="63" spans="1:18" x14ac:dyDescent="0.3">
      <c r="D63" t="s">
        <v>422</v>
      </c>
      <c r="G63" t="s">
        <v>422</v>
      </c>
      <c r="H63" t="s">
        <v>47</v>
      </c>
      <c r="J63" s="7" t="s">
        <v>286</v>
      </c>
      <c r="K63" s="7" t="s">
        <v>286</v>
      </c>
      <c r="L63" t="s">
        <v>288</v>
      </c>
      <c r="M63" t="s">
        <v>336</v>
      </c>
      <c r="N63" t="str">
        <f>H63</f>
        <v>tvon</v>
      </c>
      <c r="O63" t="s">
        <v>47</v>
      </c>
    </row>
    <row r="64" spans="1:18" x14ac:dyDescent="0.3">
      <c r="D64" t="s">
        <v>422</v>
      </c>
      <c r="G64" t="s">
        <v>422</v>
      </c>
      <c r="H64" t="s">
        <v>48</v>
      </c>
      <c r="J64" s="7" t="s">
        <v>287</v>
      </c>
      <c r="K64" s="7" t="s">
        <v>287</v>
      </c>
      <c r="L64" t="s">
        <v>289</v>
      </c>
      <c r="M64" t="s">
        <v>336</v>
      </c>
      <c r="N64" t="str">
        <f>H64</f>
        <v>tvoff</v>
      </c>
      <c r="O64" t="s">
        <v>47</v>
      </c>
      <c r="P64" s="7" t="s">
        <v>395</v>
      </c>
      <c r="Q64" s="7"/>
      <c r="R64" s="7"/>
    </row>
    <row r="65" spans="4:18" x14ac:dyDescent="0.3">
      <c r="D65" t="s">
        <v>424</v>
      </c>
      <c r="G65" t="s">
        <v>424</v>
      </c>
      <c r="J65" s="7" t="s">
        <v>273</v>
      </c>
      <c r="K65" s="7" t="str">
        <f t="shared" ref="K65:K79" si="4">J65</f>
        <v>TV</v>
      </c>
    </row>
    <row r="66" spans="4:18" x14ac:dyDescent="0.3">
      <c r="D66" t="s">
        <v>422</v>
      </c>
      <c r="G66" t="s">
        <v>422</v>
      </c>
      <c r="H66" t="s">
        <v>274</v>
      </c>
      <c r="J66" t="s">
        <v>281</v>
      </c>
      <c r="K66" t="s">
        <v>281</v>
      </c>
      <c r="M66" t="s">
        <v>336</v>
      </c>
      <c r="N66" t="str">
        <f t="shared" ref="N66:N72" si="5">H66</f>
        <v>tv.on</v>
      </c>
    </row>
    <row r="67" spans="4:18" x14ac:dyDescent="0.3">
      <c r="D67" t="s">
        <v>422</v>
      </c>
      <c r="G67" t="s">
        <v>422</v>
      </c>
      <c r="H67" t="s">
        <v>275</v>
      </c>
      <c r="J67" t="s">
        <v>282</v>
      </c>
      <c r="K67" t="s">
        <v>282</v>
      </c>
      <c r="M67" t="s">
        <v>336</v>
      </c>
      <c r="N67" t="str">
        <f t="shared" si="5"/>
        <v>tv.off</v>
      </c>
    </row>
    <row r="68" spans="4:18" x14ac:dyDescent="0.3">
      <c r="D68" t="s">
        <v>422</v>
      </c>
      <c r="G68" t="s">
        <v>422</v>
      </c>
      <c r="H68" t="s">
        <v>276</v>
      </c>
      <c r="J68" t="s">
        <v>283</v>
      </c>
      <c r="K68" t="s">
        <v>283</v>
      </c>
      <c r="M68" t="s">
        <v>336</v>
      </c>
      <c r="N68" t="str">
        <f t="shared" si="5"/>
        <v>tv.mute</v>
      </c>
      <c r="P68" s="7" t="s">
        <v>395</v>
      </c>
      <c r="Q68" s="7"/>
      <c r="R68" s="7"/>
    </row>
    <row r="69" spans="4:18" x14ac:dyDescent="0.3">
      <c r="D69" t="s">
        <v>422</v>
      </c>
      <c r="G69" t="s">
        <v>422</v>
      </c>
      <c r="H69" t="s">
        <v>277</v>
      </c>
      <c r="J69" t="s">
        <v>365</v>
      </c>
      <c r="K69" t="s">
        <v>365</v>
      </c>
      <c r="M69" t="s">
        <v>336</v>
      </c>
      <c r="N69" t="str">
        <f t="shared" si="5"/>
        <v>tv.entree.hdmi1</v>
      </c>
    </row>
    <row r="70" spans="4:18" x14ac:dyDescent="0.3">
      <c r="D70" t="s">
        <v>422</v>
      </c>
      <c r="G70" t="s">
        <v>422</v>
      </c>
      <c r="H70" t="s">
        <v>278</v>
      </c>
      <c r="J70" t="s">
        <v>366</v>
      </c>
      <c r="K70" t="s">
        <v>366</v>
      </c>
      <c r="M70" t="s">
        <v>336</v>
      </c>
      <c r="N70" t="str">
        <f t="shared" si="5"/>
        <v>tv.entree.hdmi2</v>
      </c>
    </row>
    <row r="71" spans="4:18" x14ac:dyDescent="0.3">
      <c r="D71" t="s">
        <v>422</v>
      </c>
      <c r="G71" t="s">
        <v>422</v>
      </c>
      <c r="H71" t="s">
        <v>279</v>
      </c>
      <c r="J71" t="s">
        <v>367</v>
      </c>
      <c r="K71" t="s">
        <v>367</v>
      </c>
      <c r="M71" t="s">
        <v>336</v>
      </c>
      <c r="N71" t="str">
        <f t="shared" si="5"/>
        <v>tv.entree.hdmi3</v>
      </c>
      <c r="P71" s="7" t="s">
        <v>395</v>
      </c>
      <c r="Q71" s="7"/>
      <c r="R71" s="7"/>
    </row>
    <row r="72" spans="4:18" x14ac:dyDescent="0.3">
      <c r="D72" t="s">
        <v>422</v>
      </c>
      <c r="G72" t="s">
        <v>422</v>
      </c>
      <c r="H72" t="s">
        <v>280</v>
      </c>
      <c r="J72" t="s">
        <v>284</v>
      </c>
      <c r="K72" t="s">
        <v>284</v>
      </c>
      <c r="M72" t="s">
        <v>336</v>
      </c>
      <c r="N72" t="str">
        <f t="shared" si="5"/>
        <v>tv.vol0</v>
      </c>
      <c r="P72" s="7" t="s">
        <v>395</v>
      </c>
      <c r="Q72" s="7"/>
      <c r="R72" s="7"/>
    </row>
    <row r="73" spans="4:18" x14ac:dyDescent="0.3">
      <c r="D73" t="s">
        <v>424</v>
      </c>
      <c r="G73" t="s">
        <v>424</v>
      </c>
      <c r="J73" s="7" t="s">
        <v>439</v>
      </c>
      <c r="K73" s="7" t="str">
        <f t="shared" si="4"/>
        <v>Entrées HDMI</v>
      </c>
    </row>
    <row r="74" spans="4:18" x14ac:dyDescent="0.3">
      <c r="D74" t="s">
        <v>422</v>
      </c>
      <c r="G74" t="s">
        <v>422</v>
      </c>
      <c r="H74" t="s">
        <v>77</v>
      </c>
      <c r="J74" t="s">
        <v>365</v>
      </c>
      <c r="K74">
        <v>1</v>
      </c>
      <c r="M74" t="s">
        <v>336</v>
      </c>
      <c r="N74" t="str">
        <f>H74</f>
        <v>hdmi.1</v>
      </c>
    </row>
    <row r="75" spans="4:18" x14ac:dyDescent="0.3">
      <c r="D75" t="s">
        <v>422</v>
      </c>
      <c r="G75" t="s">
        <v>422</v>
      </c>
      <c r="H75" t="s">
        <v>78</v>
      </c>
      <c r="J75" t="s">
        <v>366</v>
      </c>
      <c r="K75">
        <v>2</v>
      </c>
      <c r="M75" t="s">
        <v>336</v>
      </c>
      <c r="N75" t="str">
        <f>H75</f>
        <v>hdmi.2</v>
      </c>
    </row>
    <row r="76" spans="4:18" x14ac:dyDescent="0.3">
      <c r="D76" t="s">
        <v>422</v>
      </c>
      <c r="G76" t="s">
        <v>422</v>
      </c>
      <c r="H76" t="s">
        <v>79</v>
      </c>
      <c r="J76" t="s">
        <v>367</v>
      </c>
      <c r="K76">
        <v>3</v>
      </c>
      <c r="M76" t="s">
        <v>336</v>
      </c>
      <c r="N76" t="str">
        <f>H76</f>
        <v>hdmi.3</v>
      </c>
    </row>
    <row r="77" spans="4:18" x14ac:dyDescent="0.3">
      <c r="D77" t="s">
        <v>422</v>
      </c>
      <c r="G77" t="s">
        <v>422</v>
      </c>
      <c r="H77" t="s">
        <v>80</v>
      </c>
      <c r="J77" t="s">
        <v>368</v>
      </c>
      <c r="K77">
        <v>4</v>
      </c>
      <c r="M77" t="s">
        <v>336</v>
      </c>
      <c r="N77" t="str">
        <f>H77</f>
        <v>hdmi.4</v>
      </c>
    </row>
    <row r="78" spans="4:18" x14ac:dyDescent="0.3">
      <c r="D78" t="s">
        <v>422</v>
      </c>
      <c r="G78" t="s">
        <v>422</v>
      </c>
      <c r="H78" t="s">
        <v>81</v>
      </c>
      <c r="J78" t="s">
        <v>369</v>
      </c>
      <c r="K78">
        <v>5</v>
      </c>
      <c r="M78" t="s">
        <v>336</v>
      </c>
      <c r="N78" t="str">
        <f>H78</f>
        <v>hdmi.5</v>
      </c>
      <c r="P78" s="7" t="s">
        <v>395</v>
      </c>
      <c r="Q78" s="7"/>
      <c r="R78" s="7"/>
    </row>
    <row r="79" spans="4:18" x14ac:dyDescent="0.3">
      <c r="D79" t="s">
        <v>424</v>
      </c>
      <c r="G79" t="s">
        <v>424</v>
      </c>
      <c r="J79" s="7" t="s">
        <v>436</v>
      </c>
      <c r="K79" s="7" t="str">
        <f t="shared" si="4"/>
        <v>Ampli</v>
      </c>
    </row>
    <row r="80" spans="4:18" x14ac:dyDescent="0.3">
      <c r="D80" t="s">
        <v>422</v>
      </c>
      <c r="G80" t="s">
        <v>422</v>
      </c>
      <c r="H80" t="s">
        <v>50</v>
      </c>
      <c r="J80" t="s">
        <v>302</v>
      </c>
      <c r="K80" t="s">
        <v>302</v>
      </c>
      <c r="M80" t="s">
        <v>336</v>
      </c>
      <c r="N80" t="str">
        <f>H80</f>
        <v>ampli.on</v>
      </c>
    </row>
    <row r="81" spans="1:18" x14ac:dyDescent="0.3">
      <c r="D81" t="s">
        <v>422</v>
      </c>
      <c r="G81" t="s">
        <v>422</v>
      </c>
      <c r="H81" t="s">
        <v>49</v>
      </c>
      <c r="J81" t="s">
        <v>303</v>
      </c>
      <c r="K81" t="s">
        <v>303</v>
      </c>
      <c r="M81" t="s">
        <v>336</v>
      </c>
      <c r="N81" t="str">
        <f>H81</f>
        <v>ampli.off</v>
      </c>
      <c r="P81" s="7" t="s">
        <v>395</v>
      </c>
      <c r="Q81" s="7"/>
      <c r="R81" s="7"/>
    </row>
    <row r="82" spans="1:18" x14ac:dyDescent="0.3">
      <c r="D82" t="s">
        <v>422</v>
      </c>
      <c r="G82" t="s">
        <v>422</v>
      </c>
      <c r="H82" t="s">
        <v>44</v>
      </c>
      <c r="J82" t="s">
        <v>304</v>
      </c>
      <c r="K82" t="s">
        <v>304</v>
      </c>
      <c r="M82" t="s">
        <v>336</v>
      </c>
      <c r="N82" t="str">
        <f>H82</f>
        <v>ampli.volp</v>
      </c>
    </row>
    <row r="83" spans="1:18" x14ac:dyDescent="0.3">
      <c r="D83" t="s">
        <v>422</v>
      </c>
      <c r="G83" t="s">
        <v>422</v>
      </c>
      <c r="H83" t="s">
        <v>45</v>
      </c>
      <c r="J83" t="s">
        <v>305</v>
      </c>
      <c r="K83" t="s">
        <v>305</v>
      </c>
      <c r="M83" t="s">
        <v>336</v>
      </c>
      <c r="N83" t="str">
        <f>H83</f>
        <v>ampli.volm</v>
      </c>
    </row>
    <row r="84" spans="1:18" x14ac:dyDescent="0.3">
      <c r="D84" t="s">
        <v>422</v>
      </c>
      <c r="G84" t="s">
        <v>422</v>
      </c>
      <c r="H84" t="s">
        <v>46</v>
      </c>
      <c r="J84" t="s">
        <v>283</v>
      </c>
      <c r="K84" t="s">
        <v>283</v>
      </c>
      <c r="M84" t="s">
        <v>336</v>
      </c>
      <c r="N84" t="str">
        <f>H84</f>
        <v>ampli.mute</v>
      </c>
      <c r="P84" s="7" t="s">
        <v>395</v>
      </c>
      <c r="Q84" s="7"/>
      <c r="R84" s="7"/>
    </row>
    <row r="85" spans="1:18" s="1" customFormat="1" x14ac:dyDescent="0.3">
      <c r="A85" s="1" t="s">
        <v>429</v>
      </c>
      <c r="G85" s="1" t="s">
        <v>417</v>
      </c>
      <c r="H85" s="1" t="s">
        <v>440</v>
      </c>
    </row>
    <row r="86" spans="1:18" x14ac:dyDescent="0.3">
      <c r="D86" t="s">
        <v>424</v>
      </c>
      <c r="G86" t="s">
        <v>424</v>
      </c>
      <c r="J86" s="7" t="s">
        <v>285</v>
      </c>
      <c r="K86" s="7" t="str">
        <f>J86</f>
        <v>Macros</v>
      </c>
    </row>
    <row r="87" spans="1:18" x14ac:dyDescent="0.3">
      <c r="D87" t="s">
        <v>422</v>
      </c>
      <c r="G87" t="s">
        <v>422</v>
      </c>
      <c r="H87" t="s">
        <v>290</v>
      </c>
      <c r="J87" s="7" t="s">
        <v>292</v>
      </c>
      <c r="K87" s="7" t="s">
        <v>292</v>
      </c>
      <c r="L87" t="s">
        <v>294</v>
      </c>
      <c r="M87" t="s">
        <v>336</v>
      </c>
      <c r="N87" t="str">
        <f>H87</f>
        <v>vpon</v>
      </c>
      <c r="O87" t="s">
        <v>290</v>
      </c>
    </row>
    <row r="88" spans="1:18" x14ac:dyDescent="0.3">
      <c r="D88" t="s">
        <v>422</v>
      </c>
      <c r="G88" t="s">
        <v>422</v>
      </c>
      <c r="H88" t="s">
        <v>291</v>
      </c>
      <c r="J88" s="7" t="s">
        <v>293</v>
      </c>
      <c r="K88" s="7" t="s">
        <v>293</v>
      </c>
      <c r="L88" t="s">
        <v>295</v>
      </c>
      <c r="M88" t="s">
        <v>336</v>
      </c>
      <c r="N88" t="str">
        <f>H88</f>
        <v>vpoff</v>
      </c>
      <c r="O88" t="s">
        <v>290</v>
      </c>
      <c r="P88" s="7" t="s">
        <v>395</v>
      </c>
      <c r="Q88" s="7"/>
      <c r="R88" s="7"/>
    </row>
    <row r="89" spans="1:18" x14ac:dyDescent="0.3">
      <c r="D89" t="s">
        <v>424</v>
      </c>
      <c r="G89" t="s">
        <v>424</v>
      </c>
      <c r="J89" s="7" t="s">
        <v>438</v>
      </c>
      <c r="K89" s="7" t="str">
        <f>J89</f>
        <v>Vidéo projecteur</v>
      </c>
    </row>
    <row r="90" spans="1:18" x14ac:dyDescent="0.3">
      <c r="D90" t="s">
        <v>422</v>
      </c>
      <c r="G90" t="s">
        <v>422</v>
      </c>
      <c r="H90" t="s">
        <v>310</v>
      </c>
      <c r="J90" t="s">
        <v>296</v>
      </c>
      <c r="K90" t="s">
        <v>296</v>
      </c>
      <c r="M90" t="s">
        <v>336</v>
      </c>
      <c r="N90" t="str">
        <f>H90</f>
        <v>vpsalon.on</v>
      </c>
    </row>
    <row r="91" spans="1:18" x14ac:dyDescent="0.3">
      <c r="D91" t="s">
        <v>422</v>
      </c>
      <c r="G91" t="s">
        <v>422</v>
      </c>
      <c r="H91" t="s">
        <v>311</v>
      </c>
      <c r="J91" t="s">
        <v>297</v>
      </c>
      <c r="K91" t="s">
        <v>297</v>
      </c>
      <c r="M91" t="s">
        <v>336</v>
      </c>
      <c r="N91" t="str">
        <f>H91</f>
        <v>vpsalon.off</v>
      </c>
      <c r="P91" s="7" t="s">
        <v>395</v>
      </c>
      <c r="Q91" s="7"/>
      <c r="R91" s="7"/>
    </row>
    <row r="92" spans="1:18" x14ac:dyDescent="0.3">
      <c r="D92" t="s">
        <v>424</v>
      </c>
      <c r="G92" t="s">
        <v>424</v>
      </c>
      <c r="J92" s="7" t="s">
        <v>441</v>
      </c>
      <c r="K92" s="7" t="str">
        <f>J92</f>
        <v>Ecran</v>
      </c>
    </row>
    <row r="93" spans="1:18" x14ac:dyDescent="0.3">
      <c r="D93" t="s">
        <v>422</v>
      </c>
      <c r="G93" t="s">
        <v>422</v>
      </c>
      <c r="H93" t="s">
        <v>299</v>
      </c>
      <c r="J93" t="s">
        <v>300</v>
      </c>
      <c r="K93" t="s">
        <v>300</v>
      </c>
      <c r="M93" t="s">
        <v>336</v>
      </c>
      <c r="N93" t="str">
        <f>H93</f>
        <v>ecran.haut</v>
      </c>
    </row>
    <row r="94" spans="1:18" x14ac:dyDescent="0.3">
      <c r="D94" t="s">
        <v>422</v>
      </c>
      <c r="G94" t="s">
        <v>422</v>
      </c>
      <c r="H94" t="s">
        <v>298</v>
      </c>
      <c r="J94" t="s">
        <v>301</v>
      </c>
      <c r="K94" t="s">
        <v>301</v>
      </c>
      <c r="M94" t="s">
        <v>336</v>
      </c>
      <c r="N94" t="str">
        <f>H94</f>
        <v>ecran.bas</v>
      </c>
      <c r="P94" s="7" t="s">
        <v>395</v>
      </c>
      <c r="Q94" s="7"/>
      <c r="R94" s="7"/>
    </row>
    <row r="95" spans="1:18" s="1" customFormat="1" x14ac:dyDescent="0.3">
      <c r="A95" s="1" t="s">
        <v>429</v>
      </c>
      <c r="G95" s="1" t="s">
        <v>417</v>
      </c>
      <c r="H95" s="1" t="s">
        <v>442</v>
      </c>
    </row>
    <row r="96" spans="1:18" x14ac:dyDescent="0.3">
      <c r="D96" t="s">
        <v>424</v>
      </c>
      <c r="G96" t="s">
        <v>424</v>
      </c>
      <c r="J96" s="7" t="s">
        <v>436</v>
      </c>
      <c r="K96" s="7" t="str">
        <f>J96</f>
        <v>Ampli</v>
      </c>
    </row>
    <row r="97" spans="1:18" x14ac:dyDescent="0.3">
      <c r="D97" t="s">
        <v>424</v>
      </c>
      <c r="G97" t="s">
        <v>424</v>
      </c>
      <c r="J97" s="7" t="s">
        <v>273</v>
      </c>
      <c r="K97" s="7" t="str">
        <f t="shared" ref="K97:K101" si="6">J97</f>
        <v>TV</v>
      </c>
    </row>
    <row r="98" spans="1:18" x14ac:dyDescent="0.3">
      <c r="D98" t="s">
        <v>424</v>
      </c>
      <c r="G98" t="s">
        <v>424</v>
      </c>
      <c r="J98" s="7" t="s">
        <v>443</v>
      </c>
      <c r="K98" s="7" t="str">
        <f t="shared" si="6"/>
        <v>TV WebOS</v>
      </c>
    </row>
    <row r="99" spans="1:18" x14ac:dyDescent="0.3">
      <c r="D99" t="s">
        <v>424</v>
      </c>
      <c r="G99" t="s">
        <v>424</v>
      </c>
      <c r="J99" s="7" t="s">
        <v>444</v>
      </c>
      <c r="K99" s="7" t="str">
        <f t="shared" si="6"/>
        <v>HDMI Nec</v>
      </c>
    </row>
    <row r="100" spans="1:18" x14ac:dyDescent="0.3">
      <c r="D100" t="s">
        <v>424</v>
      </c>
      <c r="G100" t="s">
        <v>424</v>
      </c>
      <c r="J100" s="7" t="s">
        <v>415</v>
      </c>
      <c r="K100" s="7" t="str">
        <f t="shared" si="6"/>
        <v>VP</v>
      </c>
    </row>
    <row r="101" spans="1:18" x14ac:dyDescent="0.3">
      <c r="D101" t="s">
        <v>424</v>
      </c>
      <c r="G101" t="s">
        <v>424</v>
      </c>
      <c r="J101" s="7" t="s">
        <v>445</v>
      </c>
      <c r="K101" s="7" t="str">
        <f t="shared" si="6"/>
        <v>EspIR01</v>
      </c>
    </row>
    <row r="102" spans="1:18" x14ac:dyDescent="0.3">
      <c r="J102" s="7"/>
      <c r="K102" s="7"/>
    </row>
    <row r="103" spans="1:18" x14ac:dyDescent="0.3">
      <c r="J103" s="7"/>
      <c r="K103" s="7"/>
    </row>
    <row r="104" spans="1:18" x14ac:dyDescent="0.3">
      <c r="J104" s="7"/>
      <c r="K104" s="7"/>
    </row>
    <row r="105" spans="1:18" x14ac:dyDescent="0.3">
      <c r="J105" s="7"/>
      <c r="K105" s="7"/>
    </row>
    <row r="106" spans="1:18" x14ac:dyDescent="0.3">
      <c r="P106" s="7"/>
      <c r="Q106" s="7"/>
      <c r="R106" s="7"/>
    </row>
    <row r="107" spans="1:18" x14ac:dyDescent="0.3">
      <c r="A107" t="s">
        <v>434</v>
      </c>
      <c r="P107" s="7"/>
      <c r="Q107" s="7"/>
      <c r="R107" s="7"/>
    </row>
    <row r="108" spans="1:18" s="11" customFormat="1" x14ac:dyDescent="0.3"/>
    <row r="109" spans="1:18" s="1" customFormat="1" x14ac:dyDescent="0.3">
      <c r="C109" s="1" t="s">
        <v>409</v>
      </c>
      <c r="G109" s="1" t="s">
        <v>407</v>
      </c>
      <c r="H109" s="1" t="str">
        <f>"tab"&amp;C109</f>
        <v>tabDevices</v>
      </c>
    </row>
    <row r="110" spans="1:18" s="10" customFormat="1" x14ac:dyDescent="0.3">
      <c r="D110" s="10" t="s">
        <v>285</v>
      </c>
      <c r="H110" s="10" t="str">
        <f>"dev"&amp;D110</f>
        <v>devMacros</v>
      </c>
      <c r="J110" s="10" t="s">
        <v>285</v>
      </c>
      <c r="K110" s="10" t="s">
        <v>285</v>
      </c>
      <c r="Q110" s="10" t="s">
        <v>398</v>
      </c>
    </row>
    <row r="111" spans="1:18" x14ac:dyDescent="0.3">
      <c r="H111" t="s">
        <v>47</v>
      </c>
      <c r="J111" s="7" t="s">
        <v>286</v>
      </c>
      <c r="K111" s="7" t="s">
        <v>286</v>
      </c>
      <c r="L111" t="s">
        <v>288</v>
      </c>
      <c r="M111" t="s">
        <v>336</v>
      </c>
      <c r="N111" t="str">
        <f>H111</f>
        <v>tvon</v>
      </c>
      <c r="O111" t="s">
        <v>47</v>
      </c>
    </row>
    <row r="112" spans="1:18" x14ac:dyDescent="0.3">
      <c r="H112" t="s">
        <v>48</v>
      </c>
      <c r="J112" s="7" t="s">
        <v>287</v>
      </c>
      <c r="K112" s="7" t="s">
        <v>287</v>
      </c>
      <c r="L112" t="s">
        <v>289</v>
      </c>
      <c r="M112" t="s">
        <v>336</v>
      </c>
      <c r="N112" t="str">
        <f>H112</f>
        <v>tvoff</v>
      </c>
      <c r="O112" t="s">
        <v>47</v>
      </c>
      <c r="P112" s="7" t="s">
        <v>395</v>
      </c>
      <c r="Q112" s="7"/>
      <c r="R112" s="7"/>
    </row>
    <row r="113" spans="4:18" x14ac:dyDescent="0.3">
      <c r="H113" t="s">
        <v>290</v>
      </c>
      <c r="J113" s="7" t="s">
        <v>292</v>
      </c>
      <c r="K113" s="7" t="s">
        <v>292</v>
      </c>
      <c r="L113" t="s">
        <v>294</v>
      </c>
      <c r="M113" t="s">
        <v>336</v>
      </c>
      <c r="N113" t="str">
        <f>H113</f>
        <v>vpon</v>
      </c>
      <c r="O113" t="s">
        <v>290</v>
      </c>
    </row>
    <row r="114" spans="4:18" x14ac:dyDescent="0.3">
      <c r="H114" t="s">
        <v>291</v>
      </c>
      <c r="J114" s="7" t="s">
        <v>293</v>
      </c>
      <c r="K114" s="7" t="s">
        <v>293</v>
      </c>
      <c r="L114" t="s">
        <v>295</v>
      </c>
      <c r="M114" t="s">
        <v>336</v>
      </c>
      <c r="N114" t="str">
        <f>H114</f>
        <v>vpoff</v>
      </c>
      <c r="O114" t="s">
        <v>290</v>
      </c>
      <c r="P114" s="7" t="s">
        <v>395</v>
      </c>
      <c r="Q114" s="7"/>
      <c r="R114" s="7"/>
    </row>
    <row r="115" spans="4:18" s="10" customFormat="1" x14ac:dyDescent="0.3">
      <c r="D115" s="10" t="s">
        <v>232</v>
      </c>
      <c r="H115" s="10" t="str">
        <f>"dev"&amp;D115</f>
        <v>devSalon</v>
      </c>
      <c r="J115" s="10" t="s">
        <v>232</v>
      </c>
      <c r="K115" s="10" t="s">
        <v>232</v>
      </c>
      <c r="L115" s="10" t="s">
        <v>234</v>
      </c>
      <c r="Q115" s="10" t="s">
        <v>397</v>
      </c>
    </row>
    <row r="116" spans="4:18" x14ac:dyDescent="0.3">
      <c r="H116" t="s">
        <v>52</v>
      </c>
      <c r="J116" t="s">
        <v>236</v>
      </c>
      <c r="K116" t="s">
        <v>325</v>
      </c>
      <c r="L116" t="s">
        <v>236</v>
      </c>
      <c r="M116" t="s">
        <v>336</v>
      </c>
      <c r="N116" t="str">
        <f t="shared" ref="N116:N127" si="7">H116</f>
        <v>salon.on</v>
      </c>
    </row>
    <row r="117" spans="4:18" x14ac:dyDescent="0.3">
      <c r="H117" t="s">
        <v>51</v>
      </c>
      <c r="J117" t="s">
        <v>235</v>
      </c>
      <c r="K117" t="s">
        <v>326</v>
      </c>
      <c r="L117" t="s">
        <v>235</v>
      </c>
      <c r="M117" t="s">
        <v>336</v>
      </c>
      <c r="N117" t="str">
        <f t="shared" si="7"/>
        <v>salon.off</v>
      </c>
      <c r="P117" s="7" t="s">
        <v>395</v>
      </c>
      <c r="Q117" s="7"/>
      <c r="R117" s="7"/>
    </row>
    <row r="118" spans="4:18" x14ac:dyDescent="0.3">
      <c r="H118" t="s">
        <v>4</v>
      </c>
      <c r="J118" t="s">
        <v>237</v>
      </c>
      <c r="K118" t="s">
        <v>355</v>
      </c>
      <c r="L118" t="s">
        <v>237</v>
      </c>
      <c r="M118" t="s">
        <v>336</v>
      </c>
      <c r="N118" t="str">
        <f t="shared" si="7"/>
        <v>salon.1.on</v>
      </c>
      <c r="O118" t="s">
        <v>382</v>
      </c>
    </row>
    <row r="119" spans="4:18" x14ac:dyDescent="0.3">
      <c r="H119" t="s">
        <v>9</v>
      </c>
      <c r="J119" t="s">
        <v>246</v>
      </c>
      <c r="K119" t="s">
        <v>356</v>
      </c>
      <c r="L119" t="s">
        <v>246</v>
      </c>
      <c r="M119" t="s">
        <v>336</v>
      </c>
      <c r="N119" t="str">
        <f t="shared" si="7"/>
        <v>salon.1.off</v>
      </c>
      <c r="O119" t="s">
        <v>382</v>
      </c>
      <c r="P119" s="7" t="s">
        <v>395</v>
      </c>
      <c r="Q119" s="7"/>
      <c r="R119" s="7"/>
    </row>
    <row r="120" spans="4:18" x14ac:dyDescent="0.3">
      <c r="H120" t="s">
        <v>5</v>
      </c>
      <c r="J120" t="s">
        <v>238</v>
      </c>
      <c r="K120" t="s">
        <v>357</v>
      </c>
      <c r="L120" t="s">
        <v>238</v>
      </c>
      <c r="M120" t="s">
        <v>336</v>
      </c>
      <c r="N120" t="str">
        <f t="shared" si="7"/>
        <v>salon.2.on</v>
      </c>
      <c r="O120" t="s">
        <v>383</v>
      </c>
    </row>
    <row r="121" spans="4:18" x14ac:dyDescent="0.3">
      <c r="H121" t="s">
        <v>10</v>
      </c>
      <c r="J121" t="s">
        <v>239</v>
      </c>
      <c r="K121" t="s">
        <v>358</v>
      </c>
      <c r="L121" t="s">
        <v>239</v>
      </c>
      <c r="M121" t="s">
        <v>336</v>
      </c>
      <c r="N121" t="str">
        <f t="shared" si="7"/>
        <v>salon.2.off</v>
      </c>
      <c r="O121" t="s">
        <v>383</v>
      </c>
      <c r="P121" s="7" t="s">
        <v>395</v>
      </c>
      <c r="Q121" s="7"/>
      <c r="R121" s="7"/>
    </row>
    <row r="122" spans="4:18" x14ac:dyDescent="0.3">
      <c r="H122" t="s">
        <v>6</v>
      </c>
      <c r="J122" t="s">
        <v>240</v>
      </c>
      <c r="K122" t="s">
        <v>359</v>
      </c>
      <c r="L122" t="s">
        <v>240</v>
      </c>
      <c r="M122" t="s">
        <v>336</v>
      </c>
      <c r="N122" t="str">
        <f t="shared" si="7"/>
        <v>salon.3.on</v>
      </c>
      <c r="O122" t="s">
        <v>384</v>
      </c>
    </row>
    <row r="123" spans="4:18" x14ac:dyDescent="0.3">
      <c r="H123" t="s">
        <v>11</v>
      </c>
      <c r="J123" t="s">
        <v>241</v>
      </c>
      <c r="K123" t="s">
        <v>360</v>
      </c>
      <c r="L123" t="s">
        <v>241</v>
      </c>
      <c r="M123" t="s">
        <v>336</v>
      </c>
      <c r="N123" t="str">
        <f t="shared" si="7"/>
        <v>salon.3.off</v>
      </c>
      <c r="O123" t="s">
        <v>384</v>
      </c>
      <c r="P123" s="7" t="s">
        <v>395</v>
      </c>
      <c r="Q123" s="7"/>
      <c r="R123" s="7"/>
    </row>
    <row r="124" spans="4:18" x14ac:dyDescent="0.3">
      <c r="H124" t="s">
        <v>12</v>
      </c>
      <c r="J124" t="s">
        <v>242</v>
      </c>
      <c r="K124" t="s">
        <v>361</v>
      </c>
      <c r="L124" t="s">
        <v>242</v>
      </c>
      <c r="M124" t="s">
        <v>336</v>
      </c>
      <c r="N124" t="str">
        <f t="shared" si="7"/>
        <v>salon.4.on</v>
      </c>
      <c r="O124" t="s">
        <v>385</v>
      </c>
    </row>
    <row r="125" spans="4:18" x14ac:dyDescent="0.3">
      <c r="H125" t="s">
        <v>14</v>
      </c>
      <c r="J125" t="s">
        <v>243</v>
      </c>
      <c r="K125" t="s">
        <v>362</v>
      </c>
      <c r="L125" t="s">
        <v>243</v>
      </c>
      <c r="M125" t="s">
        <v>336</v>
      </c>
      <c r="N125" t="str">
        <f t="shared" si="7"/>
        <v>salon.4.off</v>
      </c>
      <c r="O125" t="s">
        <v>385</v>
      </c>
      <c r="P125" s="7" t="s">
        <v>395</v>
      </c>
      <c r="Q125" s="7"/>
      <c r="R125" s="7"/>
    </row>
    <row r="126" spans="4:18" x14ac:dyDescent="0.3">
      <c r="H126" t="s">
        <v>13</v>
      </c>
      <c r="J126" t="s">
        <v>244</v>
      </c>
      <c r="K126" t="s">
        <v>363</v>
      </c>
      <c r="L126" t="s">
        <v>244</v>
      </c>
      <c r="M126" t="s">
        <v>336</v>
      </c>
      <c r="N126" t="str">
        <f t="shared" si="7"/>
        <v>salon.5.on</v>
      </c>
      <c r="O126" t="s">
        <v>386</v>
      </c>
    </row>
    <row r="127" spans="4:18" x14ac:dyDescent="0.3">
      <c r="H127" t="s">
        <v>15</v>
      </c>
      <c r="J127" t="s">
        <v>245</v>
      </c>
      <c r="K127" t="s">
        <v>364</v>
      </c>
      <c r="L127" t="s">
        <v>245</v>
      </c>
      <c r="M127" t="s">
        <v>336</v>
      </c>
      <c r="N127" t="str">
        <f t="shared" si="7"/>
        <v>salon.5.off</v>
      </c>
      <c r="O127" t="s">
        <v>386</v>
      </c>
      <c r="P127" s="7" t="s">
        <v>395</v>
      </c>
      <c r="Q127" s="7"/>
      <c r="R127" s="7"/>
    </row>
    <row r="128" spans="4:18" s="10" customFormat="1" x14ac:dyDescent="0.3">
      <c r="D128" s="10" t="s">
        <v>247</v>
      </c>
      <c r="H128" s="10" t="str">
        <f>"dev"&amp;D128</f>
        <v>devStudio</v>
      </c>
      <c r="J128" s="10" t="s">
        <v>247</v>
      </c>
      <c r="K128" s="10" t="s">
        <v>247</v>
      </c>
      <c r="L128" s="10" t="s">
        <v>248</v>
      </c>
      <c r="Q128" s="10" t="s">
        <v>397</v>
      </c>
    </row>
    <row r="129" spans="4:18" x14ac:dyDescent="0.3">
      <c r="H129" t="s">
        <v>261</v>
      </c>
      <c r="J129" t="s">
        <v>249</v>
      </c>
      <c r="K129" t="s">
        <v>325</v>
      </c>
      <c r="L129" t="s">
        <v>249</v>
      </c>
      <c r="M129" t="s">
        <v>336</v>
      </c>
      <c r="N129" t="str">
        <f t="shared" ref="N129:N140" si="8">H129</f>
        <v>studio.on</v>
      </c>
    </row>
    <row r="130" spans="4:18" x14ac:dyDescent="0.3">
      <c r="H130" t="s">
        <v>262</v>
      </c>
      <c r="J130" t="s">
        <v>250</v>
      </c>
      <c r="K130" t="s">
        <v>326</v>
      </c>
      <c r="L130" t="s">
        <v>250</v>
      </c>
      <c r="M130" t="s">
        <v>336</v>
      </c>
      <c r="N130" t="str">
        <f t="shared" si="8"/>
        <v>studio.off</v>
      </c>
      <c r="P130" s="7" t="s">
        <v>395</v>
      </c>
      <c r="Q130" s="7"/>
      <c r="R130" s="7"/>
    </row>
    <row r="131" spans="4:18" x14ac:dyDescent="0.3">
      <c r="H131" t="s">
        <v>372</v>
      </c>
      <c r="J131" t="s">
        <v>251</v>
      </c>
      <c r="K131" t="s">
        <v>355</v>
      </c>
      <c r="L131" t="s">
        <v>251</v>
      </c>
      <c r="M131" t="s">
        <v>336</v>
      </c>
      <c r="N131" t="str">
        <f t="shared" si="8"/>
        <v>studio.1.on</v>
      </c>
      <c r="O131" t="s">
        <v>387</v>
      </c>
    </row>
    <row r="132" spans="4:18" x14ac:dyDescent="0.3">
      <c r="H132" t="s">
        <v>373</v>
      </c>
      <c r="J132" t="s">
        <v>252</v>
      </c>
      <c r="K132" t="s">
        <v>356</v>
      </c>
      <c r="L132" t="s">
        <v>252</v>
      </c>
      <c r="M132" t="s">
        <v>336</v>
      </c>
      <c r="N132" t="str">
        <f t="shared" si="8"/>
        <v>studio.1.off</v>
      </c>
      <c r="O132" t="s">
        <v>387</v>
      </c>
      <c r="P132" s="7" t="s">
        <v>395</v>
      </c>
      <c r="Q132" s="7"/>
      <c r="R132" s="7"/>
    </row>
    <row r="133" spans="4:18" x14ac:dyDescent="0.3">
      <c r="H133" t="s">
        <v>374</v>
      </c>
      <c r="J133" t="s">
        <v>253</v>
      </c>
      <c r="K133" t="s">
        <v>357</v>
      </c>
      <c r="L133" t="s">
        <v>253</v>
      </c>
      <c r="M133" t="s">
        <v>336</v>
      </c>
      <c r="N133" t="str">
        <f t="shared" si="8"/>
        <v>studio.2.on</v>
      </c>
      <c r="O133" t="s">
        <v>388</v>
      </c>
    </row>
    <row r="134" spans="4:18" x14ac:dyDescent="0.3">
      <c r="H134" t="s">
        <v>375</v>
      </c>
      <c r="J134" t="s">
        <v>254</v>
      </c>
      <c r="K134" t="s">
        <v>358</v>
      </c>
      <c r="L134" t="s">
        <v>254</v>
      </c>
      <c r="M134" t="s">
        <v>336</v>
      </c>
      <c r="N134" t="str">
        <f t="shared" si="8"/>
        <v>studio.2.off</v>
      </c>
      <c r="O134" t="s">
        <v>388</v>
      </c>
      <c r="P134" s="7" t="s">
        <v>395</v>
      </c>
      <c r="Q134" s="7"/>
      <c r="R134" s="7"/>
    </row>
    <row r="135" spans="4:18" x14ac:dyDescent="0.3">
      <c r="H135" t="s">
        <v>376</v>
      </c>
      <c r="J135" t="s">
        <v>255</v>
      </c>
      <c r="K135" t="s">
        <v>359</v>
      </c>
      <c r="L135" t="s">
        <v>255</v>
      </c>
      <c r="M135" t="s">
        <v>336</v>
      </c>
      <c r="N135" t="str">
        <f t="shared" si="8"/>
        <v>studio.3.on</v>
      </c>
      <c r="O135" t="s">
        <v>389</v>
      </c>
    </row>
    <row r="136" spans="4:18" x14ac:dyDescent="0.3">
      <c r="H136" t="s">
        <v>377</v>
      </c>
      <c r="J136" t="s">
        <v>256</v>
      </c>
      <c r="K136" t="s">
        <v>360</v>
      </c>
      <c r="L136" t="s">
        <v>256</v>
      </c>
      <c r="M136" t="s">
        <v>336</v>
      </c>
      <c r="N136" t="str">
        <f t="shared" si="8"/>
        <v>studio.3.off</v>
      </c>
      <c r="O136" t="s">
        <v>389</v>
      </c>
      <c r="P136" s="7" t="s">
        <v>395</v>
      </c>
      <c r="Q136" s="7"/>
      <c r="R136" s="7"/>
    </row>
    <row r="137" spans="4:18" x14ac:dyDescent="0.3">
      <c r="H137" t="s">
        <v>378</v>
      </c>
      <c r="J137" t="s">
        <v>257</v>
      </c>
      <c r="K137" t="s">
        <v>361</v>
      </c>
      <c r="L137" t="s">
        <v>257</v>
      </c>
      <c r="M137" t="s">
        <v>336</v>
      </c>
      <c r="N137" t="str">
        <f t="shared" si="8"/>
        <v>studio.4.on</v>
      </c>
      <c r="O137" t="s">
        <v>390</v>
      </c>
    </row>
    <row r="138" spans="4:18" x14ac:dyDescent="0.3">
      <c r="H138" t="s">
        <v>379</v>
      </c>
      <c r="J138" t="s">
        <v>258</v>
      </c>
      <c r="K138" t="s">
        <v>362</v>
      </c>
      <c r="L138" t="s">
        <v>258</v>
      </c>
      <c r="M138" t="s">
        <v>336</v>
      </c>
      <c r="N138" t="str">
        <f t="shared" si="8"/>
        <v>studio.4.off</v>
      </c>
      <c r="O138" t="s">
        <v>390</v>
      </c>
      <c r="P138" s="7" t="s">
        <v>395</v>
      </c>
      <c r="Q138" s="7"/>
      <c r="R138" s="7"/>
    </row>
    <row r="139" spans="4:18" x14ac:dyDescent="0.3">
      <c r="H139" t="s">
        <v>380</v>
      </c>
      <c r="J139" t="s">
        <v>259</v>
      </c>
      <c r="K139" t="s">
        <v>363</v>
      </c>
      <c r="L139" t="s">
        <v>259</v>
      </c>
      <c r="M139" t="s">
        <v>336</v>
      </c>
      <c r="N139" t="str">
        <f t="shared" si="8"/>
        <v>studio.5.on</v>
      </c>
      <c r="O139" t="s">
        <v>391</v>
      </c>
    </row>
    <row r="140" spans="4:18" x14ac:dyDescent="0.3">
      <c r="H140" t="s">
        <v>381</v>
      </c>
      <c r="J140" t="s">
        <v>260</v>
      </c>
      <c r="K140" t="s">
        <v>364</v>
      </c>
      <c r="L140" t="s">
        <v>260</v>
      </c>
      <c r="M140" t="s">
        <v>336</v>
      </c>
      <c r="N140" t="str">
        <f t="shared" si="8"/>
        <v>studio.5.off</v>
      </c>
      <c r="O140" t="s">
        <v>391</v>
      </c>
      <c r="P140" s="7" t="s">
        <v>395</v>
      </c>
      <c r="Q140" s="7"/>
      <c r="R140" s="7"/>
    </row>
    <row r="141" spans="4:18" s="10" customFormat="1" x14ac:dyDescent="0.3">
      <c r="D141" s="10" t="s">
        <v>263</v>
      </c>
      <c r="H141" s="10" t="str">
        <f>"dev"&amp;D141</f>
        <v>devMaison</v>
      </c>
      <c r="J141" s="10" t="s">
        <v>263</v>
      </c>
      <c r="K141" s="10" t="s">
        <v>263</v>
      </c>
      <c r="L141" s="10" t="s">
        <v>272</v>
      </c>
      <c r="Q141" s="10" t="s">
        <v>401</v>
      </c>
    </row>
    <row r="142" spans="4:18" x14ac:dyDescent="0.3">
      <c r="H142" t="s">
        <v>264</v>
      </c>
      <c r="J142" t="s">
        <v>266</v>
      </c>
      <c r="K142" t="s">
        <v>266</v>
      </c>
      <c r="L142" t="s">
        <v>266</v>
      </c>
      <c r="M142" t="s">
        <v>336</v>
      </c>
      <c r="N142" t="str">
        <f>H142</f>
        <v>jardin.on</v>
      </c>
      <c r="O142" t="s">
        <v>392</v>
      </c>
    </row>
    <row r="143" spans="4:18" x14ac:dyDescent="0.3">
      <c r="H143" t="s">
        <v>265</v>
      </c>
      <c r="J143" t="s">
        <v>267</v>
      </c>
      <c r="K143" t="s">
        <v>267</v>
      </c>
      <c r="L143" t="s">
        <v>267</v>
      </c>
      <c r="M143" t="s">
        <v>336</v>
      </c>
      <c r="N143" t="str">
        <f>H143</f>
        <v>jardin.off</v>
      </c>
      <c r="O143" t="s">
        <v>392</v>
      </c>
      <c r="P143" s="7" t="s">
        <v>395</v>
      </c>
      <c r="Q143" s="7"/>
      <c r="R143" s="7"/>
    </row>
    <row r="144" spans="4:18" x14ac:dyDescent="0.3">
      <c r="H144" t="s">
        <v>270</v>
      </c>
      <c r="J144" t="s">
        <v>344</v>
      </c>
      <c r="K144" t="s">
        <v>344</v>
      </c>
      <c r="L144" t="s">
        <v>268</v>
      </c>
      <c r="M144" t="s">
        <v>336</v>
      </c>
      <c r="N144" t="str">
        <f>H144</f>
        <v>volets.on</v>
      </c>
      <c r="O144" t="s">
        <v>393</v>
      </c>
    </row>
    <row r="145" spans="4:18" x14ac:dyDescent="0.3">
      <c r="H145" t="s">
        <v>271</v>
      </c>
      <c r="J145" t="s">
        <v>345</v>
      </c>
      <c r="K145" t="s">
        <v>345</v>
      </c>
      <c r="L145" t="s">
        <v>269</v>
      </c>
      <c r="M145" t="s">
        <v>336</v>
      </c>
      <c r="N145" t="str">
        <f>H145</f>
        <v>volets.off</v>
      </c>
      <c r="O145" t="s">
        <v>393</v>
      </c>
      <c r="P145" s="7" t="s">
        <v>395</v>
      </c>
      <c r="Q145" s="7"/>
      <c r="R145" s="7"/>
    </row>
    <row r="146" spans="4:18" s="10" customFormat="1" x14ac:dyDescent="0.3">
      <c r="D146" s="10" t="s">
        <v>273</v>
      </c>
      <c r="H146" s="10" t="str">
        <f>"dev"&amp;D146</f>
        <v>devTV</v>
      </c>
      <c r="J146" s="10" t="s">
        <v>307</v>
      </c>
      <c r="K146" s="10" t="s">
        <v>307</v>
      </c>
      <c r="L146" s="10" t="s">
        <v>307</v>
      </c>
      <c r="Q146" s="10" t="s">
        <v>399</v>
      </c>
    </row>
    <row r="147" spans="4:18" x14ac:dyDescent="0.3">
      <c r="H147" t="s">
        <v>274</v>
      </c>
      <c r="J147" t="s">
        <v>281</v>
      </c>
      <c r="K147" t="s">
        <v>281</v>
      </c>
      <c r="M147" t="s">
        <v>336</v>
      </c>
      <c r="N147" t="str">
        <f t="shared" ref="N147:N153" si="9">H147</f>
        <v>tv.on</v>
      </c>
    </row>
    <row r="148" spans="4:18" x14ac:dyDescent="0.3">
      <c r="H148" t="s">
        <v>275</v>
      </c>
      <c r="J148" t="s">
        <v>282</v>
      </c>
      <c r="K148" t="s">
        <v>282</v>
      </c>
      <c r="M148" t="s">
        <v>336</v>
      </c>
      <c r="N148" t="str">
        <f t="shared" si="9"/>
        <v>tv.off</v>
      </c>
    </row>
    <row r="149" spans="4:18" x14ac:dyDescent="0.3">
      <c r="H149" t="s">
        <v>276</v>
      </c>
      <c r="J149" t="s">
        <v>283</v>
      </c>
      <c r="K149" t="s">
        <v>283</v>
      </c>
      <c r="M149" t="s">
        <v>336</v>
      </c>
      <c r="N149" t="str">
        <f t="shared" si="9"/>
        <v>tv.mute</v>
      </c>
      <c r="P149" s="7" t="s">
        <v>395</v>
      </c>
      <c r="Q149" s="7"/>
      <c r="R149" s="7"/>
    </row>
    <row r="150" spans="4:18" x14ac:dyDescent="0.3">
      <c r="H150" t="s">
        <v>277</v>
      </c>
      <c r="J150" t="s">
        <v>365</v>
      </c>
      <c r="K150" t="s">
        <v>365</v>
      </c>
      <c r="M150" t="s">
        <v>336</v>
      </c>
      <c r="N150" t="str">
        <f t="shared" si="9"/>
        <v>tv.entree.hdmi1</v>
      </c>
    </row>
    <row r="151" spans="4:18" x14ac:dyDescent="0.3">
      <c r="H151" t="s">
        <v>278</v>
      </c>
      <c r="J151" t="s">
        <v>366</v>
      </c>
      <c r="K151" t="s">
        <v>366</v>
      </c>
      <c r="M151" t="s">
        <v>336</v>
      </c>
      <c r="N151" t="str">
        <f t="shared" si="9"/>
        <v>tv.entree.hdmi2</v>
      </c>
    </row>
    <row r="152" spans="4:18" x14ac:dyDescent="0.3">
      <c r="H152" t="s">
        <v>279</v>
      </c>
      <c r="J152" t="s">
        <v>367</v>
      </c>
      <c r="K152" t="s">
        <v>367</v>
      </c>
      <c r="M152" t="s">
        <v>336</v>
      </c>
      <c r="N152" t="str">
        <f t="shared" si="9"/>
        <v>tv.entree.hdmi3</v>
      </c>
      <c r="P152" s="7" t="s">
        <v>395</v>
      </c>
      <c r="Q152" s="7"/>
      <c r="R152" s="7"/>
    </row>
    <row r="153" spans="4:18" x14ac:dyDescent="0.3">
      <c r="H153" t="s">
        <v>280</v>
      </c>
      <c r="J153" t="s">
        <v>284</v>
      </c>
      <c r="K153" t="s">
        <v>284</v>
      </c>
      <c r="M153" t="s">
        <v>336</v>
      </c>
      <c r="N153" t="str">
        <f t="shared" si="9"/>
        <v>tv.vol0</v>
      </c>
      <c r="P153" s="7" t="s">
        <v>395</v>
      </c>
      <c r="Q153" s="7"/>
      <c r="R153" s="7"/>
    </row>
    <row r="154" spans="4:18" s="10" customFormat="1" x14ac:dyDescent="0.3">
      <c r="D154" s="10" t="s">
        <v>347</v>
      </c>
      <c r="H154" s="10" t="str">
        <f>"dev"&amp;D154</f>
        <v>devVPSalon</v>
      </c>
      <c r="J154" s="10" t="s">
        <v>308</v>
      </c>
      <c r="K154" s="10" t="s">
        <v>308</v>
      </c>
      <c r="L154" s="10" t="s">
        <v>308</v>
      </c>
      <c r="Q154" s="10" t="s">
        <v>399</v>
      </c>
    </row>
    <row r="155" spans="4:18" x14ac:dyDescent="0.3">
      <c r="H155" t="s">
        <v>310</v>
      </c>
      <c r="J155" t="s">
        <v>296</v>
      </c>
      <c r="K155" t="s">
        <v>296</v>
      </c>
      <c r="M155" t="s">
        <v>336</v>
      </c>
      <c r="N155" t="str">
        <f>H155</f>
        <v>vpsalon.on</v>
      </c>
    </row>
    <row r="156" spans="4:18" x14ac:dyDescent="0.3">
      <c r="H156" t="s">
        <v>311</v>
      </c>
      <c r="J156" t="s">
        <v>297</v>
      </c>
      <c r="K156" t="s">
        <v>297</v>
      </c>
      <c r="M156" t="s">
        <v>336</v>
      </c>
      <c r="N156" t="str">
        <f>H156</f>
        <v>vpsalon.off</v>
      </c>
      <c r="P156" s="7" t="s">
        <v>395</v>
      </c>
      <c r="Q156" s="7"/>
      <c r="R156" s="7"/>
    </row>
    <row r="157" spans="4:18" x14ac:dyDescent="0.3">
      <c r="H157" t="s">
        <v>299</v>
      </c>
      <c r="J157" t="s">
        <v>300</v>
      </c>
      <c r="K157" t="s">
        <v>300</v>
      </c>
      <c r="M157" t="s">
        <v>336</v>
      </c>
      <c r="N157" t="str">
        <f>H157</f>
        <v>ecran.haut</v>
      </c>
    </row>
    <row r="158" spans="4:18" x14ac:dyDescent="0.3">
      <c r="H158" t="s">
        <v>298</v>
      </c>
      <c r="J158" t="s">
        <v>301</v>
      </c>
      <c r="K158" t="s">
        <v>301</v>
      </c>
      <c r="M158" t="s">
        <v>336</v>
      </c>
      <c r="N158" t="str">
        <f>H158</f>
        <v>ecran.bas</v>
      </c>
      <c r="P158" s="7" t="s">
        <v>395</v>
      </c>
      <c r="Q158" s="7"/>
      <c r="R158" s="7"/>
    </row>
    <row r="159" spans="4:18" s="10" customFormat="1" x14ac:dyDescent="0.3">
      <c r="D159" s="10" t="s">
        <v>348</v>
      </c>
      <c r="H159" s="10" t="str">
        <f>"dev"&amp;D159</f>
        <v>devVPStudio</v>
      </c>
      <c r="J159" s="10" t="s">
        <v>312</v>
      </c>
      <c r="K159" s="10" t="s">
        <v>312</v>
      </c>
      <c r="L159" s="10" t="s">
        <v>312</v>
      </c>
      <c r="Q159" s="10" t="s">
        <v>399</v>
      </c>
    </row>
    <row r="160" spans="4:18" x14ac:dyDescent="0.3">
      <c r="H160" t="s">
        <v>227</v>
      </c>
      <c r="J160" t="s">
        <v>296</v>
      </c>
      <c r="K160" t="s">
        <v>296</v>
      </c>
      <c r="M160" t="s">
        <v>336</v>
      </c>
      <c r="N160" t="str">
        <f>H160</f>
        <v>vpstudio.on</v>
      </c>
    </row>
    <row r="161" spans="4:18" x14ac:dyDescent="0.3">
      <c r="H161" t="s">
        <v>228</v>
      </c>
      <c r="J161" t="s">
        <v>297</v>
      </c>
      <c r="K161" t="s">
        <v>297</v>
      </c>
      <c r="M161" t="s">
        <v>336</v>
      </c>
      <c r="N161" t="str">
        <f>H161</f>
        <v>vpstudio.off</v>
      </c>
      <c r="P161" s="7" t="s">
        <v>395</v>
      </c>
      <c r="Q161" s="7"/>
      <c r="R161" s="7"/>
    </row>
    <row r="162" spans="4:18" s="10" customFormat="1" x14ac:dyDescent="0.3">
      <c r="D162" s="10" t="s">
        <v>349</v>
      </c>
      <c r="H162" s="10" t="str">
        <f>"dev"&amp;D162</f>
        <v>devAmpliSalon</v>
      </c>
      <c r="J162" s="10" t="s">
        <v>309</v>
      </c>
      <c r="K162" s="10" t="s">
        <v>309</v>
      </c>
      <c r="L162" s="10" t="s">
        <v>309</v>
      </c>
      <c r="Q162" s="10" t="s">
        <v>399</v>
      </c>
    </row>
    <row r="163" spans="4:18" x14ac:dyDescent="0.3">
      <c r="H163" t="s">
        <v>50</v>
      </c>
      <c r="J163" t="s">
        <v>302</v>
      </c>
      <c r="K163" t="s">
        <v>302</v>
      </c>
      <c r="M163" t="s">
        <v>336</v>
      </c>
      <c r="N163" t="str">
        <f>H163</f>
        <v>ampli.on</v>
      </c>
    </row>
    <row r="164" spans="4:18" x14ac:dyDescent="0.3">
      <c r="H164" t="s">
        <v>49</v>
      </c>
      <c r="J164" t="s">
        <v>303</v>
      </c>
      <c r="K164" t="s">
        <v>303</v>
      </c>
      <c r="M164" t="s">
        <v>336</v>
      </c>
      <c r="N164" t="str">
        <f>H164</f>
        <v>ampli.off</v>
      </c>
      <c r="P164" s="7" t="s">
        <v>395</v>
      </c>
      <c r="Q164" s="7"/>
      <c r="R164" s="7"/>
    </row>
    <row r="165" spans="4:18" x14ac:dyDescent="0.3">
      <c r="H165" t="s">
        <v>44</v>
      </c>
      <c r="J165" t="s">
        <v>304</v>
      </c>
      <c r="K165" t="s">
        <v>304</v>
      </c>
      <c r="M165" t="s">
        <v>336</v>
      </c>
      <c r="N165" t="str">
        <f>H165</f>
        <v>ampli.volp</v>
      </c>
    </row>
    <row r="166" spans="4:18" x14ac:dyDescent="0.3">
      <c r="H166" t="s">
        <v>45</v>
      </c>
      <c r="J166" t="s">
        <v>305</v>
      </c>
      <c r="K166" t="s">
        <v>305</v>
      </c>
      <c r="M166" t="s">
        <v>336</v>
      </c>
      <c r="N166" t="str">
        <f>H166</f>
        <v>ampli.volm</v>
      </c>
    </row>
    <row r="167" spans="4:18" x14ac:dyDescent="0.3">
      <c r="H167" t="s">
        <v>46</v>
      </c>
      <c r="J167" t="s">
        <v>283</v>
      </c>
      <c r="K167" t="s">
        <v>283</v>
      </c>
      <c r="M167" t="s">
        <v>336</v>
      </c>
      <c r="N167" t="str">
        <f>H167</f>
        <v>ampli.mute</v>
      </c>
      <c r="P167" s="7" t="s">
        <v>395</v>
      </c>
      <c r="Q167" s="7"/>
      <c r="R167" s="7"/>
    </row>
    <row r="168" spans="4:18" s="10" customFormat="1" x14ac:dyDescent="0.3">
      <c r="D168" s="10" t="s">
        <v>350</v>
      </c>
      <c r="H168" s="10" t="str">
        <f>"dev"&amp;D168</f>
        <v>devAmpliStudio</v>
      </c>
      <c r="J168" s="10" t="s">
        <v>346</v>
      </c>
      <c r="K168" s="10" t="s">
        <v>346</v>
      </c>
      <c r="L168" s="10" t="s">
        <v>346</v>
      </c>
      <c r="Q168" s="10" t="s">
        <v>399</v>
      </c>
    </row>
    <row r="169" spans="4:18" x14ac:dyDescent="0.3">
      <c r="H169" t="s">
        <v>351</v>
      </c>
      <c r="J169" t="s">
        <v>304</v>
      </c>
      <c r="K169" t="s">
        <v>304</v>
      </c>
      <c r="M169" t="s">
        <v>336</v>
      </c>
      <c r="N169" t="str">
        <f>H169</f>
        <v>preamp.volp</v>
      </c>
    </row>
    <row r="170" spans="4:18" x14ac:dyDescent="0.3">
      <c r="H170" t="s">
        <v>352</v>
      </c>
      <c r="J170" t="s">
        <v>305</v>
      </c>
      <c r="K170" t="s">
        <v>305</v>
      </c>
      <c r="M170" t="s">
        <v>336</v>
      </c>
      <c r="N170" t="str">
        <f>H170</f>
        <v>preamp.volm</v>
      </c>
    </row>
    <row r="171" spans="4:18" x14ac:dyDescent="0.3">
      <c r="H171" t="s">
        <v>229</v>
      </c>
      <c r="J171" t="s">
        <v>283</v>
      </c>
      <c r="K171" t="s">
        <v>283</v>
      </c>
      <c r="M171" t="s">
        <v>336</v>
      </c>
      <c r="N171" t="str">
        <f>H171</f>
        <v>preamp.mute</v>
      </c>
      <c r="P171" s="7" t="s">
        <v>395</v>
      </c>
      <c r="Q171" s="7"/>
      <c r="R171" s="7"/>
    </row>
    <row r="172" spans="4:18" s="10" customFormat="1" x14ac:dyDescent="0.3">
      <c r="D172" s="10" t="s">
        <v>306</v>
      </c>
      <c r="H172" s="10" t="str">
        <f>"dev"&amp;D172</f>
        <v>devHDMI</v>
      </c>
      <c r="J172" s="10" t="s">
        <v>306</v>
      </c>
      <c r="K172" s="10" t="s">
        <v>306</v>
      </c>
      <c r="L172" s="10" t="s">
        <v>314</v>
      </c>
      <c r="Q172" s="10" t="s">
        <v>399</v>
      </c>
    </row>
    <row r="173" spans="4:18" x14ac:dyDescent="0.3">
      <c r="H173" t="s">
        <v>77</v>
      </c>
      <c r="J173" t="s">
        <v>365</v>
      </c>
      <c r="K173">
        <v>1</v>
      </c>
      <c r="M173" t="s">
        <v>336</v>
      </c>
      <c r="N173" t="str">
        <f>H173</f>
        <v>hdmi.1</v>
      </c>
    </row>
    <row r="174" spans="4:18" x14ac:dyDescent="0.3">
      <c r="H174" t="s">
        <v>78</v>
      </c>
      <c r="J174" t="s">
        <v>366</v>
      </c>
      <c r="K174">
        <v>2</v>
      </c>
      <c r="M174" t="s">
        <v>336</v>
      </c>
      <c r="N174" t="str">
        <f>H174</f>
        <v>hdmi.2</v>
      </c>
    </row>
    <row r="175" spans="4:18" x14ac:dyDescent="0.3">
      <c r="H175" t="s">
        <v>79</v>
      </c>
      <c r="J175" t="s">
        <v>367</v>
      </c>
      <c r="K175">
        <v>3</v>
      </c>
      <c r="M175" t="s">
        <v>336</v>
      </c>
      <c r="N175" t="str">
        <f>H175</f>
        <v>hdmi.3</v>
      </c>
    </row>
    <row r="176" spans="4:18" x14ac:dyDescent="0.3">
      <c r="H176" t="s">
        <v>80</v>
      </c>
      <c r="J176" t="s">
        <v>368</v>
      </c>
      <c r="K176">
        <v>4</v>
      </c>
      <c r="M176" t="s">
        <v>336</v>
      </c>
      <c r="N176" t="str">
        <f>H176</f>
        <v>hdmi.4</v>
      </c>
    </row>
    <row r="177" spans="4:18" x14ac:dyDescent="0.3">
      <c r="H177" t="s">
        <v>81</v>
      </c>
      <c r="J177" t="s">
        <v>369</v>
      </c>
      <c r="K177">
        <v>5</v>
      </c>
      <c r="M177" t="s">
        <v>336</v>
      </c>
      <c r="N177" t="str">
        <f>H177</f>
        <v>hdmi.5</v>
      </c>
      <c r="P177" s="7" t="s">
        <v>395</v>
      </c>
      <c r="Q177" s="7"/>
      <c r="R177" s="7"/>
    </row>
    <row r="178" spans="4:18" s="10" customFormat="1" x14ac:dyDescent="0.3">
      <c r="D178" s="10" t="s">
        <v>313</v>
      </c>
      <c r="H178" s="10" t="str">
        <f>"dev"&amp;D178</f>
        <v>devSonOff01</v>
      </c>
      <c r="J178" s="10" t="s">
        <v>313</v>
      </c>
      <c r="K178" s="10" t="s">
        <v>313</v>
      </c>
      <c r="L178" s="10" t="s">
        <v>313</v>
      </c>
      <c r="Q178" s="10" t="s">
        <v>400</v>
      </c>
    </row>
    <row r="179" spans="4:18" x14ac:dyDescent="0.3">
      <c r="H179" t="s">
        <v>318</v>
      </c>
      <c r="J179" t="s">
        <v>316</v>
      </c>
      <c r="K179" t="s">
        <v>316</v>
      </c>
      <c r="M179" t="s">
        <v>338</v>
      </c>
      <c r="N179" t="str">
        <f>H179</f>
        <v>sonoff01.version</v>
      </c>
      <c r="P179" s="7" t="s">
        <v>395</v>
      </c>
      <c r="Q179" s="7"/>
      <c r="R179" s="7"/>
    </row>
    <row r="180" spans="4:18" x14ac:dyDescent="0.3">
      <c r="H180" t="s">
        <v>323</v>
      </c>
      <c r="J180" t="s">
        <v>325</v>
      </c>
      <c r="K180" t="s">
        <v>325</v>
      </c>
      <c r="M180" t="s">
        <v>338</v>
      </c>
      <c r="N180" t="str">
        <f>H180</f>
        <v>sonoff01.on</v>
      </c>
    </row>
    <row r="181" spans="4:18" x14ac:dyDescent="0.3">
      <c r="H181" t="s">
        <v>324</v>
      </c>
      <c r="J181" t="s">
        <v>326</v>
      </c>
      <c r="K181" t="s">
        <v>326</v>
      </c>
      <c r="M181" t="s">
        <v>338</v>
      </c>
      <c r="N181" t="str">
        <f>H181</f>
        <v>sonoff01.off</v>
      </c>
    </row>
    <row r="182" spans="4:18" x14ac:dyDescent="0.3">
      <c r="H182" t="s">
        <v>319</v>
      </c>
      <c r="J182" t="s">
        <v>322</v>
      </c>
      <c r="K182" t="s">
        <v>322</v>
      </c>
      <c r="M182" t="s">
        <v>338</v>
      </c>
      <c r="N182" t="str">
        <f>H182</f>
        <v>sonoff01.toggle</v>
      </c>
      <c r="P182" s="7" t="s">
        <v>395</v>
      </c>
      <c r="Q182" s="7"/>
      <c r="R182" s="7"/>
    </row>
    <row r="183" spans="4:18" x14ac:dyDescent="0.3">
      <c r="H183" t="s">
        <v>321</v>
      </c>
      <c r="J183" t="s">
        <v>320</v>
      </c>
      <c r="K183" t="s">
        <v>320</v>
      </c>
      <c r="M183" t="s">
        <v>341</v>
      </c>
      <c r="N183" t="s">
        <v>343</v>
      </c>
      <c r="P183" s="7" t="s">
        <v>395</v>
      </c>
      <c r="Q183" s="7"/>
      <c r="R183" s="7"/>
    </row>
    <row r="184" spans="4:18" s="10" customFormat="1" x14ac:dyDescent="0.3">
      <c r="D184" s="10" t="s">
        <v>327</v>
      </c>
      <c r="H184" s="10" t="str">
        <f>"dev"&amp;D184</f>
        <v>devSonOff02</v>
      </c>
      <c r="J184" s="10" t="s">
        <v>327</v>
      </c>
      <c r="K184" s="10" t="s">
        <v>327</v>
      </c>
      <c r="L184" s="10" t="s">
        <v>327</v>
      </c>
      <c r="Q184" s="10" t="s">
        <v>400</v>
      </c>
    </row>
    <row r="185" spans="4:18" x14ac:dyDescent="0.3">
      <c r="H185" t="s">
        <v>328</v>
      </c>
      <c r="J185" t="s">
        <v>316</v>
      </c>
      <c r="K185" t="s">
        <v>316</v>
      </c>
      <c r="M185" t="s">
        <v>339</v>
      </c>
      <c r="N185" t="str">
        <f>H185</f>
        <v>sonoff02.version</v>
      </c>
      <c r="P185" s="7" t="s">
        <v>395</v>
      </c>
      <c r="Q185" s="7"/>
      <c r="R185" s="7"/>
    </row>
    <row r="186" spans="4:18" x14ac:dyDescent="0.3">
      <c r="H186" t="s">
        <v>329</v>
      </c>
      <c r="J186" t="s">
        <v>325</v>
      </c>
      <c r="K186" t="s">
        <v>325</v>
      </c>
      <c r="M186" t="s">
        <v>339</v>
      </c>
      <c r="N186" t="str">
        <f>H186</f>
        <v>sonoff02.on</v>
      </c>
    </row>
    <row r="187" spans="4:18" x14ac:dyDescent="0.3">
      <c r="H187" t="s">
        <v>330</v>
      </c>
      <c r="J187" t="s">
        <v>326</v>
      </c>
      <c r="K187" t="s">
        <v>326</v>
      </c>
      <c r="M187" t="s">
        <v>339</v>
      </c>
      <c r="N187" t="str">
        <f>H187</f>
        <v>sonoff02.off</v>
      </c>
    </row>
    <row r="188" spans="4:18" x14ac:dyDescent="0.3">
      <c r="H188" t="s">
        <v>331</v>
      </c>
      <c r="J188" t="s">
        <v>322</v>
      </c>
      <c r="K188" t="s">
        <v>322</v>
      </c>
      <c r="M188" t="s">
        <v>339</v>
      </c>
      <c r="N188" t="str">
        <f>H188</f>
        <v>sonoff02.toggle</v>
      </c>
      <c r="P188" s="7" t="s">
        <v>395</v>
      </c>
      <c r="Q188" s="7"/>
      <c r="R188" s="7"/>
    </row>
    <row r="189" spans="4:18" x14ac:dyDescent="0.3">
      <c r="H189" t="s">
        <v>332</v>
      </c>
      <c r="J189" t="s">
        <v>320</v>
      </c>
      <c r="K189" t="s">
        <v>320</v>
      </c>
      <c r="M189" t="s">
        <v>342</v>
      </c>
      <c r="N189" t="s">
        <v>343</v>
      </c>
      <c r="P189" s="7" t="s">
        <v>395</v>
      </c>
      <c r="Q189" s="7"/>
      <c r="R189" s="7"/>
    </row>
    <row r="190" spans="4:18" s="10" customFormat="1" x14ac:dyDescent="0.3">
      <c r="D190" s="10" t="s">
        <v>333</v>
      </c>
      <c r="H190" s="10" t="str">
        <f>"dev"&amp;D190</f>
        <v>devESPIR01</v>
      </c>
      <c r="J190" s="10" t="s">
        <v>333</v>
      </c>
      <c r="K190" s="10" t="s">
        <v>333</v>
      </c>
      <c r="L190" s="10" t="s">
        <v>333</v>
      </c>
      <c r="Q190" s="10" t="s">
        <v>400</v>
      </c>
    </row>
    <row r="191" spans="4:18" x14ac:dyDescent="0.3">
      <c r="H191" t="s">
        <v>315</v>
      </c>
      <c r="J191" t="s">
        <v>316</v>
      </c>
      <c r="K191" t="s">
        <v>316</v>
      </c>
      <c r="M191" t="s">
        <v>337</v>
      </c>
      <c r="N191" t="str">
        <f>H191</f>
        <v>version</v>
      </c>
      <c r="P191" s="7" t="s">
        <v>395</v>
      </c>
      <c r="Q191" s="7"/>
      <c r="R191" s="7"/>
    </row>
    <row r="192" spans="4:18" x14ac:dyDescent="0.3">
      <c r="H192" t="s">
        <v>65</v>
      </c>
      <c r="J192" t="s">
        <v>325</v>
      </c>
      <c r="K192" t="s">
        <v>325</v>
      </c>
      <c r="M192" t="s">
        <v>337</v>
      </c>
      <c r="N192" t="str">
        <f>H192</f>
        <v>on</v>
      </c>
    </row>
    <row r="193" spans="8:18" x14ac:dyDescent="0.3">
      <c r="H193" t="s">
        <v>66</v>
      </c>
      <c r="J193" t="s">
        <v>326</v>
      </c>
      <c r="K193" t="s">
        <v>326</v>
      </c>
      <c r="M193" t="s">
        <v>337</v>
      </c>
      <c r="N193" t="str">
        <f>H193</f>
        <v>off</v>
      </c>
    </row>
    <row r="194" spans="8:18" x14ac:dyDescent="0.3">
      <c r="H194" t="s">
        <v>317</v>
      </c>
      <c r="J194" t="s">
        <v>322</v>
      </c>
      <c r="K194" t="s">
        <v>322</v>
      </c>
      <c r="M194" t="s">
        <v>337</v>
      </c>
      <c r="N194" t="str">
        <f>H194</f>
        <v>toggle</v>
      </c>
      <c r="P194" s="7" t="s">
        <v>395</v>
      </c>
      <c r="Q194" s="7"/>
      <c r="R194" s="7"/>
    </row>
    <row r="195" spans="8:18" x14ac:dyDescent="0.3">
      <c r="H195" t="s">
        <v>320</v>
      </c>
      <c r="J195" t="s">
        <v>320</v>
      </c>
      <c r="K195" t="s">
        <v>320</v>
      </c>
      <c r="M195" t="s">
        <v>340</v>
      </c>
      <c r="N195" t="s">
        <v>343</v>
      </c>
      <c r="P195" s="7" t="s">
        <v>395</v>
      </c>
      <c r="Q195" s="7"/>
      <c r="R195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0</xdr:row>
                    <xdr:rowOff>411480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5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8" sqref="A8"/>
    </sheetView>
  </sheetViews>
  <sheetFormatPr defaultRowHeight="14.4" x14ac:dyDescent="0.3"/>
  <cols>
    <col min="1" max="1" width="93.88671875" bestFit="1" customWidth="1"/>
    <col min="2" max="2" width="12.6640625" bestFit="1" customWidth="1"/>
  </cols>
  <sheetData>
    <row r="1" spans="1:2" s="9" customFormat="1" ht="48.6" customHeight="1" x14ac:dyDescent="0.3">
      <c r="A1" s="9" t="s">
        <v>426</v>
      </c>
      <c r="B1" s="9" t="s">
        <v>230</v>
      </c>
    </row>
    <row r="2" spans="1:2" x14ac:dyDescent="0.3">
      <c r="A2" t="s">
        <v>427</v>
      </c>
      <c r="B2" t="s">
        <v>232</v>
      </c>
    </row>
    <row r="3" spans="1:2" x14ac:dyDescent="0.3">
      <c r="A3" t="s">
        <v>446</v>
      </c>
      <c r="B3" t="s">
        <v>449</v>
      </c>
    </row>
    <row r="4" spans="1:2" x14ac:dyDescent="0.3">
      <c r="A4" t="s">
        <v>447</v>
      </c>
      <c r="B4" t="s">
        <v>450</v>
      </c>
    </row>
    <row r="5" spans="1:2" x14ac:dyDescent="0.3">
      <c r="A5" t="s">
        <v>448</v>
      </c>
      <c r="B5" t="s">
        <v>451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portJsonConfig">
                <anchor moveWithCells="1" sizeWithCells="1">
                  <from>
                    <xdr:col>0</xdr:col>
                    <xdr:colOff>144780</xdr:colOff>
                    <xdr:row>0</xdr:row>
                    <xdr:rowOff>144780</xdr:rowOff>
                  </from>
                  <to>
                    <xdr:col>0</xdr:col>
                    <xdr:colOff>655320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7"/>
  <sheetViews>
    <sheetView zoomScale="70" zoomScaleNormal="7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N13" sqref="N13"/>
    </sheetView>
  </sheetViews>
  <sheetFormatPr defaultRowHeight="14.4" x14ac:dyDescent="0.3"/>
  <cols>
    <col min="1" max="1" width="11.5546875" customWidth="1"/>
    <col min="2" max="2" width="18" customWidth="1"/>
    <col min="3" max="4" width="13.88671875" customWidth="1"/>
    <col min="5" max="5" width="25.6640625" customWidth="1"/>
    <col min="6" max="6" width="29.5546875" bestFit="1" customWidth="1"/>
    <col min="7" max="7" width="33.21875" customWidth="1"/>
    <col min="8" max="8" width="10" bestFit="1" customWidth="1"/>
    <col min="10" max="10" width="10.77734375" bestFit="1" customWidth="1"/>
  </cols>
  <sheetData>
    <row r="1" spans="1:11" s="9" customFormat="1" ht="36.6" customHeight="1" x14ac:dyDescent="0.3">
      <c r="A1" s="9" t="s">
        <v>231</v>
      </c>
      <c r="B1" s="9" t="s">
        <v>371</v>
      </c>
      <c r="C1" s="9" t="s">
        <v>230</v>
      </c>
      <c r="D1" s="9" t="s">
        <v>354</v>
      </c>
      <c r="E1" s="9" t="s">
        <v>233</v>
      </c>
      <c r="F1" s="9" t="s">
        <v>334</v>
      </c>
      <c r="G1" s="9" t="s">
        <v>335</v>
      </c>
      <c r="H1" s="9" t="s">
        <v>353</v>
      </c>
      <c r="I1" s="9" t="s">
        <v>394</v>
      </c>
      <c r="J1" s="9" t="s">
        <v>396</v>
      </c>
      <c r="K1" s="9" t="s">
        <v>370</v>
      </c>
    </row>
    <row r="2" spans="1:11" s="8" customFormat="1" x14ac:dyDescent="0.3">
      <c r="A2" s="8" t="s">
        <v>285</v>
      </c>
      <c r="B2" s="8" t="str">
        <f>"dev"&amp;A2</f>
        <v>devMacros</v>
      </c>
      <c r="C2" s="8" t="s">
        <v>285</v>
      </c>
      <c r="D2" s="8" t="s">
        <v>285</v>
      </c>
      <c r="J2" s="8" t="s">
        <v>398</v>
      </c>
    </row>
    <row r="3" spans="1:11" x14ac:dyDescent="0.3">
      <c r="B3" t="s">
        <v>47</v>
      </c>
      <c r="C3" s="7" t="s">
        <v>286</v>
      </c>
      <c r="D3" s="7" t="s">
        <v>286</v>
      </c>
      <c r="E3" t="s">
        <v>288</v>
      </c>
      <c r="F3" t="s">
        <v>336</v>
      </c>
      <c r="G3" t="str">
        <f>B3</f>
        <v>tvon</v>
      </c>
      <c r="H3" t="s">
        <v>47</v>
      </c>
    </row>
    <row r="4" spans="1:11" x14ac:dyDescent="0.3">
      <c r="B4" t="s">
        <v>48</v>
      </c>
      <c r="C4" s="7" t="s">
        <v>287</v>
      </c>
      <c r="D4" s="7" t="s">
        <v>287</v>
      </c>
      <c r="E4" t="s">
        <v>289</v>
      </c>
      <c r="F4" t="s">
        <v>336</v>
      </c>
      <c r="G4" t="str">
        <f>B4</f>
        <v>tvoff</v>
      </c>
      <c r="H4" t="s">
        <v>47</v>
      </c>
      <c r="I4" s="7" t="s">
        <v>395</v>
      </c>
      <c r="J4" s="7"/>
    </row>
    <row r="5" spans="1:11" x14ac:dyDescent="0.3">
      <c r="B5" t="s">
        <v>290</v>
      </c>
      <c r="C5" s="7" t="s">
        <v>292</v>
      </c>
      <c r="D5" s="7" t="s">
        <v>292</v>
      </c>
      <c r="E5" t="s">
        <v>294</v>
      </c>
      <c r="F5" t="s">
        <v>336</v>
      </c>
      <c r="G5" t="str">
        <f>B5</f>
        <v>vpon</v>
      </c>
      <c r="H5" t="s">
        <v>290</v>
      </c>
    </row>
    <row r="6" spans="1:11" x14ac:dyDescent="0.3">
      <c r="B6" t="s">
        <v>291</v>
      </c>
      <c r="C6" s="7" t="s">
        <v>293</v>
      </c>
      <c r="D6" s="7" t="s">
        <v>293</v>
      </c>
      <c r="E6" t="s">
        <v>295</v>
      </c>
      <c r="F6" t="s">
        <v>336</v>
      </c>
      <c r="G6" t="str">
        <f>B6</f>
        <v>vpoff</v>
      </c>
      <c r="H6" t="s">
        <v>290</v>
      </c>
      <c r="I6" s="7" t="s">
        <v>395</v>
      </c>
      <c r="J6" s="7"/>
    </row>
    <row r="7" spans="1:11" s="8" customFormat="1" x14ac:dyDescent="0.3">
      <c r="A7" s="8" t="s">
        <v>232</v>
      </c>
      <c r="B7" s="8" t="str">
        <f>"dev"&amp;A7</f>
        <v>devSalon</v>
      </c>
      <c r="C7" s="8" t="s">
        <v>232</v>
      </c>
      <c r="D7" s="8" t="s">
        <v>232</v>
      </c>
      <c r="E7" s="8" t="s">
        <v>234</v>
      </c>
      <c r="J7" s="8" t="s">
        <v>397</v>
      </c>
    </row>
    <row r="8" spans="1:11" x14ac:dyDescent="0.3">
      <c r="B8" t="s">
        <v>52</v>
      </c>
      <c r="C8" t="s">
        <v>236</v>
      </c>
      <c r="D8" t="s">
        <v>325</v>
      </c>
      <c r="E8" t="s">
        <v>236</v>
      </c>
      <c r="F8" t="s">
        <v>336</v>
      </c>
      <c r="G8" t="str">
        <f t="shared" ref="G8:G19" si="0">B8</f>
        <v>salon.on</v>
      </c>
    </row>
    <row r="9" spans="1:11" x14ac:dyDescent="0.3">
      <c r="B9" t="s">
        <v>51</v>
      </c>
      <c r="C9" t="s">
        <v>235</v>
      </c>
      <c r="D9" t="s">
        <v>326</v>
      </c>
      <c r="E9" t="s">
        <v>235</v>
      </c>
      <c r="F9" t="s">
        <v>336</v>
      </c>
      <c r="G9" t="str">
        <f t="shared" si="0"/>
        <v>salon.off</v>
      </c>
      <c r="I9" s="7" t="s">
        <v>395</v>
      </c>
      <c r="J9" s="7"/>
    </row>
    <row r="10" spans="1:11" x14ac:dyDescent="0.3">
      <c r="B10" t="s">
        <v>4</v>
      </c>
      <c r="C10" t="s">
        <v>237</v>
      </c>
      <c r="D10" t="s">
        <v>355</v>
      </c>
      <c r="E10" t="s">
        <v>237</v>
      </c>
      <c r="F10" t="s">
        <v>336</v>
      </c>
      <c r="G10" t="str">
        <f t="shared" si="0"/>
        <v>salon.1.on</v>
      </c>
      <c r="H10" t="s">
        <v>382</v>
      </c>
    </row>
    <row r="11" spans="1:11" x14ac:dyDescent="0.3">
      <c r="B11" t="s">
        <v>9</v>
      </c>
      <c r="C11" t="s">
        <v>246</v>
      </c>
      <c r="D11" t="s">
        <v>356</v>
      </c>
      <c r="E11" t="s">
        <v>246</v>
      </c>
      <c r="F11" t="s">
        <v>336</v>
      </c>
      <c r="G11" t="str">
        <f t="shared" si="0"/>
        <v>salon.1.off</v>
      </c>
      <c r="H11" t="s">
        <v>382</v>
      </c>
      <c r="I11" s="7" t="s">
        <v>395</v>
      </c>
      <c r="J11" s="7"/>
    </row>
    <row r="12" spans="1:11" x14ac:dyDescent="0.3">
      <c r="B12" t="s">
        <v>5</v>
      </c>
      <c r="C12" t="s">
        <v>238</v>
      </c>
      <c r="D12" t="s">
        <v>357</v>
      </c>
      <c r="E12" t="s">
        <v>238</v>
      </c>
      <c r="F12" t="s">
        <v>336</v>
      </c>
      <c r="G12" t="str">
        <f t="shared" si="0"/>
        <v>salon.2.on</v>
      </c>
      <c r="H12" t="s">
        <v>383</v>
      </c>
    </row>
    <row r="13" spans="1:11" x14ac:dyDescent="0.3">
      <c r="B13" t="s">
        <v>10</v>
      </c>
      <c r="C13" t="s">
        <v>239</v>
      </c>
      <c r="D13" t="s">
        <v>358</v>
      </c>
      <c r="E13" t="s">
        <v>239</v>
      </c>
      <c r="F13" t="s">
        <v>336</v>
      </c>
      <c r="G13" t="str">
        <f t="shared" si="0"/>
        <v>salon.2.off</v>
      </c>
      <c r="H13" t="s">
        <v>383</v>
      </c>
      <c r="I13" s="7" t="s">
        <v>395</v>
      </c>
      <c r="J13" s="7"/>
    </row>
    <row r="14" spans="1:11" x14ac:dyDescent="0.3">
      <c r="B14" t="s">
        <v>6</v>
      </c>
      <c r="C14" t="s">
        <v>240</v>
      </c>
      <c r="D14" t="s">
        <v>359</v>
      </c>
      <c r="E14" t="s">
        <v>240</v>
      </c>
      <c r="F14" t="s">
        <v>336</v>
      </c>
      <c r="G14" t="str">
        <f t="shared" si="0"/>
        <v>salon.3.on</v>
      </c>
      <c r="H14" t="s">
        <v>384</v>
      </c>
    </row>
    <row r="15" spans="1:11" x14ac:dyDescent="0.3">
      <c r="B15" t="s">
        <v>11</v>
      </c>
      <c r="C15" t="s">
        <v>241</v>
      </c>
      <c r="D15" t="s">
        <v>360</v>
      </c>
      <c r="E15" t="s">
        <v>241</v>
      </c>
      <c r="F15" t="s">
        <v>336</v>
      </c>
      <c r="G15" t="str">
        <f t="shared" si="0"/>
        <v>salon.3.off</v>
      </c>
      <c r="H15" t="s">
        <v>384</v>
      </c>
      <c r="I15" s="7" t="s">
        <v>395</v>
      </c>
      <c r="J15" s="7"/>
    </row>
    <row r="16" spans="1:11" x14ac:dyDescent="0.3">
      <c r="B16" t="s">
        <v>12</v>
      </c>
      <c r="C16" t="s">
        <v>242</v>
      </c>
      <c r="D16" t="s">
        <v>361</v>
      </c>
      <c r="E16" t="s">
        <v>242</v>
      </c>
      <c r="F16" t="s">
        <v>336</v>
      </c>
      <c r="G16" t="str">
        <f t="shared" si="0"/>
        <v>salon.4.on</v>
      </c>
      <c r="H16" t="s">
        <v>385</v>
      </c>
    </row>
    <row r="17" spans="1:10" x14ac:dyDescent="0.3">
      <c r="B17" t="s">
        <v>14</v>
      </c>
      <c r="C17" t="s">
        <v>243</v>
      </c>
      <c r="D17" t="s">
        <v>362</v>
      </c>
      <c r="E17" t="s">
        <v>243</v>
      </c>
      <c r="F17" t="s">
        <v>336</v>
      </c>
      <c r="G17" t="str">
        <f t="shared" si="0"/>
        <v>salon.4.off</v>
      </c>
      <c r="H17" t="s">
        <v>385</v>
      </c>
      <c r="I17" s="7" t="s">
        <v>395</v>
      </c>
      <c r="J17" s="7"/>
    </row>
    <row r="18" spans="1:10" x14ac:dyDescent="0.3">
      <c r="B18" t="s">
        <v>13</v>
      </c>
      <c r="C18" t="s">
        <v>244</v>
      </c>
      <c r="D18" t="s">
        <v>363</v>
      </c>
      <c r="E18" t="s">
        <v>244</v>
      </c>
      <c r="F18" t="s">
        <v>336</v>
      </c>
      <c r="G18" t="str">
        <f t="shared" si="0"/>
        <v>salon.5.on</v>
      </c>
      <c r="H18" t="s">
        <v>386</v>
      </c>
    </row>
    <row r="19" spans="1:10" x14ac:dyDescent="0.3">
      <c r="B19" t="s">
        <v>15</v>
      </c>
      <c r="C19" t="s">
        <v>245</v>
      </c>
      <c r="D19" t="s">
        <v>364</v>
      </c>
      <c r="E19" t="s">
        <v>245</v>
      </c>
      <c r="F19" t="s">
        <v>336</v>
      </c>
      <c r="G19" t="str">
        <f t="shared" si="0"/>
        <v>salon.5.off</v>
      </c>
      <c r="H19" t="s">
        <v>386</v>
      </c>
      <c r="I19" s="7" t="s">
        <v>395</v>
      </c>
      <c r="J19" s="7"/>
    </row>
    <row r="20" spans="1:10" s="8" customFormat="1" x14ac:dyDescent="0.3">
      <c r="A20" s="8" t="s">
        <v>247</v>
      </c>
      <c r="B20" s="8" t="str">
        <f>"dev"&amp;A20</f>
        <v>devStudio</v>
      </c>
      <c r="C20" s="8" t="s">
        <v>247</v>
      </c>
      <c r="D20" s="8" t="s">
        <v>247</v>
      </c>
      <c r="E20" s="8" t="s">
        <v>248</v>
      </c>
      <c r="J20" s="8" t="s">
        <v>397</v>
      </c>
    </row>
    <row r="21" spans="1:10" x14ac:dyDescent="0.3">
      <c r="B21" t="s">
        <v>261</v>
      </c>
      <c r="C21" t="s">
        <v>249</v>
      </c>
      <c r="D21" t="s">
        <v>325</v>
      </c>
      <c r="E21" t="s">
        <v>249</v>
      </c>
      <c r="F21" t="s">
        <v>336</v>
      </c>
      <c r="G21" t="str">
        <f t="shared" ref="G21:G32" si="1">B21</f>
        <v>studio.on</v>
      </c>
    </row>
    <row r="22" spans="1:10" x14ac:dyDescent="0.3">
      <c r="B22" t="s">
        <v>262</v>
      </c>
      <c r="C22" t="s">
        <v>250</v>
      </c>
      <c r="D22" t="s">
        <v>326</v>
      </c>
      <c r="E22" t="s">
        <v>250</v>
      </c>
      <c r="F22" t="s">
        <v>336</v>
      </c>
      <c r="G22" t="str">
        <f t="shared" si="1"/>
        <v>studio.off</v>
      </c>
      <c r="I22" s="7" t="s">
        <v>395</v>
      </c>
      <c r="J22" s="7"/>
    </row>
    <row r="23" spans="1:10" x14ac:dyDescent="0.3">
      <c r="B23" t="s">
        <v>372</v>
      </c>
      <c r="C23" t="s">
        <v>251</v>
      </c>
      <c r="D23" t="s">
        <v>355</v>
      </c>
      <c r="E23" t="s">
        <v>251</v>
      </c>
      <c r="F23" t="s">
        <v>336</v>
      </c>
      <c r="G23" t="str">
        <f t="shared" si="1"/>
        <v>studio.1.on</v>
      </c>
      <c r="H23" t="s">
        <v>387</v>
      </c>
    </row>
    <row r="24" spans="1:10" x14ac:dyDescent="0.3">
      <c r="B24" t="s">
        <v>373</v>
      </c>
      <c r="C24" t="s">
        <v>252</v>
      </c>
      <c r="D24" t="s">
        <v>356</v>
      </c>
      <c r="E24" t="s">
        <v>252</v>
      </c>
      <c r="F24" t="s">
        <v>336</v>
      </c>
      <c r="G24" t="str">
        <f t="shared" si="1"/>
        <v>studio.1.off</v>
      </c>
      <c r="H24" t="s">
        <v>387</v>
      </c>
      <c r="I24" s="7" t="s">
        <v>395</v>
      </c>
      <c r="J24" s="7"/>
    </row>
    <row r="25" spans="1:10" x14ac:dyDescent="0.3">
      <c r="B25" t="s">
        <v>374</v>
      </c>
      <c r="C25" t="s">
        <v>253</v>
      </c>
      <c r="D25" t="s">
        <v>357</v>
      </c>
      <c r="E25" t="s">
        <v>253</v>
      </c>
      <c r="F25" t="s">
        <v>336</v>
      </c>
      <c r="G25" t="str">
        <f t="shared" si="1"/>
        <v>studio.2.on</v>
      </c>
      <c r="H25" t="s">
        <v>388</v>
      </c>
    </row>
    <row r="26" spans="1:10" x14ac:dyDescent="0.3">
      <c r="B26" t="s">
        <v>375</v>
      </c>
      <c r="C26" t="s">
        <v>254</v>
      </c>
      <c r="D26" t="s">
        <v>358</v>
      </c>
      <c r="E26" t="s">
        <v>254</v>
      </c>
      <c r="F26" t="s">
        <v>336</v>
      </c>
      <c r="G26" t="str">
        <f t="shared" si="1"/>
        <v>studio.2.off</v>
      </c>
      <c r="H26" t="s">
        <v>388</v>
      </c>
      <c r="I26" s="7" t="s">
        <v>395</v>
      </c>
      <c r="J26" s="7"/>
    </row>
    <row r="27" spans="1:10" x14ac:dyDescent="0.3">
      <c r="B27" t="s">
        <v>376</v>
      </c>
      <c r="C27" t="s">
        <v>255</v>
      </c>
      <c r="D27" t="s">
        <v>359</v>
      </c>
      <c r="E27" t="s">
        <v>255</v>
      </c>
      <c r="F27" t="s">
        <v>336</v>
      </c>
      <c r="G27" t="str">
        <f t="shared" si="1"/>
        <v>studio.3.on</v>
      </c>
      <c r="H27" t="s">
        <v>389</v>
      </c>
    </row>
    <row r="28" spans="1:10" x14ac:dyDescent="0.3">
      <c r="B28" t="s">
        <v>377</v>
      </c>
      <c r="C28" t="s">
        <v>256</v>
      </c>
      <c r="D28" t="s">
        <v>360</v>
      </c>
      <c r="E28" t="s">
        <v>256</v>
      </c>
      <c r="F28" t="s">
        <v>336</v>
      </c>
      <c r="G28" t="str">
        <f t="shared" si="1"/>
        <v>studio.3.off</v>
      </c>
      <c r="H28" t="s">
        <v>389</v>
      </c>
      <c r="I28" s="7" t="s">
        <v>395</v>
      </c>
      <c r="J28" s="7"/>
    </row>
    <row r="29" spans="1:10" x14ac:dyDescent="0.3">
      <c r="B29" t="s">
        <v>378</v>
      </c>
      <c r="C29" t="s">
        <v>257</v>
      </c>
      <c r="D29" t="s">
        <v>361</v>
      </c>
      <c r="E29" t="s">
        <v>257</v>
      </c>
      <c r="F29" t="s">
        <v>336</v>
      </c>
      <c r="G29" t="str">
        <f t="shared" si="1"/>
        <v>studio.4.on</v>
      </c>
      <c r="H29" t="s">
        <v>390</v>
      </c>
    </row>
    <row r="30" spans="1:10" x14ac:dyDescent="0.3">
      <c r="B30" t="s">
        <v>379</v>
      </c>
      <c r="C30" t="s">
        <v>258</v>
      </c>
      <c r="D30" t="s">
        <v>362</v>
      </c>
      <c r="E30" t="s">
        <v>258</v>
      </c>
      <c r="F30" t="s">
        <v>336</v>
      </c>
      <c r="G30" t="str">
        <f t="shared" si="1"/>
        <v>studio.4.off</v>
      </c>
      <c r="H30" t="s">
        <v>390</v>
      </c>
      <c r="I30" s="7" t="s">
        <v>395</v>
      </c>
      <c r="J30" s="7"/>
    </row>
    <row r="31" spans="1:10" x14ac:dyDescent="0.3">
      <c r="B31" t="s">
        <v>380</v>
      </c>
      <c r="C31" t="s">
        <v>259</v>
      </c>
      <c r="D31" t="s">
        <v>363</v>
      </c>
      <c r="E31" t="s">
        <v>259</v>
      </c>
      <c r="F31" t="s">
        <v>336</v>
      </c>
      <c r="G31" t="str">
        <f t="shared" si="1"/>
        <v>studio.5.on</v>
      </c>
      <c r="H31" t="s">
        <v>391</v>
      </c>
    </row>
    <row r="32" spans="1:10" x14ac:dyDescent="0.3">
      <c r="B32" t="s">
        <v>381</v>
      </c>
      <c r="C32" t="s">
        <v>260</v>
      </c>
      <c r="D32" t="s">
        <v>364</v>
      </c>
      <c r="E32" t="s">
        <v>260</v>
      </c>
      <c r="F32" t="s">
        <v>336</v>
      </c>
      <c r="G32" t="str">
        <f t="shared" si="1"/>
        <v>studio.5.off</v>
      </c>
      <c r="H32" t="s">
        <v>391</v>
      </c>
      <c r="I32" s="7" t="s">
        <v>395</v>
      </c>
      <c r="J32" s="7"/>
    </row>
    <row r="33" spans="1:10" s="8" customFormat="1" x14ac:dyDescent="0.3">
      <c r="A33" s="8" t="s">
        <v>263</v>
      </c>
      <c r="B33" s="8" t="str">
        <f>"dev"&amp;A33</f>
        <v>devMaison</v>
      </c>
      <c r="C33" s="8" t="s">
        <v>263</v>
      </c>
      <c r="D33" s="8" t="s">
        <v>263</v>
      </c>
      <c r="E33" s="8" t="s">
        <v>272</v>
      </c>
      <c r="J33" s="8" t="s">
        <v>401</v>
      </c>
    </row>
    <row r="34" spans="1:10" x14ac:dyDescent="0.3">
      <c r="B34" t="s">
        <v>264</v>
      </c>
      <c r="C34" t="s">
        <v>266</v>
      </c>
      <c r="D34" t="s">
        <v>266</v>
      </c>
      <c r="E34" t="s">
        <v>266</v>
      </c>
      <c r="F34" t="s">
        <v>336</v>
      </c>
      <c r="G34" t="str">
        <f>B34</f>
        <v>jardin.on</v>
      </c>
      <c r="H34" t="s">
        <v>392</v>
      </c>
    </row>
    <row r="35" spans="1:10" x14ac:dyDescent="0.3">
      <c r="B35" t="s">
        <v>265</v>
      </c>
      <c r="C35" t="s">
        <v>267</v>
      </c>
      <c r="D35" t="s">
        <v>267</v>
      </c>
      <c r="E35" t="s">
        <v>267</v>
      </c>
      <c r="F35" t="s">
        <v>336</v>
      </c>
      <c r="G35" t="str">
        <f>B35</f>
        <v>jardin.off</v>
      </c>
      <c r="H35" t="s">
        <v>392</v>
      </c>
      <c r="I35" s="7" t="s">
        <v>395</v>
      </c>
      <c r="J35" s="7"/>
    </row>
    <row r="36" spans="1:10" x14ac:dyDescent="0.3">
      <c r="B36" t="s">
        <v>270</v>
      </c>
      <c r="C36" t="s">
        <v>344</v>
      </c>
      <c r="D36" t="s">
        <v>344</v>
      </c>
      <c r="E36" t="s">
        <v>268</v>
      </c>
      <c r="F36" t="s">
        <v>336</v>
      </c>
      <c r="G36" t="str">
        <f>B36</f>
        <v>volets.on</v>
      </c>
      <c r="H36" t="s">
        <v>393</v>
      </c>
    </row>
    <row r="37" spans="1:10" x14ac:dyDescent="0.3">
      <c r="B37" t="s">
        <v>271</v>
      </c>
      <c r="C37" t="s">
        <v>345</v>
      </c>
      <c r="D37" t="s">
        <v>345</v>
      </c>
      <c r="E37" t="s">
        <v>269</v>
      </c>
      <c r="F37" t="s">
        <v>336</v>
      </c>
      <c r="G37" t="str">
        <f>B37</f>
        <v>volets.off</v>
      </c>
      <c r="H37" t="s">
        <v>393</v>
      </c>
      <c r="I37" s="7" t="s">
        <v>395</v>
      </c>
      <c r="J37" s="7"/>
    </row>
    <row r="38" spans="1:10" s="8" customFormat="1" x14ac:dyDescent="0.3">
      <c r="A38" s="8" t="s">
        <v>273</v>
      </c>
      <c r="B38" s="8" t="str">
        <f>"dev"&amp;A38</f>
        <v>devTV</v>
      </c>
      <c r="C38" s="8" t="s">
        <v>307</v>
      </c>
      <c r="D38" s="8" t="s">
        <v>307</v>
      </c>
      <c r="E38" s="8" t="s">
        <v>307</v>
      </c>
      <c r="J38" s="8" t="s">
        <v>399</v>
      </c>
    </row>
    <row r="39" spans="1:10" x14ac:dyDescent="0.3">
      <c r="B39" t="s">
        <v>274</v>
      </c>
      <c r="C39" t="s">
        <v>281</v>
      </c>
      <c r="D39" t="s">
        <v>281</v>
      </c>
      <c r="F39" t="s">
        <v>336</v>
      </c>
      <c r="G39" t="str">
        <f t="shared" ref="G39:G45" si="2">B39</f>
        <v>tv.on</v>
      </c>
    </row>
    <row r="40" spans="1:10" x14ac:dyDescent="0.3">
      <c r="B40" t="s">
        <v>275</v>
      </c>
      <c r="C40" t="s">
        <v>282</v>
      </c>
      <c r="D40" t="s">
        <v>282</v>
      </c>
      <c r="F40" t="s">
        <v>336</v>
      </c>
      <c r="G40" t="str">
        <f t="shared" si="2"/>
        <v>tv.off</v>
      </c>
    </row>
    <row r="41" spans="1:10" x14ac:dyDescent="0.3">
      <c r="B41" t="s">
        <v>276</v>
      </c>
      <c r="C41" t="s">
        <v>283</v>
      </c>
      <c r="D41" t="s">
        <v>283</v>
      </c>
      <c r="F41" t="s">
        <v>336</v>
      </c>
      <c r="G41" t="str">
        <f t="shared" si="2"/>
        <v>tv.mute</v>
      </c>
      <c r="I41" s="7" t="s">
        <v>395</v>
      </c>
      <c r="J41" s="7"/>
    </row>
    <row r="42" spans="1:10" x14ac:dyDescent="0.3">
      <c r="B42" t="s">
        <v>277</v>
      </c>
      <c r="C42" t="s">
        <v>365</v>
      </c>
      <c r="D42" t="s">
        <v>365</v>
      </c>
      <c r="F42" t="s">
        <v>336</v>
      </c>
      <c r="G42" t="str">
        <f t="shared" si="2"/>
        <v>tv.entree.hdmi1</v>
      </c>
    </row>
    <row r="43" spans="1:10" x14ac:dyDescent="0.3">
      <c r="B43" t="s">
        <v>278</v>
      </c>
      <c r="C43" t="s">
        <v>366</v>
      </c>
      <c r="D43" t="s">
        <v>366</v>
      </c>
      <c r="F43" t="s">
        <v>336</v>
      </c>
      <c r="G43" t="str">
        <f t="shared" si="2"/>
        <v>tv.entree.hdmi2</v>
      </c>
    </row>
    <row r="44" spans="1:10" x14ac:dyDescent="0.3">
      <c r="B44" t="s">
        <v>279</v>
      </c>
      <c r="C44" t="s">
        <v>367</v>
      </c>
      <c r="D44" t="s">
        <v>367</v>
      </c>
      <c r="F44" t="s">
        <v>336</v>
      </c>
      <c r="G44" t="str">
        <f t="shared" si="2"/>
        <v>tv.entree.hdmi3</v>
      </c>
      <c r="I44" s="7" t="s">
        <v>395</v>
      </c>
      <c r="J44" s="7"/>
    </row>
    <row r="45" spans="1:10" x14ac:dyDescent="0.3">
      <c r="B45" t="s">
        <v>280</v>
      </c>
      <c r="C45" t="s">
        <v>284</v>
      </c>
      <c r="D45" t="s">
        <v>284</v>
      </c>
      <c r="F45" t="s">
        <v>336</v>
      </c>
      <c r="G45" t="str">
        <f t="shared" si="2"/>
        <v>tv.vol0</v>
      </c>
      <c r="I45" s="7" t="s">
        <v>395</v>
      </c>
      <c r="J45" s="7"/>
    </row>
    <row r="46" spans="1:10" s="8" customFormat="1" x14ac:dyDescent="0.3">
      <c r="A46" s="8" t="s">
        <v>347</v>
      </c>
      <c r="B46" s="8" t="str">
        <f>"dev"&amp;A46</f>
        <v>devVPSalon</v>
      </c>
      <c r="C46" s="8" t="s">
        <v>308</v>
      </c>
      <c r="D46" s="8" t="s">
        <v>308</v>
      </c>
      <c r="E46" s="8" t="s">
        <v>308</v>
      </c>
      <c r="J46" s="8" t="s">
        <v>399</v>
      </c>
    </row>
    <row r="47" spans="1:10" x14ac:dyDescent="0.3">
      <c r="B47" t="s">
        <v>310</v>
      </c>
      <c r="C47" t="s">
        <v>296</v>
      </c>
      <c r="D47" t="s">
        <v>296</v>
      </c>
      <c r="F47" t="s">
        <v>336</v>
      </c>
      <c r="G47" t="str">
        <f>B47</f>
        <v>vpsalon.on</v>
      </c>
    </row>
    <row r="48" spans="1:10" x14ac:dyDescent="0.3">
      <c r="B48" t="s">
        <v>311</v>
      </c>
      <c r="C48" t="s">
        <v>297</v>
      </c>
      <c r="D48" t="s">
        <v>297</v>
      </c>
      <c r="F48" t="s">
        <v>336</v>
      </c>
      <c r="G48" t="str">
        <f>B48</f>
        <v>vpsalon.off</v>
      </c>
      <c r="I48" s="7" t="s">
        <v>395</v>
      </c>
      <c r="J48" s="7"/>
    </row>
    <row r="49" spans="1:10" x14ac:dyDescent="0.3">
      <c r="B49" t="s">
        <v>299</v>
      </c>
      <c r="C49" t="s">
        <v>300</v>
      </c>
      <c r="D49" t="s">
        <v>300</v>
      </c>
      <c r="F49" t="s">
        <v>336</v>
      </c>
      <c r="G49" t="str">
        <f>B49</f>
        <v>ecran.haut</v>
      </c>
    </row>
    <row r="50" spans="1:10" x14ac:dyDescent="0.3">
      <c r="B50" t="s">
        <v>298</v>
      </c>
      <c r="C50" t="s">
        <v>301</v>
      </c>
      <c r="D50" t="s">
        <v>301</v>
      </c>
      <c r="F50" t="s">
        <v>336</v>
      </c>
      <c r="G50" t="str">
        <f>B50</f>
        <v>ecran.bas</v>
      </c>
      <c r="I50" s="7" t="s">
        <v>395</v>
      </c>
      <c r="J50" s="7"/>
    </row>
    <row r="51" spans="1:10" s="8" customFormat="1" x14ac:dyDescent="0.3">
      <c r="A51" s="8" t="s">
        <v>348</v>
      </c>
      <c r="B51" s="8" t="str">
        <f>"dev"&amp;A51</f>
        <v>devVPStudio</v>
      </c>
      <c r="C51" s="8" t="s">
        <v>312</v>
      </c>
      <c r="D51" s="8" t="s">
        <v>312</v>
      </c>
      <c r="E51" s="8" t="s">
        <v>312</v>
      </c>
      <c r="J51" s="8" t="s">
        <v>399</v>
      </c>
    </row>
    <row r="52" spans="1:10" x14ac:dyDescent="0.3">
      <c r="B52" t="s">
        <v>227</v>
      </c>
      <c r="C52" t="s">
        <v>296</v>
      </c>
      <c r="D52" t="s">
        <v>296</v>
      </c>
      <c r="F52" t="s">
        <v>336</v>
      </c>
      <c r="G52" t="str">
        <f>B52</f>
        <v>vpstudio.on</v>
      </c>
    </row>
    <row r="53" spans="1:10" x14ac:dyDescent="0.3">
      <c r="B53" t="s">
        <v>228</v>
      </c>
      <c r="C53" t="s">
        <v>297</v>
      </c>
      <c r="D53" t="s">
        <v>297</v>
      </c>
      <c r="F53" t="s">
        <v>336</v>
      </c>
      <c r="G53" t="str">
        <f>B53</f>
        <v>vpstudio.off</v>
      </c>
      <c r="I53" s="7" t="s">
        <v>395</v>
      </c>
      <c r="J53" s="7"/>
    </row>
    <row r="54" spans="1:10" s="8" customFormat="1" x14ac:dyDescent="0.3">
      <c r="A54" s="8" t="s">
        <v>349</v>
      </c>
      <c r="B54" s="8" t="str">
        <f>"dev"&amp;A54</f>
        <v>devAmpliSalon</v>
      </c>
      <c r="C54" s="8" t="s">
        <v>309</v>
      </c>
      <c r="D54" s="8" t="s">
        <v>309</v>
      </c>
      <c r="E54" s="8" t="s">
        <v>309</v>
      </c>
      <c r="J54" s="8" t="s">
        <v>399</v>
      </c>
    </row>
    <row r="55" spans="1:10" x14ac:dyDescent="0.3">
      <c r="B55" t="s">
        <v>50</v>
      </c>
      <c r="C55" t="s">
        <v>302</v>
      </c>
      <c r="D55" t="s">
        <v>302</v>
      </c>
      <c r="F55" t="s">
        <v>336</v>
      </c>
      <c r="G55" t="str">
        <f>B55</f>
        <v>ampli.on</v>
      </c>
    </row>
    <row r="56" spans="1:10" x14ac:dyDescent="0.3">
      <c r="B56" t="s">
        <v>49</v>
      </c>
      <c r="C56" t="s">
        <v>303</v>
      </c>
      <c r="D56" t="s">
        <v>303</v>
      </c>
      <c r="F56" t="s">
        <v>336</v>
      </c>
      <c r="G56" t="str">
        <f>B56</f>
        <v>ampli.off</v>
      </c>
      <c r="I56" s="7" t="s">
        <v>395</v>
      </c>
      <c r="J56" s="7"/>
    </row>
    <row r="57" spans="1:10" x14ac:dyDescent="0.3">
      <c r="B57" t="s">
        <v>44</v>
      </c>
      <c r="C57" t="s">
        <v>304</v>
      </c>
      <c r="D57" t="s">
        <v>304</v>
      </c>
      <c r="F57" t="s">
        <v>336</v>
      </c>
      <c r="G57" t="str">
        <f>B57</f>
        <v>ampli.volp</v>
      </c>
    </row>
    <row r="58" spans="1:10" x14ac:dyDescent="0.3">
      <c r="B58" t="s">
        <v>45</v>
      </c>
      <c r="C58" t="s">
        <v>305</v>
      </c>
      <c r="D58" t="s">
        <v>305</v>
      </c>
      <c r="F58" t="s">
        <v>336</v>
      </c>
      <c r="G58" t="str">
        <f>B58</f>
        <v>ampli.volm</v>
      </c>
    </row>
    <row r="59" spans="1:10" x14ac:dyDescent="0.3">
      <c r="B59" t="s">
        <v>46</v>
      </c>
      <c r="C59" t="s">
        <v>283</v>
      </c>
      <c r="D59" t="s">
        <v>283</v>
      </c>
      <c r="F59" t="s">
        <v>336</v>
      </c>
      <c r="G59" t="str">
        <f>B59</f>
        <v>ampli.mute</v>
      </c>
      <c r="I59" s="7" t="s">
        <v>395</v>
      </c>
      <c r="J59" s="7"/>
    </row>
    <row r="60" spans="1:10" s="8" customFormat="1" x14ac:dyDescent="0.3">
      <c r="A60" s="8" t="s">
        <v>350</v>
      </c>
      <c r="B60" s="8" t="str">
        <f>"dev"&amp;A60</f>
        <v>devAmpliStudio</v>
      </c>
      <c r="C60" s="8" t="s">
        <v>346</v>
      </c>
      <c r="D60" s="8" t="s">
        <v>346</v>
      </c>
      <c r="E60" s="8" t="s">
        <v>346</v>
      </c>
      <c r="J60" s="8" t="s">
        <v>399</v>
      </c>
    </row>
    <row r="61" spans="1:10" x14ac:dyDescent="0.3">
      <c r="B61" t="s">
        <v>351</v>
      </c>
      <c r="C61" t="s">
        <v>304</v>
      </c>
      <c r="D61" t="s">
        <v>304</v>
      </c>
      <c r="F61" t="s">
        <v>336</v>
      </c>
      <c r="G61" t="str">
        <f>B61</f>
        <v>preamp.volp</v>
      </c>
    </row>
    <row r="62" spans="1:10" x14ac:dyDescent="0.3">
      <c r="B62" t="s">
        <v>352</v>
      </c>
      <c r="C62" t="s">
        <v>305</v>
      </c>
      <c r="D62" t="s">
        <v>305</v>
      </c>
      <c r="F62" t="s">
        <v>336</v>
      </c>
      <c r="G62" t="str">
        <f>B62</f>
        <v>preamp.volm</v>
      </c>
    </row>
    <row r="63" spans="1:10" x14ac:dyDescent="0.3">
      <c r="B63" t="s">
        <v>229</v>
      </c>
      <c r="C63" t="s">
        <v>283</v>
      </c>
      <c r="D63" t="s">
        <v>283</v>
      </c>
      <c r="F63" t="s">
        <v>336</v>
      </c>
      <c r="G63" t="str">
        <f>B63</f>
        <v>preamp.mute</v>
      </c>
      <c r="I63" s="7" t="s">
        <v>395</v>
      </c>
      <c r="J63" s="7"/>
    </row>
    <row r="64" spans="1:10" s="8" customFormat="1" x14ac:dyDescent="0.3">
      <c r="A64" s="8" t="s">
        <v>306</v>
      </c>
      <c r="B64" s="8" t="str">
        <f>"dev"&amp;A64</f>
        <v>devHDMI</v>
      </c>
      <c r="C64" s="8" t="s">
        <v>306</v>
      </c>
      <c r="D64" s="8" t="s">
        <v>306</v>
      </c>
      <c r="E64" s="8" t="s">
        <v>314</v>
      </c>
      <c r="J64" s="8" t="s">
        <v>399</v>
      </c>
    </row>
    <row r="65" spans="1:10" x14ac:dyDescent="0.3">
      <c r="B65" t="s">
        <v>77</v>
      </c>
      <c r="C65" t="s">
        <v>365</v>
      </c>
      <c r="D65">
        <v>1</v>
      </c>
      <c r="F65" t="s">
        <v>336</v>
      </c>
      <c r="G65" t="str">
        <f>B65</f>
        <v>hdmi.1</v>
      </c>
    </row>
    <row r="66" spans="1:10" x14ac:dyDescent="0.3">
      <c r="B66" t="s">
        <v>78</v>
      </c>
      <c r="C66" t="s">
        <v>366</v>
      </c>
      <c r="D66">
        <v>2</v>
      </c>
      <c r="F66" t="s">
        <v>336</v>
      </c>
      <c r="G66" t="str">
        <f>B66</f>
        <v>hdmi.2</v>
      </c>
    </row>
    <row r="67" spans="1:10" x14ac:dyDescent="0.3">
      <c r="B67" t="s">
        <v>79</v>
      </c>
      <c r="C67" t="s">
        <v>367</v>
      </c>
      <c r="D67">
        <v>3</v>
      </c>
      <c r="F67" t="s">
        <v>336</v>
      </c>
      <c r="G67" t="str">
        <f>B67</f>
        <v>hdmi.3</v>
      </c>
    </row>
    <row r="68" spans="1:10" x14ac:dyDescent="0.3">
      <c r="B68" t="s">
        <v>80</v>
      </c>
      <c r="C68" t="s">
        <v>368</v>
      </c>
      <c r="D68">
        <v>4</v>
      </c>
      <c r="F68" t="s">
        <v>336</v>
      </c>
      <c r="G68" t="str">
        <f>B68</f>
        <v>hdmi.4</v>
      </c>
    </row>
    <row r="69" spans="1:10" x14ac:dyDescent="0.3">
      <c r="B69" t="s">
        <v>81</v>
      </c>
      <c r="C69" t="s">
        <v>369</v>
      </c>
      <c r="D69">
        <v>5</v>
      </c>
      <c r="F69" t="s">
        <v>336</v>
      </c>
      <c r="G69" t="str">
        <f>B69</f>
        <v>hdmi.5</v>
      </c>
      <c r="I69" s="7" t="s">
        <v>395</v>
      </c>
      <c r="J69" s="7"/>
    </row>
    <row r="70" spans="1:10" s="8" customFormat="1" x14ac:dyDescent="0.3">
      <c r="A70" s="8" t="s">
        <v>313</v>
      </c>
      <c r="B70" s="8" t="str">
        <f>"dev"&amp;A70</f>
        <v>devSonOff01</v>
      </c>
      <c r="C70" s="8" t="s">
        <v>313</v>
      </c>
      <c r="D70" s="8" t="s">
        <v>313</v>
      </c>
      <c r="E70" s="8" t="s">
        <v>313</v>
      </c>
      <c r="J70" s="8" t="s">
        <v>400</v>
      </c>
    </row>
    <row r="71" spans="1:10" x14ac:dyDescent="0.3">
      <c r="B71" t="s">
        <v>318</v>
      </c>
      <c r="C71" t="s">
        <v>316</v>
      </c>
      <c r="D71" t="s">
        <v>316</v>
      </c>
      <c r="F71" t="s">
        <v>338</v>
      </c>
      <c r="G71" t="str">
        <f>B71</f>
        <v>sonoff01.version</v>
      </c>
      <c r="I71" s="7" t="s">
        <v>395</v>
      </c>
      <c r="J71" s="7"/>
    </row>
    <row r="72" spans="1:10" x14ac:dyDescent="0.3">
      <c r="B72" t="s">
        <v>323</v>
      </c>
      <c r="C72" t="s">
        <v>325</v>
      </c>
      <c r="D72" t="s">
        <v>325</v>
      </c>
      <c r="F72" t="s">
        <v>338</v>
      </c>
      <c r="G72" t="str">
        <f>B72</f>
        <v>sonoff01.on</v>
      </c>
    </row>
    <row r="73" spans="1:10" x14ac:dyDescent="0.3">
      <c r="B73" t="s">
        <v>324</v>
      </c>
      <c r="C73" t="s">
        <v>326</v>
      </c>
      <c r="D73" t="s">
        <v>326</v>
      </c>
      <c r="F73" t="s">
        <v>338</v>
      </c>
      <c r="G73" t="str">
        <f>B73</f>
        <v>sonoff01.off</v>
      </c>
    </row>
    <row r="74" spans="1:10" x14ac:dyDescent="0.3">
      <c r="B74" t="s">
        <v>319</v>
      </c>
      <c r="C74" t="s">
        <v>322</v>
      </c>
      <c r="D74" t="s">
        <v>322</v>
      </c>
      <c r="F74" t="s">
        <v>338</v>
      </c>
      <c r="G74" t="str">
        <f>B74</f>
        <v>sonoff01.toggle</v>
      </c>
      <c r="I74" s="7" t="s">
        <v>395</v>
      </c>
      <c r="J74" s="7"/>
    </row>
    <row r="75" spans="1:10" x14ac:dyDescent="0.3">
      <c r="B75" t="s">
        <v>321</v>
      </c>
      <c r="C75" t="s">
        <v>320</v>
      </c>
      <c r="D75" t="s">
        <v>320</v>
      </c>
      <c r="F75" t="s">
        <v>341</v>
      </c>
      <c r="G75" t="s">
        <v>343</v>
      </c>
      <c r="I75" s="7" t="s">
        <v>395</v>
      </c>
      <c r="J75" s="7"/>
    </row>
    <row r="76" spans="1:10" s="8" customFormat="1" x14ac:dyDescent="0.3">
      <c r="A76" s="8" t="s">
        <v>327</v>
      </c>
      <c r="B76" s="8" t="str">
        <f>"dev"&amp;A76</f>
        <v>devSonOff02</v>
      </c>
      <c r="C76" s="8" t="s">
        <v>327</v>
      </c>
      <c r="D76" s="8" t="s">
        <v>327</v>
      </c>
      <c r="E76" s="8" t="s">
        <v>327</v>
      </c>
      <c r="J76" s="8" t="s">
        <v>400</v>
      </c>
    </row>
    <row r="77" spans="1:10" x14ac:dyDescent="0.3">
      <c r="B77" t="s">
        <v>328</v>
      </c>
      <c r="C77" t="s">
        <v>316</v>
      </c>
      <c r="D77" t="s">
        <v>316</v>
      </c>
      <c r="F77" t="s">
        <v>339</v>
      </c>
      <c r="G77" t="str">
        <f>B77</f>
        <v>sonoff02.version</v>
      </c>
      <c r="I77" s="7" t="s">
        <v>395</v>
      </c>
      <c r="J77" s="7"/>
    </row>
    <row r="78" spans="1:10" x14ac:dyDescent="0.3">
      <c r="B78" t="s">
        <v>329</v>
      </c>
      <c r="C78" t="s">
        <v>325</v>
      </c>
      <c r="D78" t="s">
        <v>325</v>
      </c>
      <c r="F78" t="s">
        <v>339</v>
      </c>
      <c r="G78" t="str">
        <f>B78</f>
        <v>sonoff02.on</v>
      </c>
    </row>
    <row r="79" spans="1:10" x14ac:dyDescent="0.3">
      <c r="B79" t="s">
        <v>330</v>
      </c>
      <c r="C79" t="s">
        <v>326</v>
      </c>
      <c r="D79" t="s">
        <v>326</v>
      </c>
      <c r="F79" t="s">
        <v>339</v>
      </c>
      <c r="G79" t="str">
        <f>B79</f>
        <v>sonoff02.off</v>
      </c>
    </row>
    <row r="80" spans="1:10" x14ac:dyDescent="0.3">
      <c r="B80" t="s">
        <v>331</v>
      </c>
      <c r="C80" t="s">
        <v>322</v>
      </c>
      <c r="D80" t="s">
        <v>322</v>
      </c>
      <c r="F80" t="s">
        <v>339</v>
      </c>
      <c r="G80" t="str">
        <f>B80</f>
        <v>sonoff02.toggle</v>
      </c>
      <c r="I80" s="7" t="s">
        <v>395</v>
      </c>
      <c r="J80" s="7"/>
    </row>
    <row r="81" spans="1:10" x14ac:dyDescent="0.3">
      <c r="B81" t="s">
        <v>332</v>
      </c>
      <c r="C81" t="s">
        <v>320</v>
      </c>
      <c r="D81" t="s">
        <v>320</v>
      </c>
      <c r="F81" t="s">
        <v>342</v>
      </c>
      <c r="G81" t="s">
        <v>343</v>
      </c>
      <c r="I81" s="7" t="s">
        <v>395</v>
      </c>
      <c r="J81" s="7"/>
    </row>
    <row r="82" spans="1:10" s="8" customFormat="1" x14ac:dyDescent="0.3">
      <c r="A82" s="8" t="s">
        <v>333</v>
      </c>
      <c r="B82" s="8" t="str">
        <f>"dev"&amp;A82</f>
        <v>devESPIR01</v>
      </c>
      <c r="C82" s="8" t="s">
        <v>333</v>
      </c>
      <c r="D82" s="8" t="s">
        <v>333</v>
      </c>
      <c r="E82" s="8" t="s">
        <v>333</v>
      </c>
      <c r="J82" s="8" t="s">
        <v>400</v>
      </c>
    </row>
    <row r="83" spans="1:10" x14ac:dyDescent="0.3">
      <c r="B83" t="s">
        <v>315</v>
      </c>
      <c r="C83" t="s">
        <v>316</v>
      </c>
      <c r="D83" t="s">
        <v>316</v>
      </c>
      <c r="F83" t="s">
        <v>337</v>
      </c>
      <c r="G83" t="str">
        <f>B83</f>
        <v>version</v>
      </c>
      <c r="I83" s="7" t="s">
        <v>395</v>
      </c>
      <c r="J83" s="7"/>
    </row>
    <row r="84" spans="1:10" x14ac:dyDescent="0.3">
      <c r="B84" t="s">
        <v>65</v>
      </c>
      <c r="C84" t="s">
        <v>325</v>
      </c>
      <c r="D84" t="s">
        <v>325</v>
      </c>
      <c r="F84" t="s">
        <v>337</v>
      </c>
      <c r="G84" t="str">
        <f>B84</f>
        <v>on</v>
      </c>
    </row>
    <row r="85" spans="1:10" x14ac:dyDescent="0.3">
      <c r="B85" t="s">
        <v>66</v>
      </c>
      <c r="C85" t="s">
        <v>326</v>
      </c>
      <c r="D85" t="s">
        <v>326</v>
      </c>
      <c r="F85" t="s">
        <v>337</v>
      </c>
      <c r="G85" t="str">
        <f>B85</f>
        <v>off</v>
      </c>
    </row>
    <row r="86" spans="1:10" x14ac:dyDescent="0.3">
      <c r="B86" t="s">
        <v>317</v>
      </c>
      <c r="C86" t="s">
        <v>322</v>
      </c>
      <c r="D86" t="s">
        <v>322</v>
      </c>
      <c r="F86" t="s">
        <v>337</v>
      </c>
      <c r="G86" t="str">
        <f>B86</f>
        <v>toggle</v>
      </c>
      <c r="I86" s="7" t="s">
        <v>395</v>
      </c>
      <c r="J86" s="7"/>
    </row>
    <row r="87" spans="1:10" x14ac:dyDescent="0.3">
      <c r="B87" t="s">
        <v>320</v>
      </c>
      <c r="C87" t="s">
        <v>320</v>
      </c>
      <c r="D87" t="s">
        <v>320</v>
      </c>
      <c r="F87" t="s">
        <v>340</v>
      </c>
      <c r="G87" t="s">
        <v>343</v>
      </c>
      <c r="I87" s="7" t="s">
        <v>395</v>
      </c>
      <c r="J87" s="7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JsonCommands">
                <anchor moveWithCells="1" sizeWithCells="1">
                  <from>
                    <xdr:col>0</xdr:col>
                    <xdr:colOff>91440</xdr:colOff>
                    <xdr:row>0</xdr:row>
                    <xdr:rowOff>45720</xdr:rowOff>
                  </from>
                  <to>
                    <xdr:col>0</xdr:col>
                    <xdr:colOff>670560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96"/>
  <sheetViews>
    <sheetView topLeftCell="B4" zoomScale="85" zoomScaleNormal="85" workbookViewId="0">
      <selection activeCell="K4" sqref="K4"/>
    </sheetView>
  </sheetViews>
  <sheetFormatPr defaultColWidth="9.109375" defaultRowHeight="14.4" x14ac:dyDescent="0.3"/>
  <cols>
    <col min="2" max="2" width="13.88671875" bestFit="1" customWidth="1"/>
    <col min="3" max="3" width="7.6640625" style="3" bestFit="1" customWidth="1"/>
    <col min="4" max="4" width="7.6640625" style="3" customWidth="1"/>
    <col min="5" max="5" width="11.6640625" bestFit="1" customWidth="1"/>
    <col min="6" max="6" width="25.109375" bestFit="1" customWidth="1"/>
    <col min="7" max="7" width="28.109375" customWidth="1"/>
    <col min="8" max="8" width="24.5546875" bestFit="1" customWidth="1"/>
    <col min="9" max="9" width="28.109375" bestFit="1" customWidth="1"/>
    <col min="10" max="10" width="11.6640625" bestFit="1" customWidth="1"/>
  </cols>
  <sheetData>
    <row r="1" spans="1:11" s="1" customFormat="1" x14ac:dyDescent="0.3">
      <c r="B1" s="1" t="s">
        <v>17</v>
      </c>
      <c r="C1" s="2" t="s">
        <v>7</v>
      </c>
      <c r="D1" s="2" t="s">
        <v>56</v>
      </c>
      <c r="E1" s="1" t="s">
        <v>8</v>
      </c>
      <c r="F1" s="1" t="s">
        <v>0</v>
      </c>
      <c r="G1" s="1" t="s">
        <v>57</v>
      </c>
      <c r="H1" s="1" t="s">
        <v>1</v>
      </c>
      <c r="I1" s="1" t="s">
        <v>2</v>
      </c>
      <c r="J1" s="1" t="s">
        <v>3</v>
      </c>
    </row>
    <row r="2" spans="1:11" x14ac:dyDescent="0.3">
      <c r="A2" t="s">
        <v>207</v>
      </c>
    </row>
    <row r="3" spans="1:11" x14ac:dyDescent="0.3">
      <c r="B3" t="s">
        <v>16</v>
      </c>
      <c r="C3" s="3">
        <v>11</v>
      </c>
      <c r="E3" t="s">
        <v>4</v>
      </c>
      <c r="F3" t="str">
        <f>IF(B3&lt;&gt;"",B3&amp;"-&gt;"&amp;E3,"")</f>
        <v>rxir sony 1-&gt;salon.1.on</v>
      </c>
      <c r="G3" t="str">
        <f t="shared" ref="G3:G24" si="0">IF(C3&lt;&gt;"","rxIR proto=4 code="&amp;C3&amp;" (12 bits)",IF(D3&lt;&gt;"","rxRF 1 "&amp;D3,""))</f>
        <v>rxIR proto=4 code=11 (12 bits)</v>
      </c>
      <c r="H3" t="str">
        <f>IF(OR(C3&lt;&gt;"", D3&lt;&gt;""),"home/domo/espIR01/event","")</f>
        <v>home/domo/espIR01/event</v>
      </c>
      <c r="I3" t="str">
        <f>G3</f>
        <v>rxIR proto=4 code=11 (12 bits)</v>
      </c>
      <c r="J3" t="str">
        <f>IF(E3&lt;&gt;"",E3,"")</f>
        <v>salon.1.on</v>
      </c>
      <c r="K3" t="str">
        <f>IF(E3&lt;&gt;"","{'comment':'"&amp;F3&amp;"', 'type':'trgMqtt'," &amp;" 'topic':'"&amp;H3&amp;"', 'payload':'"&amp;I3&amp;"', 'command':{'type':'cmdCommand', 'id':'"&amp;J3&amp;"'}},","")</f>
        <v>{'comment':'rxir sony 1-&gt;salon.1.on', 'type':'trgMqtt', 'topic':'home/domo/espIR01/event', 'payload':'rxIR proto=4 code=11 (12 bits)', 'command':{'type':'cmdCommand', 'id':'salon.1.on'}},</v>
      </c>
    </row>
    <row r="4" spans="1:11" x14ac:dyDescent="0.3">
      <c r="B4" t="s">
        <v>18</v>
      </c>
      <c r="C4" s="3">
        <v>811</v>
      </c>
      <c r="E4" t="s">
        <v>5</v>
      </c>
      <c r="F4" t="str">
        <f t="shared" ref="F4:F45" si="1">IF(B4&lt;&gt;"",B4&amp;"-&gt;"&amp;E4,"")</f>
        <v>rxir sony 2-&gt;salon.2.on</v>
      </c>
      <c r="G4" t="str">
        <f t="shared" si="0"/>
        <v>rxIR proto=4 code=811 (12 bits)</v>
      </c>
      <c r="H4" t="str">
        <f t="shared" ref="H4:H34" si="2">IF(OR(C4&lt;&gt;"", D4&lt;&gt;""),"home/domo/espIR01/event","")</f>
        <v>home/domo/espIR01/event</v>
      </c>
      <c r="I4" t="str">
        <f t="shared" ref="I4:I34" si="3">G4</f>
        <v>rxIR proto=4 code=811 (12 bits)</v>
      </c>
      <c r="J4" t="str">
        <f t="shared" ref="J4:J34" si="4">IF(E4&lt;&gt;"",E4,"")</f>
        <v>salon.2.on</v>
      </c>
      <c r="K4" t="str">
        <f t="shared" ref="K4:K34" si="5">IF(E4&lt;&gt;"","{'comment':'"&amp;F4&amp;"', 'type':'trgMqtt'," &amp;" 'topic':'"&amp;H4&amp;"', 'payload':'"&amp;I4&amp;"', 'command':{'type':'cmdCommand', 'id':'"&amp;J4&amp;"'}},","")</f>
        <v>{'comment':'rxir sony 2-&gt;salon.2.on', 'type':'trgMqtt', 'topic':'home/domo/espIR01/event', 'payload':'rxIR proto=4 code=811 (12 bits)', 'command':{'type':'cmdCommand', 'id':'salon.2.on'}},</v>
      </c>
    </row>
    <row r="5" spans="1:11" x14ac:dyDescent="0.3">
      <c r="B5" t="s">
        <v>19</v>
      </c>
      <c r="C5" s="3">
        <v>411</v>
      </c>
      <c r="E5" t="s">
        <v>6</v>
      </c>
      <c r="F5" t="str">
        <f t="shared" si="1"/>
        <v>rxir sony 3-&gt;salon.3.on</v>
      </c>
      <c r="G5" t="str">
        <f t="shared" si="0"/>
        <v>rxIR proto=4 code=411 (12 bits)</v>
      </c>
      <c r="H5" t="str">
        <f t="shared" si="2"/>
        <v>home/domo/espIR01/event</v>
      </c>
      <c r="I5" t="str">
        <f t="shared" si="3"/>
        <v>rxIR proto=4 code=411 (12 bits)</v>
      </c>
      <c r="J5" t="str">
        <f t="shared" si="4"/>
        <v>salon.3.on</v>
      </c>
      <c r="K5" t="str">
        <f t="shared" si="5"/>
        <v>{'comment':'rxir sony 3-&gt;salon.3.on', 'type':'trgMqtt', 'topic':'home/domo/espIR01/event', 'payload':'rxIR proto=4 code=411 (12 bits)', 'command':{'type':'cmdCommand', 'id':'salon.3.on'}},</v>
      </c>
    </row>
    <row r="6" spans="1:11" x14ac:dyDescent="0.3">
      <c r="B6" t="s">
        <v>20</v>
      </c>
      <c r="C6" s="3" t="s">
        <v>26</v>
      </c>
      <c r="E6" t="s">
        <v>9</v>
      </c>
      <c r="F6" t="str">
        <f t="shared" si="1"/>
        <v>rxir sony 4-&gt;salon.1.off</v>
      </c>
      <c r="G6" t="str">
        <f t="shared" si="0"/>
        <v>rxIR proto=4 code=c11 (12 bits)</v>
      </c>
      <c r="H6" t="str">
        <f t="shared" si="2"/>
        <v>home/domo/espIR01/event</v>
      </c>
      <c r="I6" t="str">
        <f t="shared" si="3"/>
        <v>rxIR proto=4 code=c11 (12 bits)</v>
      </c>
      <c r="J6" t="str">
        <f t="shared" si="4"/>
        <v>salon.1.off</v>
      </c>
      <c r="K6" t="str">
        <f t="shared" si="5"/>
        <v>{'comment':'rxir sony 4-&gt;salon.1.off', 'type':'trgMqtt', 'topic':'home/domo/espIR01/event', 'payload':'rxIR proto=4 code=c11 (12 bits)', 'command':{'type':'cmdCommand', 'id':'salon.1.off'}},</v>
      </c>
    </row>
    <row r="7" spans="1:11" x14ac:dyDescent="0.3">
      <c r="B7" t="s">
        <v>21</v>
      </c>
      <c r="C7" s="3">
        <v>211</v>
      </c>
      <c r="E7" t="s">
        <v>10</v>
      </c>
      <c r="F7" t="str">
        <f t="shared" si="1"/>
        <v>rxir sony 5-&gt;salon.2.off</v>
      </c>
      <c r="G7" t="str">
        <f t="shared" si="0"/>
        <v>rxIR proto=4 code=211 (12 bits)</v>
      </c>
      <c r="H7" t="str">
        <f t="shared" si="2"/>
        <v>home/domo/espIR01/event</v>
      </c>
      <c r="I7" t="str">
        <f t="shared" si="3"/>
        <v>rxIR proto=4 code=211 (12 bits)</v>
      </c>
      <c r="J7" t="str">
        <f t="shared" si="4"/>
        <v>salon.2.off</v>
      </c>
      <c r="K7" t="str">
        <f t="shared" si="5"/>
        <v>{'comment':'rxir sony 5-&gt;salon.2.off', 'type':'trgMqtt', 'topic':'home/domo/espIR01/event', 'payload':'rxIR proto=4 code=211 (12 bits)', 'command':{'type':'cmdCommand', 'id':'salon.2.off'}},</v>
      </c>
    </row>
    <row r="8" spans="1:11" x14ac:dyDescent="0.3">
      <c r="B8" t="s">
        <v>22</v>
      </c>
      <c r="C8" s="3" t="s">
        <v>27</v>
      </c>
      <c r="E8" t="s">
        <v>11</v>
      </c>
      <c r="F8" t="str">
        <f t="shared" si="1"/>
        <v>rxir sony 6-&gt;salon.3.off</v>
      </c>
      <c r="G8" t="str">
        <f t="shared" si="0"/>
        <v>rxIR proto=4 code=a11 (12 bits)</v>
      </c>
      <c r="H8" t="str">
        <f t="shared" si="2"/>
        <v>home/domo/espIR01/event</v>
      </c>
      <c r="I8" t="str">
        <f t="shared" si="3"/>
        <v>rxIR proto=4 code=a11 (12 bits)</v>
      </c>
      <c r="J8" t="str">
        <f t="shared" si="4"/>
        <v>salon.3.off</v>
      </c>
      <c r="K8" t="str">
        <f t="shared" si="5"/>
        <v>{'comment':'rxir sony 6-&gt;salon.3.off', 'type':'trgMqtt', 'topic':'home/domo/espIR01/event', 'payload':'rxIR proto=4 code=a11 (12 bits)', 'command':{'type':'cmdCommand', 'id':'salon.3.off'}},</v>
      </c>
    </row>
    <row r="9" spans="1:11" x14ac:dyDescent="0.3">
      <c r="B9" t="s">
        <v>23</v>
      </c>
      <c r="C9" s="3">
        <v>611</v>
      </c>
      <c r="E9" t="s">
        <v>12</v>
      </c>
      <c r="F9" t="str">
        <f t="shared" si="1"/>
        <v>rxir sony 7-&gt;salon.4.on</v>
      </c>
      <c r="G9" t="str">
        <f t="shared" si="0"/>
        <v>rxIR proto=4 code=611 (12 bits)</v>
      </c>
      <c r="H9" t="str">
        <f t="shared" si="2"/>
        <v>home/domo/espIR01/event</v>
      </c>
      <c r="I9" t="str">
        <f t="shared" si="3"/>
        <v>rxIR proto=4 code=611 (12 bits)</v>
      </c>
      <c r="J9" t="str">
        <f t="shared" si="4"/>
        <v>salon.4.on</v>
      </c>
      <c r="K9" t="str">
        <f t="shared" si="5"/>
        <v>{'comment':'rxir sony 7-&gt;salon.4.on', 'type':'trgMqtt', 'topic':'home/domo/espIR01/event', 'payload':'rxIR proto=4 code=611 (12 bits)', 'command':{'type':'cmdCommand', 'id':'salon.4.on'}},</v>
      </c>
    </row>
    <row r="10" spans="1:11" x14ac:dyDescent="0.3">
      <c r="B10" t="s">
        <v>24</v>
      </c>
      <c r="C10" s="3" t="s">
        <v>28</v>
      </c>
      <c r="E10" t="s">
        <v>13</v>
      </c>
      <c r="F10" t="str">
        <f t="shared" si="1"/>
        <v>rxir sony 8-&gt;salon.5.on</v>
      </c>
      <c r="G10" t="str">
        <f t="shared" si="0"/>
        <v>rxIR proto=4 code=e11 (12 bits)</v>
      </c>
      <c r="H10" t="str">
        <f t="shared" si="2"/>
        <v>home/domo/espIR01/event</v>
      </c>
      <c r="I10" t="str">
        <f t="shared" si="3"/>
        <v>rxIR proto=4 code=e11 (12 bits)</v>
      </c>
      <c r="J10" t="str">
        <f t="shared" si="4"/>
        <v>salon.5.on</v>
      </c>
      <c r="K10" t="str">
        <f t="shared" si="5"/>
        <v>{'comment':'rxir sony 8-&gt;salon.5.on', 'type':'trgMqtt', 'topic':'home/domo/espIR01/event', 'payload':'rxIR proto=4 code=e11 (12 bits)', 'command':{'type':'cmdCommand', 'id':'salon.5.on'}},</v>
      </c>
    </row>
    <row r="11" spans="1:11" x14ac:dyDescent="0.3">
      <c r="B11" t="s">
        <v>221</v>
      </c>
      <c r="C11" s="3" t="s">
        <v>222</v>
      </c>
      <c r="E11" t="s">
        <v>14</v>
      </c>
      <c r="F11" t="str">
        <f t="shared" si="1"/>
        <v>rxir sony &gt;10-&gt;salon.4.off</v>
      </c>
      <c r="G11" t="str">
        <f t="shared" si="0"/>
        <v>rxIR proto=4 code=e51 (12 bits)</v>
      </c>
      <c r="H11" t="str">
        <f t="shared" si="2"/>
        <v>home/domo/espIR01/event</v>
      </c>
      <c r="I11" t="str">
        <f t="shared" si="3"/>
        <v>rxIR proto=4 code=e51 (12 bits)</v>
      </c>
      <c r="J11" t="str">
        <f t="shared" si="4"/>
        <v>salon.4.off</v>
      </c>
      <c r="K11" t="str">
        <f t="shared" si="5"/>
        <v>{'comment':'rxir sony &gt;10-&gt;salon.4.off', 'type':'trgMqtt', 'topic':'home/domo/espIR01/event', 'payload':'rxIR proto=4 code=e51 (12 bits)', 'command':{'type':'cmdCommand', 'id':'salon.4.off'}},</v>
      </c>
    </row>
    <row r="12" spans="1:11" x14ac:dyDescent="0.3">
      <c r="B12" t="s">
        <v>223</v>
      </c>
      <c r="C12" s="3">
        <v>51</v>
      </c>
      <c r="E12" t="s">
        <v>15</v>
      </c>
      <c r="F12" t="str">
        <f t="shared" si="1"/>
        <v>rxir sony 10-&gt;salon.5.off</v>
      </c>
      <c r="G12" t="str">
        <f t="shared" si="0"/>
        <v>rxIR proto=4 code=51 (12 bits)</v>
      </c>
      <c r="H12" t="str">
        <f t="shared" si="2"/>
        <v>home/domo/espIR01/event</v>
      </c>
      <c r="I12" t="str">
        <f t="shared" si="3"/>
        <v>rxIR proto=4 code=51 (12 bits)</v>
      </c>
      <c r="J12" t="str">
        <f t="shared" si="4"/>
        <v>salon.5.off</v>
      </c>
      <c r="K12" t="str">
        <f t="shared" si="5"/>
        <v>{'comment':'rxir sony 10-&gt;salon.5.off', 'type':'trgMqtt', 'topic':'home/domo/espIR01/event', 'payload':'rxIR proto=4 code=51 (12 bits)', 'command':{'type':'cmdCommand', 'id':'salon.5.off'}},</v>
      </c>
    </row>
    <row r="13" spans="1:11" x14ac:dyDescent="0.3">
      <c r="B13" t="s">
        <v>25</v>
      </c>
      <c r="C13" s="3">
        <v>111</v>
      </c>
      <c r="E13" t="s">
        <v>52</v>
      </c>
      <c r="F13" t="str">
        <f t="shared" ref="F13:F14" si="6">IF(B13&lt;&gt;"",B13&amp;"-&gt;"&amp;E13,"")</f>
        <v>rxir sony 9-&gt;salon.on</v>
      </c>
      <c r="G13" t="str">
        <f t="shared" ref="G13:G14" si="7">IF(C13&lt;&gt;"","rxIR proto=4 code="&amp;C13&amp;" (12 bits)",IF(D13&lt;&gt;"","rxRF 1 "&amp;D13,""))</f>
        <v>rxIR proto=4 code=111 (12 bits)</v>
      </c>
      <c r="H13" t="str">
        <f t="shared" ref="H13:H14" si="8">IF(OR(C13&lt;&gt;"", D13&lt;&gt;""),"home/domo/espIR01/event","")</f>
        <v>home/domo/espIR01/event</v>
      </c>
      <c r="I13" t="str">
        <f t="shared" ref="I13:I14" si="9">G13</f>
        <v>rxIR proto=4 code=111 (12 bits)</v>
      </c>
      <c r="J13" t="str">
        <f t="shared" ref="J13:J14" si="10">IF(E13&lt;&gt;"",E13,"")</f>
        <v>salon.on</v>
      </c>
      <c r="K13" t="str">
        <f t="shared" ref="K13:K14" si="11">IF(E13&lt;&gt;"","{'comment':'"&amp;F13&amp;"', 'type':'trgMqtt'," &amp;" 'topic':'"&amp;H13&amp;"', 'payload':'"&amp;I13&amp;"', 'command':{'type':'cmdCommand', 'id':'"&amp;J13&amp;"'}},","")</f>
        <v>{'comment':'rxir sony 9-&gt;salon.on', 'type':'trgMqtt', 'topic':'home/domo/espIR01/event', 'payload':'rxIR proto=4 code=111 (12 bits)', 'command':{'type':'cmdCommand', 'id':'salon.on'}},</v>
      </c>
    </row>
    <row r="14" spans="1:11" x14ac:dyDescent="0.3">
      <c r="B14" t="s">
        <v>224</v>
      </c>
      <c r="C14" s="3" t="s">
        <v>225</v>
      </c>
      <c r="E14" t="s">
        <v>51</v>
      </c>
      <c r="F14" t="str">
        <f t="shared" si="6"/>
        <v>rxir sony clear-&gt;salon.off</v>
      </c>
      <c r="G14" t="str">
        <f t="shared" si="7"/>
        <v>rxIR proto=4 code=f11 (12 bits)</v>
      </c>
      <c r="H14" t="str">
        <f t="shared" si="8"/>
        <v>home/domo/espIR01/event</v>
      </c>
      <c r="I14" t="str">
        <f t="shared" si="9"/>
        <v>rxIR proto=4 code=f11 (12 bits)</v>
      </c>
      <c r="J14" t="str">
        <f t="shared" si="10"/>
        <v>salon.off</v>
      </c>
      <c r="K14" t="str">
        <f t="shared" si="11"/>
        <v>{'comment':'rxir sony clear-&gt;salon.off', 'type':'trgMqtt', 'topic':'home/domo/espIR01/event', 'payload':'rxIR proto=4 code=f11 (12 bits)', 'command':{'type':'cmdCommand', 'id':'salon.off'}},</v>
      </c>
    </row>
    <row r="15" spans="1:11" x14ac:dyDescent="0.3">
      <c r="B15" t="s">
        <v>53</v>
      </c>
      <c r="C15" s="3">
        <v>491</v>
      </c>
      <c r="E15" t="s">
        <v>44</v>
      </c>
      <c r="F15" t="str">
        <f t="shared" si="1"/>
        <v>rxir sony plus-&gt;ampli.volp</v>
      </c>
      <c r="G15" t="str">
        <f t="shared" si="0"/>
        <v>rxIR proto=4 code=491 (12 bits)</v>
      </c>
      <c r="H15" t="str">
        <f t="shared" si="2"/>
        <v>home/domo/espIR01/event</v>
      </c>
      <c r="I15" t="str">
        <f t="shared" si="3"/>
        <v>rxIR proto=4 code=491 (12 bits)</v>
      </c>
      <c r="J15" t="str">
        <f t="shared" si="4"/>
        <v>ampli.volp</v>
      </c>
      <c r="K15" t="str">
        <f t="shared" si="5"/>
        <v>{'comment':'rxir sony plus-&gt;ampli.volp', 'type':'trgMqtt', 'topic':'home/domo/espIR01/event', 'payload':'rxIR proto=4 code=491 (12 bits)', 'command':{'type':'cmdCommand', 'id':'ampli.volp'}},</v>
      </c>
    </row>
    <row r="16" spans="1:11" x14ac:dyDescent="0.3">
      <c r="B16" t="s">
        <v>54</v>
      </c>
      <c r="C16" s="3" t="s">
        <v>29</v>
      </c>
      <c r="E16" t="s">
        <v>45</v>
      </c>
      <c r="F16" t="str">
        <f t="shared" si="1"/>
        <v>rxir sony minus-&gt;ampli.volm</v>
      </c>
      <c r="G16" t="str">
        <f t="shared" si="0"/>
        <v>rxIR proto=4 code=c91 (12 bits)</v>
      </c>
      <c r="H16" t="str">
        <f t="shared" si="2"/>
        <v>home/domo/espIR01/event</v>
      </c>
      <c r="I16" t="str">
        <f t="shared" si="3"/>
        <v>rxIR proto=4 code=c91 (12 bits)</v>
      </c>
      <c r="J16" t="str">
        <f t="shared" si="4"/>
        <v>ampli.volm</v>
      </c>
      <c r="K16" t="str">
        <f t="shared" si="5"/>
        <v>{'comment':'rxir sony minus-&gt;ampli.volm', 'type':'trgMqtt', 'topic':'home/domo/espIR01/event', 'payload':'rxIR proto=4 code=c91 (12 bits)', 'command':{'type':'cmdCommand', 'id':'ampli.volm'}},</v>
      </c>
    </row>
    <row r="17" spans="1:11" x14ac:dyDescent="0.3">
      <c r="B17" t="s">
        <v>37</v>
      </c>
      <c r="C17" s="3" t="s">
        <v>30</v>
      </c>
      <c r="E17" t="s">
        <v>47</v>
      </c>
      <c r="F17" t="str">
        <f t="shared" si="1"/>
        <v>rxir sony play-&gt;tvon</v>
      </c>
      <c r="G17" t="str">
        <f t="shared" si="0"/>
        <v>rxIR proto=4 code=4d1 (12 bits)</v>
      </c>
      <c r="H17" t="str">
        <f t="shared" si="2"/>
        <v>home/domo/espIR01/event</v>
      </c>
      <c r="I17" t="str">
        <f t="shared" si="3"/>
        <v>rxIR proto=4 code=4d1 (12 bits)</v>
      </c>
      <c r="J17" t="str">
        <f t="shared" si="4"/>
        <v>tvon</v>
      </c>
      <c r="K17" t="str">
        <f t="shared" si="5"/>
        <v>{'comment':'rxir sony play-&gt;tvon', 'type':'trgMqtt', 'topic':'home/domo/espIR01/event', 'payload':'rxIR proto=4 code=4d1 (12 bits)', 'command':{'type':'cmdCommand', 'id':'tvon'}},</v>
      </c>
    </row>
    <row r="18" spans="1:11" x14ac:dyDescent="0.3">
      <c r="B18" t="s">
        <v>38</v>
      </c>
      <c r="C18" s="3" t="s">
        <v>31</v>
      </c>
      <c r="E18" t="s">
        <v>48</v>
      </c>
      <c r="F18" t="str">
        <f t="shared" si="1"/>
        <v>rxir sony pause-&gt;tvoff</v>
      </c>
      <c r="G18" t="str">
        <f t="shared" si="0"/>
        <v>rxIR proto=4 code=9d1 (12 bits)</v>
      </c>
      <c r="H18" t="str">
        <f t="shared" si="2"/>
        <v>home/domo/espIR01/event</v>
      </c>
      <c r="I18" t="str">
        <f t="shared" si="3"/>
        <v>rxIR proto=4 code=9d1 (12 bits)</v>
      </c>
      <c r="J18" t="str">
        <f t="shared" si="4"/>
        <v>tvoff</v>
      </c>
      <c r="K18" t="str">
        <f t="shared" si="5"/>
        <v>{'comment':'rxir sony pause-&gt;tvoff', 'type':'trgMqtt', 'topic':'home/domo/espIR01/event', 'payload':'rxIR proto=4 code=9d1 (12 bits)', 'command':{'type':'cmdCommand', 'id':'tvoff'}},</v>
      </c>
    </row>
    <row r="19" spans="1:11" x14ac:dyDescent="0.3">
      <c r="B19" t="s">
        <v>39</v>
      </c>
      <c r="C19" s="3" t="s">
        <v>32</v>
      </c>
      <c r="E19" t="s">
        <v>46</v>
      </c>
      <c r="F19" t="str">
        <f t="shared" si="1"/>
        <v>rxir sony stop-&gt;ampli.mute</v>
      </c>
      <c r="G19" t="str">
        <f t="shared" si="0"/>
        <v>rxIR proto=4 code=1d1 (12 bits)</v>
      </c>
      <c r="H19" t="str">
        <f t="shared" si="2"/>
        <v>home/domo/espIR01/event</v>
      </c>
      <c r="I19" t="str">
        <f t="shared" si="3"/>
        <v>rxIR proto=4 code=1d1 (12 bits)</v>
      </c>
      <c r="J19" t="str">
        <f t="shared" si="4"/>
        <v>ampli.mute</v>
      </c>
      <c r="K19" t="str">
        <f t="shared" si="5"/>
        <v>{'comment':'rxir sony stop-&gt;ampli.mute', 'type':'trgMqtt', 'topic':'home/domo/espIR01/event', 'payload':'rxIR proto=4 code=1d1 (12 bits)', 'command':{'type':'cmdCommand', 'id':'ampli.mute'}},</v>
      </c>
    </row>
    <row r="20" spans="1:11" x14ac:dyDescent="0.3">
      <c r="B20" t="s">
        <v>40</v>
      </c>
      <c r="C20" s="3" t="s">
        <v>33</v>
      </c>
      <c r="E20" t="s">
        <v>49</v>
      </c>
      <c r="F20" t="str">
        <f t="shared" si="1"/>
        <v>rxir sony prev-&gt;ampli.off</v>
      </c>
      <c r="G20" t="str">
        <f t="shared" si="0"/>
        <v>rxIR proto=4 code=d1 (12 bits)</v>
      </c>
      <c r="H20" t="str">
        <f t="shared" si="2"/>
        <v>home/domo/espIR01/event</v>
      </c>
      <c r="I20" t="str">
        <f t="shared" si="3"/>
        <v>rxIR proto=4 code=d1 (12 bits)</v>
      </c>
      <c r="J20" t="str">
        <f t="shared" si="4"/>
        <v>ampli.off</v>
      </c>
      <c r="K20" t="str">
        <f t="shared" si="5"/>
        <v>{'comment':'rxir sony prev-&gt;ampli.off', 'type':'trgMqtt', 'topic':'home/domo/espIR01/event', 'payload':'rxIR proto=4 code=d1 (12 bits)', 'command':{'type':'cmdCommand', 'id':'ampli.off'}},</v>
      </c>
    </row>
    <row r="21" spans="1:11" x14ac:dyDescent="0.3">
      <c r="B21" t="s">
        <v>41</v>
      </c>
      <c r="C21" s="3" t="s">
        <v>34</v>
      </c>
      <c r="E21" t="s">
        <v>50</v>
      </c>
      <c r="F21" t="str">
        <f t="shared" si="1"/>
        <v>rxir sony next-&gt;ampli.on</v>
      </c>
      <c r="G21" t="str">
        <f t="shared" si="0"/>
        <v>rxIR proto=4 code=8d1 (12 bits)</v>
      </c>
      <c r="H21" t="str">
        <f t="shared" si="2"/>
        <v>home/domo/espIR01/event</v>
      </c>
      <c r="I21" t="str">
        <f t="shared" si="3"/>
        <v>rxIR proto=4 code=8d1 (12 bits)</v>
      </c>
      <c r="J21" t="str">
        <f t="shared" si="4"/>
        <v>ampli.on</v>
      </c>
      <c r="K21" t="str">
        <f t="shared" si="5"/>
        <v>{'comment':'rxir sony next-&gt;ampli.on', 'type':'trgMqtt', 'topic':'home/domo/espIR01/event', 'payload':'rxIR proto=4 code=8d1 (12 bits)', 'command':{'type':'cmdCommand', 'id':'ampli.on'}},</v>
      </c>
    </row>
    <row r="22" spans="1:11" x14ac:dyDescent="0.3">
      <c r="B22" t="s">
        <v>42</v>
      </c>
      <c r="C22" s="3" t="s">
        <v>35</v>
      </c>
      <c r="E22" t="s">
        <v>51</v>
      </c>
      <c r="F22" t="str">
        <f t="shared" si="1"/>
        <v>rxir sony fbw-&gt;salon.off</v>
      </c>
      <c r="G22" t="str">
        <f t="shared" si="0"/>
        <v>rxIR proto=4 code=cd1 (12 bits)</v>
      </c>
      <c r="H22" t="str">
        <f t="shared" si="2"/>
        <v>home/domo/espIR01/event</v>
      </c>
      <c r="I22" t="str">
        <f t="shared" si="3"/>
        <v>rxIR proto=4 code=cd1 (12 bits)</v>
      </c>
      <c r="J22" t="str">
        <f t="shared" si="4"/>
        <v>salon.off</v>
      </c>
      <c r="K22" t="str">
        <f t="shared" si="5"/>
        <v>{'comment':'rxir sony fbw-&gt;salon.off', 'type':'trgMqtt', 'topic':'home/domo/espIR01/event', 'payload':'rxIR proto=4 code=cd1 (12 bits)', 'command':{'type':'cmdCommand', 'id':'salon.off'}},</v>
      </c>
    </row>
    <row r="23" spans="1:11" x14ac:dyDescent="0.3">
      <c r="B23" t="s">
        <v>43</v>
      </c>
      <c r="C23" s="3" t="s">
        <v>36</v>
      </c>
      <c r="E23" t="s">
        <v>52</v>
      </c>
      <c r="F23" t="str">
        <f t="shared" si="1"/>
        <v>rxir sony ffw-&gt;salon.on</v>
      </c>
      <c r="G23" t="str">
        <f t="shared" si="0"/>
        <v>rxIR proto=4 code=2d1 (12 bits)</v>
      </c>
      <c r="H23" t="str">
        <f t="shared" si="2"/>
        <v>home/domo/espIR01/event</v>
      </c>
      <c r="I23" t="str">
        <f t="shared" si="3"/>
        <v>rxIR proto=4 code=2d1 (12 bits)</v>
      </c>
      <c r="J23" t="str">
        <f t="shared" si="4"/>
        <v>salon.on</v>
      </c>
      <c r="K23" t="str">
        <f t="shared" si="5"/>
        <v>{'comment':'rxir sony ffw-&gt;salon.on', 'type':'trgMqtt', 'topic':'home/domo/espIR01/event', 'payload':'rxIR proto=4 code=2d1 (12 bits)', 'command':{'type':'cmdCommand', 'id':'salon.on'}},</v>
      </c>
    </row>
    <row r="24" spans="1:11" x14ac:dyDescent="0.3">
      <c r="A24" t="s">
        <v>226</v>
      </c>
      <c r="F24" t="str">
        <f t="shared" si="1"/>
        <v/>
      </c>
      <c r="G24" t="str">
        <f t="shared" si="0"/>
        <v/>
      </c>
      <c r="H24" t="str">
        <f t="shared" si="2"/>
        <v/>
      </c>
      <c r="I24" t="str">
        <f t="shared" si="3"/>
        <v/>
      </c>
      <c r="J24" t="str">
        <f t="shared" si="4"/>
        <v/>
      </c>
      <c r="K24" t="str">
        <f t="shared" si="5"/>
        <v/>
      </c>
    </row>
    <row r="25" spans="1:11" x14ac:dyDescent="0.3">
      <c r="B25" t="s">
        <v>142</v>
      </c>
      <c r="D25" s="3" t="s">
        <v>143</v>
      </c>
    </row>
    <row r="26" spans="1:11" x14ac:dyDescent="0.3">
      <c r="B26" t="s">
        <v>144</v>
      </c>
      <c r="D26" s="3" t="s">
        <v>145</v>
      </c>
    </row>
    <row r="27" spans="1:11" x14ac:dyDescent="0.3">
      <c r="B27" t="s">
        <v>146</v>
      </c>
      <c r="D27" s="3" t="s">
        <v>147</v>
      </c>
    </row>
    <row r="28" spans="1:11" x14ac:dyDescent="0.3">
      <c r="B28" t="s">
        <v>148</v>
      </c>
      <c r="D28" s="3" t="s">
        <v>149</v>
      </c>
    </row>
    <row r="29" spans="1:11" x14ac:dyDescent="0.3">
      <c r="B29" t="s">
        <v>150</v>
      </c>
      <c r="D29" s="3" t="s">
        <v>151</v>
      </c>
    </row>
    <row r="30" spans="1:11" x14ac:dyDescent="0.3">
      <c r="B30" t="s">
        <v>152</v>
      </c>
      <c r="D30" s="3" t="s">
        <v>153</v>
      </c>
    </row>
    <row r="31" spans="1:11" x14ac:dyDescent="0.3">
      <c r="B31" t="s">
        <v>55</v>
      </c>
      <c r="D31" s="3" t="s">
        <v>58</v>
      </c>
      <c r="E31" t="s">
        <v>227</v>
      </c>
      <c r="F31" t="str">
        <f t="shared" si="1"/>
        <v>rxrf rf.b4.on-&gt;vpstudio.on</v>
      </c>
      <c r="G31" t="str">
        <f>IF(C31&lt;&gt;"","rxIR proto=4 code="&amp;C31&amp;" (12 bits)",IF(D31&lt;&gt;"","rxRF 1 "&amp;D31,""))</f>
        <v>rxRF 1 7fd514</v>
      </c>
      <c r="H31" t="str">
        <f t="shared" si="2"/>
        <v>home/domo/espIR01/event</v>
      </c>
      <c r="I31" t="str">
        <f t="shared" si="3"/>
        <v>rxRF 1 7fd514</v>
      </c>
      <c r="J31" t="str">
        <f t="shared" si="4"/>
        <v>vpstudio.on</v>
      </c>
      <c r="K31" t="str">
        <f t="shared" si="5"/>
        <v>{'comment':'rxrf rf.b4.on-&gt;vpstudio.on', 'type':'trgMqtt', 'topic':'home/domo/espIR01/event', 'payload':'rxRF 1 7fd514', 'command':{'type':'cmdCommand', 'id':'vpstudio.on'}},</v>
      </c>
    </row>
    <row r="32" spans="1:11" x14ac:dyDescent="0.3">
      <c r="B32" t="s">
        <v>62</v>
      </c>
      <c r="D32" s="3" t="s">
        <v>59</v>
      </c>
      <c r="E32" t="s">
        <v>228</v>
      </c>
      <c r="F32" t="str">
        <f t="shared" si="1"/>
        <v>rxrf rf.b4.off-&gt;vpstudio.off</v>
      </c>
      <c r="G32" t="str">
        <f t="shared" ref="G32:G34" si="12">IF(C32&lt;&gt;"","rxIR proto=4 code="&amp;C32&amp;" (12 bits)",IF(D32&lt;&gt;"","rxRF 1 "&amp;D32,""))</f>
        <v>rxRF 1 7fd511</v>
      </c>
      <c r="H32" t="str">
        <f t="shared" si="2"/>
        <v>home/domo/espIR01/event</v>
      </c>
      <c r="I32" t="str">
        <f t="shared" si="3"/>
        <v>rxRF 1 7fd511</v>
      </c>
      <c r="J32" t="str">
        <f t="shared" si="4"/>
        <v>vpstudio.off</v>
      </c>
      <c r="K32" t="str">
        <f t="shared" si="5"/>
        <v>{'comment':'rxrf rf.b4.off-&gt;vpstudio.off', 'type':'trgMqtt', 'topic':'home/domo/espIR01/event', 'payload':'rxRF 1 7fd511', 'command':{'type':'cmdCommand', 'id':'vpstudio.off'}},</v>
      </c>
    </row>
    <row r="33" spans="1:11" x14ac:dyDescent="0.3">
      <c r="B33" t="s">
        <v>63</v>
      </c>
      <c r="D33" s="3" t="s">
        <v>60</v>
      </c>
      <c r="E33" t="s">
        <v>229</v>
      </c>
      <c r="F33" t="str">
        <f t="shared" si="1"/>
        <v>rxrf rf.b5.on-&gt;preamp.mute</v>
      </c>
      <c r="G33" t="str">
        <f t="shared" si="12"/>
        <v>rxRF 1 7fd544</v>
      </c>
      <c r="H33" t="str">
        <f t="shared" si="2"/>
        <v>home/domo/espIR01/event</v>
      </c>
      <c r="I33" t="str">
        <f t="shared" si="3"/>
        <v>rxRF 1 7fd544</v>
      </c>
      <c r="J33" t="str">
        <f t="shared" si="4"/>
        <v>preamp.mute</v>
      </c>
      <c r="K33" t="str">
        <f t="shared" si="5"/>
        <v>{'comment':'rxrf rf.b5.on-&gt;preamp.mute', 'type':'trgMqtt', 'topic':'home/domo/espIR01/event', 'payload':'rxRF 1 7fd544', 'command':{'type':'cmdCommand', 'id':'preamp.mute'}},</v>
      </c>
    </row>
    <row r="34" spans="1:11" x14ac:dyDescent="0.3">
      <c r="B34" t="s">
        <v>64</v>
      </c>
      <c r="D34" s="3" t="s">
        <v>61</v>
      </c>
      <c r="F34" t="str">
        <f t="shared" si="1"/>
        <v>rxrf rf.b5.off-&gt;</v>
      </c>
      <c r="G34" t="str">
        <f t="shared" si="12"/>
        <v>rxRF 1 7fd541</v>
      </c>
      <c r="H34" t="str">
        <f t="shared" si="2"/>
        <v>home/domo/espIR01/event</v>
      </c>
      <c r="I34" t="str">
        <f t="shared" si="3"/>
        <v>rxRF 1 7fd541</v>
      </c>
      <c r="J34" t="str">
        <f t="shared" si="4"/>
        <v/>
      </c>
      <c r="K34" t="str">
        <f t="shared" si="5"/>
        <v/>
      </c>
    </row>
    <row r="35" spans="1:11" x14ac:dyDescent="0.3">
      <c r="A35" t="s">
        <v>208</v>
      </c>
    </row>
    <row r="36" spans="1:11" x14ac:dyDescent="0.3">
      <c r="B36" t="s">
        <v>210</v>
      </c>
      <c r="D36" s="3" t="s">
        <v>169</v>
      </c>
      <c r="E36" t="s">
        <v>47</v>
      </c>
      <c r="F36" t="str">
        <f t="shared" ref="F36:F43" si="13">IF(B36&lt;&gt;"",B36&amp;"-&gt;"&amp;E36,"")</f>
        <v>rf.d.1.on-&gt;tvon</v>
      </c>
      <c r="G36" t="str">
        <f t="shared" ref="G36:G45" si="14">IF(C36&lt;&gt;"","rxIR proto=4 code="&amp;C36&amp;" (12 bits)",IF(D36&lt;&gt;"","rxRF 1 "&amp;D36,""))</f>
        <v>rxRF 1 dfc554</v>
      </c>
      <c r="H36" t="str">
        <f t="shared" ref="H36:H45" si="15">IF(OR(C36&lt;&gt;"", D36&lt;&gt;""),"home/domo/espIR01/event","")</f>
        <v>home/domo/espIR01/event</v>
      </c>
      <c r="I36" t="str">
        <f t="shared" ref="I36:I45" si="16">G36</f>
        <v>rxRF 1 dfc554</v>
      </c>
      <c r="J36" t="str">
        <f t="shared" ref="J36:J45" si="17">IF(E36&lt;&gt;"",E36,"")</f>
        <v>tvon</v>
      </c>
      <c r="K36" t="str">
        <f t="shared" ref="K36:K45" si="18">IF(E36&lt;&gt;"","{'comment':'"&amp;F36&amp;"', 'type':'trgMqtt'," &amp;" 'topic':'"&amp;H36&amp;"', 'payload':'"&amp;I36&amp;"', 'command':{'type':'cmdCommand', 'id':'"&amp;J36&amp;"'}},","")</f>
        <v>{'comment':'rf.d.1.on-&gt;tvon', 'type':'trgMqtt', 'topic':'home/domo/espIR01/event', 'payload':'rxRF 1 dfc554', 'command':{'type':'cmdCommand', 'id':'tvon'}},</v>
      </c>
    </row>
    <row r="37" spans="1:11" x14ac:dyDescent="0.3">
      <c r="B37" t="s">
        <v>211</v>
      </c>
      <c r="D37" s="3" t="s">
        <v>171</v>
      </c>
      <c r="E37" t="s">
        <v>48</v>
      </c>
      <c r="F37" t="str">
        <f t="shared" si="13"/>
        <v>rf.d.1.off-&gt;tvoff</v>
      </c>
      <c r="G37" t="str">
        <f t="shared" si="14"/>
        <v>rxRF 1 dfc551</v>
      </c>
      <c r="H37" t="str">
        <f t="shared" si="15"/>
        <v>home/domo/espIR01/event</v>
      </c>
      <c r="I37" t="str">
        <f t="shared" si="16"/>
        <v>rxRF 1 dfc551</v>
      </c>
      <c r="J37" t="str">
        <f t="shared" si="17"/>
        <v>tvoff</v>
      </c>
      <c r="K37" t="str">
        <f t="shared" si="18"/>
        <v>{'comment':'rf.d.1.off-&gt;tvoff', 'type':'trgMqtt', 'topic':'home/domo/espIR01/event', 'payload':'rxRF 1 dfc551', 'command':{'type':'cmdCommand', 'id':'tvoff'}},</v>
      </c>
    </row>
    <row r="38" spans="1:11" x14ac:dyDescent="0.3">
      <c r="B38" t="s">
        <v>212</v>
      </c>
      <c r="D38" s="3" t="s">
        <v>173</v>
      </c>
      <c r="E38" t="s">
        <v>77</v>
      </c>
      <c r="F38" t="str">
        <f t="shared" si="13"/>
        <v>rf.d.2.on-&gt;hdmi.1</v>
      </c>
      <c r="G38" t="str">
        <f t="shared" si="14"/>
        <v>rxRF 1 dfd154</v>
      </c>
      <c r="H38" t="str">
        <f t="shared" si="15"/>
        <v>home/domo/espIR01/event</v>
      </c>
      <c r="I38" t="str">
        <f t="shared" si="16"/>
        <v>rxRF 1 dfd154</v>
      </c>
      <c r="J38" t="str">
        <f t="shared" si="17"/>
        <v>hdmi.1</v>
      </c>
      <c r="K38" t="str">
        <f t="shared" si="18"/>
        <v>{'comment':'rf.d.2.on-&gt;hdmi.1', 'type':'trgMqtt', 'topic':'home/domo/espIR01/event', 'payload':'rxRF 1 dfd154', 'command':{'type':'cmdCommand', 'id':'hdmi.1'}},</v>
      </c>
    </row>
    <row r="39" spans="1:11" x14ac:dyDescent="0.3">
      <c r="B39" t="s">
        <v>213</v>
      </c>
      <c r="D39" s="3" t="s">
        <v>175</v>
      </c>
      <c r="E39" t="s">
        <v>78</v>
      </c>
      <c r="F39" t="str">
        <f t="shared" si="13"/>
        <v>rf.d.2.off-&gt;hdmi.2</v>
      </c>
      <c r="G39" t="str">
        <f t="shared" si="14"/>
        <v>rxRF 1 dfd151</v>
      </c>
      <c r="H39" t="str">
        <f t="shared" si="15"/>
        <v>home/domo/espIR01/event</v>
      </c>
      <c r="I39" t="str">
        <f t="shared" si="16"/>
        <v>rxRF 1 dfd151</v>
      </c>
      <c r="J39" t="str">
        <f t="shared" si="17"/>
        <v>hdmi.2</v>
      </c>
      <c r="K39" t="str">
        <f t="shared" si="18"/>
        <v>{'comment':'rf.d.2.off-&gt;hdmi.2', 'type':'trgMqtt', 'topic':'home/domo/espIR01/event', 'payload':'rxRF 1 dfd151', 'command':{'type':'cmdCommand', 'id':'hdmi.2'}},</v>
      </c>
    </row>
    <row r="40" spans="1:11" x14ac:dyDescent="0.3">
      <c r="B40" t="s">
        <v>214</v>
      </c>
      <c r="D40" s="3" t="s">
        <v>177</v>
      </c>
      <c r="E40" t="s">
        <v>79</v>
      </c>
      <c r="F40" t="str">
        <f t="shared" si="13"/>
        <v>rf.d.3.on-&gt;hdmi.3</v>
      </c>
      <c r="G40" t="str">
        <f t="shared" si="14"/>
        <v>rxRF 1 dfd454</v>
      </c>
      <c r="H40" t="str">
        <f t="shared" si="15"/>
        <v>home/domo/espIR01/event</v>
      </c>
      <c r="I40" t="str">
        <f t="shared" si="16"/>
        <v>rxRF 1 dfd454</v>
      </c>
      <c r="J40" t="str">
        <f t="shared" si="17"/>
        <v>hdmi.3</v>
      </c>
      <c r="K40" t="str">
        <f t="shared" si="18"/>
        <v>{'comment':'rf.d.3.on-&gt;hdmi.3', 'type':'trgMqtt', 'topic':'home/domo/espIR01/event', 'payload':'rxRF 1 dfd454', 'command':{'type':'cmdCommand', 'id':'hdmi.3'}},</v>
      </c>
    </row>
    <row r="41" spans="1:11" x14ac:dyDescent="0.3">
      <c r="B41" t="s">
        <v>215</v>
      </c>
      <c r="D41" s="3" t="s">
        <v>179</v>
      </c>
      <c r="E41" t="s">
        <v>80</v>
      </c>
      <c r="F41" t="str">
        <f t="shared" si="13"/>
        <v>rf.d.3.off-&gt;hdmi.4</v>
      </c>
      <c r="G41" t="str">
        <f t="shared" si="14"/>
        <v>rxRF 1 dfd451</v>
      </c>
      <c r="H41" t="str">
        <f t="shared" si="15"/>
        <v>home/domo/espIR01/event</v>
      </c>
      <c r="I41" t="str">
        <f t="shared" si="16"/>
        <v>rxRF 1 dfd451</v>
      </c>
      <c r="J41" t="str">
        <f t="shared" si="17"/>
        <v>hdmi.4</v>
      </c>
      <c r="K41" t="str">
        <f t="shared" si="18"/>
        <v>{'comment':'rf.d.3.off-&gt;hdmi.4', 'type':'trgMqtt', 'topic':'home/domo/espIR01/event', 'payload':'rxRF 1 dfd451', 'command':{'type':'cmdCommand', 'id':'hdmi.4'}},</v>
      </c>
    </row>
    <row r="42" spans="1:11" x14ac:dyDescent="0.3">
      <c r="B42" t="s">
        <v>216</v>
      </c>
      <c r="D42" s="3" t="s">
        <v>181</v>
      </c>
      <c r="E42" t="s">
        <v>81</v>
      </c>
      <c r="F42" t="str">
        <f t="shared" si="13"/>
        <v>rf.d.4.on-&gt;hdmi.5</v>
      </c>
      <c r="G42" t="str">
        <f t="shared" si="14"/>
        <v>rxRF 1 dfd514</v>
      </c>
      <c r="H42" t="str">
        <f t="shared" si="15"/>
        <v>home/domo/espIR01/event</v>
      </c>
      <c r="I42" t="str">
        <f t="shared" si="16"/>
        <v>rxRF 1 dfd514</v>
      </c>
      <c r="J42" t="str">
        <f t="shared" si="17"/>
        <v>hdmi.5</v>
      </c>
      <c r="K42" t="str">
        <f t="shared" si="18"/>
        <v>{'comment':'rf.d.4.on-&gt;hdmi.5', 'type':'trgMqtt', 'topic':'home/domo/espIR01/event', 'payload':'rxRF 1 dfd514', 'command':{'type':'cmdCommand', 'id':'hdmi.5'}},</v>
      </c>
    </row>
    <row r="43" spans="1:11" x14ac:dyDescent="0.3">
      <c r="B43" t="s">
        <v>217</v>
      </c>
      <c r="D43" s="3" t="s">
        <v>183</v>
      </c>
      <c r="E43" t="s">
        <v>46</v>
      </c>
      <c r="F43" t="str">
        <f t="shared" si="13"/>
        <v>rf.d.4.off-&gt;ampli.mute</v>
      </c>
      <c r="G43" t="str">
        <f t="shared" si="14"/>
        <v>rxRF 1 dfd511</v>
      </c>
      <c r="H43" t="str">
        <f t="shared" si="15"/>
        <v>home/domo/espIR01/event</v>
      </c>
      <c r="I43" t="str">
        <f t="shared" si="16"/>
        <v>rxRF 1 dfd511</v>
      </c>
      <c r="J43" t="str">
        <f t="shared" si="17"/>
        <v>ampli.mute</v>
      </c>
      <c r="K43" t="str">
        <f t="shared" si="18"/>
        <v>{'comment':'rf.d.4.off-&gt;ampli.mute', 'type':'trgMqtt', 'topic':'home/domo/espIR01/event', 'payload':'rxRF 1 dfd511', 'command':{'type':'cmdCommand', 'id':'ampli.mute'}},</v>
      </c>
    </row>
    <row r="44" spans="1:11" x14ac:dyDescent="0.3">
      <c r="B44" t="s">
        <v>218</v>
      </c>
      <c r="D44" s="3" t="s">
        <v>185</v>
      </c>
      <c r="E44" t="s">
        <v>52</v>
      </c>
      <c r="F44" t="str">
        <f t="shared" si="1"/>
        <v>rf.d.5.on-&gt;salon.on</v>
      </c>
      <c r="G44" t="str">
        <f t="shared" si="14"/>
        <v>rxRF 1 dfd544</v>
      </c>
      <c r="H44" t="str">
        <f t="shared" si="15"/>
        <v>home/domo/espIR01/event</v>
      </c>
      <c r="I44" t="str">
        <f t="shared" si="16"/>
        <v>rxRF 1 dfd544</v>
      </c>
      <c r="J44" t="str">
        <f t="shared" si="17"/>
        <v>salon.on</v>
      </c>
      <c r="K44" t="str">
        <f t="shared" si="18"/>
        <v>{'comment':'rf.d.5.on-&gt;salon.on', 'type':'trgMqtt', 'topic':'home/domo/espIR01/event', 'payload':'rxRF 1 dfd544', 'command':{'type':'cmdCommand', 'id':'salon.on'}},</v>
      </c>
    </row>
    <row r="45" spans="1:11" x14ac:dyDescent="0.3">
      <c r="B45" t="s">
        <v>219</v>
      </c>
      <c r="D45" s="3" t="s">
        <v>220</v>
      </c>
      <c r="E45" t="s">
        <v>51</v>
      </c>
      <c r="F45" t="str">
        <f t="shared" si="1"/>
        <v>rf.d.5.off-&gt;salon.off</v>
      </c>
      <c r="G45" t="str">
        <f t="shared" si="14"/>
        <v>rxRF 1 dfd541</v>
      </c>
      <c r="H45" t="str">
        <f t="shared" si="15"/>
        <v>home/domo/espIR01/event</v>
      </c>
      <c r="I45" t="str">
        <f t="shared" si="16"/>
        <v>rxRF 1 dfd541</v>
      </c>
      <c r="J45" t="str">
        <f t="shared" si="17"/>
        <v>salon.off</v>
      </c>
      <c r="K45" t="str">
        <f t="shared" si="18"/>
        <v>{'comment':'rf.d.5.off-&gt;salon.off', 'type':'trgMqtt', 'topic':'home/domo/espIR01/event', 'payload':'rxRF 1 dfd541', 'command':{'type':'cmdCommand', 'id':'salon.off'}},</v>
      </c>
    </row>
    <row r="46" spans="1:11" x14ac:dyDescent="0.3">
      <c r="A46" t="s">
        <v>209</v>
      </c>
    </row>
    <row r="47" spans="1:11" x14ac:dyDescent="0.3">
      <c r="B47" t="s">
        <v>122</v>
      </c>
      <c r="D47" s="3" t="s">
        <v>123</v>
      </c>
    </row>
    <row r="48" spans="1:11" x14ac:dyDescent="0.3">
      <c r="B48" t="s">
        <v>124</v>
      </c>
      <c r="D48" s="3" t="s">
        <v>125</v>
      </c>
    </row>
    <row r="49" spans="2:4" x14ac:dyDescent="0.3">
      <c r="B49" t="s">
        <v>126</v>
      </c>
      <c r="D49" s="3" t="s">
        <v>127</v>
      </c>
    </row>
    <row r="50" spans="2:4" x14ac:dyDescent="0.3">
      <c r="B50" t="s">
        <v>128</v>
      </c>
      <c r="D50" s="3" t="s">
        <v>129</v>
      </c>
    </row>
    <row r="51" spans="2:4" x14ac:dyDescent="0.3">
      <c r="B51" t="s">
        <v>130</v>
      </c>
      <c r="D51" s="3" t="s">
        <v>131</v>
      </c>
    </row>
    <row r="52" spans="2:4" x14ac:dyDescent="0.3">
      <c r="B52" t="s">
        <v>132</v>
      </c>
      <c r="D52" s="3" t="s">
        <v>133</v>
      </c>
    </row>
    <row r="53" spans="2:4" x14ac:dyDescent="0.3">
      <c r="B53" t="s">
        <v>134</v>
      </c>
      <c r="D53" s="3" t="s">
        <v>135</v>
      </c>
    </row>
    <row r="54" spans="2:4" x14ac:dyDescent="0.3">
      <c r="B54" t="s">
        <v>136</v>
      </c>
      <c r="D54" s="3" t="s">
        <v>137</v>
      </c>
    </row>
    <row r="55" spans="2:4" x14ac:dyDescent="0.3">
      <c r="B55" t="s">
        <v>138</v>
      </c>
      <c r="D55" s="3" t="s">
        <v>139</v>
      </c>
    </row>
    <row r="56" spans="2:4" x14ac:dyDescent="0.3">
      <c r="B56" t="s">
        <v>140</v>
      </c>
      <c r="D56" s="3" t="s">
        <v>141</v>
      </c>
    </row>
    <row r="57" spans="2:4" x14ac:dyDescent="0.3">
      <c r="B57" t="s">
        <v>142</v>
      </c>
      <c r="D57" s="3" t="s">
        <v>143</v>
      </c>
    </row>
    <row r="58" spans="2:4" x14ac:dyDescent="0.3">
      <c r="B58" t="s">
        <v>144</v>
      </c>
      <c r="D58" s="3" t="s">
        <v>145</v>
      </c>
    </row>
    <row r="59" spans="2:4" x14ac:dyDescent="0.3">
      <c r="B59" t="s">
        <v>146</v>
      </c>
      <c r="D59" s="3" t="s">
        <v>147</v>
      </c>
    </row>
    <row r="60" spans="2:4" x14ac:dyDescent="0.3">
      <c r="B60" t="s">
        <v>148</v>
      </c>
      <c r="D60" s="3" t="s">
        <v>149</v>
      </c>
    </row>
    <row r="61" spans="2:4" x14ac:dyDescent="0.3">
      <c r="B61" t="s">
        <v>150</v>
      </c>
      <c r="D61" s="3" t="s">
        <v>151</v>
      </c>
    </row>
    <row r="62" spans="2:4" x14ac:dyDescent="0.3">
      <c r="B62" t="s">
        <v>152</v>
      </c>
      <c r="D62" s="3" t="s">
        <v>153</v>
      </c>
    </row>
    <row r="63" spans="2:4" x14ac:dyDescent="0.3">
      <c r="B63" t="s">
        <v>154</v>
      </c>
      <c r="D63" s="3" t="s">
        <v>58</v>
      </c>
    </row>
    <row r="64" spans="2:4" x14ac:dyDescent="0.3">
      <c r="B64" t="s">
        <v>155</v>
      </c>
      <c r="D64" s="3" t="s">
        <v>59</v>
      </c>
    </row>
    <row r="65" spans="2:4" x14ac:dyDescent="0.3">
      <c r="B65" t="s">
        <v>156</v>
      </c>
      <c r="D65" s="3" t="s">
        <v>60</v>
      </c>
    </row>
    <row r="66" spans="2:4" x14ac:dyDescent="0.3">
      <c r="B66" t="s">
        <v>157</v>
      </c>
      <c r="D66" s="3" t="s">
        <v>61</v>
      </c>
    </row>
    <row r="67" spans="2:4" x14ac:dyDescent="0.3">
      <c r="B67" t="s">
        <v>158</v>
      </c>
      <c r="D67" s="3" t="s">
        <v>68</v>
      </c>
    </row>
    <row r="68" spans="2:4" x14ac:dyDescent="0.3">
      <c r="B68" t="s">
        <v>159</v>
      </c>
      <c r="D68" s="3" t="s">
        <v>67</v>
      </c>
    </row>
    <row r="69" spans="2:4" x14ac:dyDescent="0.3">
      <c r="B69" t="s">
        <v>160</v>
      </c>
      <c r="D69" s="3" t="s">
        <v>70</v>
      </c>
    </row>
    <row r="70" spans="2:4" x14ac:dyDescent="0.3">
      <c r="B70" t="s">
        <v>161</v>
      </c>
      <c r="D70" s="3" t="s">
        <v>69</v>
      </c>
    </row>
    <row r="71" spans="2:4" x14ac:dyDescent="0.3">
      <c r="B71" t="s">
        <v>162</v>
      </c>
      <c r="D71" s="3" t="s">
        <v>72</v>
      </c>
    </row>
    <row r="72" spans="2:4" x14ac:dyDescent="0.3">
      <c r="B72" t="s">
        <v>163</v>
      </c>
      <c r="D72" s="3" t="s">
        <v>71</v>
      </c>
    </row>
    <row r="73" spans="2:4" x14ac:dyDescent="0.3">
      <c r="B73" t="s">
        <v>164</v>
      </c>
      <c r="D73" s="3" t="s">
        <v>74</v>
      </c>
    </row>
    <row r="74" spans="2:4" x14ac:dyDescent="0.3">
      <c r="B74" t="s">
        <v>165</v>
      </c>
      <c r="D74" s="3" t="s">
        <v>73</v>
      </c>
    </row>
    <row r="75" spans="2:4" x14ac:dyDescent="0.3">
      <c r="B75" t="s">
        <v>166</v>
      </c>
      <c r="D75" s="3" t="s">
        <v>76</v>
      </c>
    </row>
    <row r="76" spans="2:4" x14ac:dyDescent="0.3">
      <c r="B76" t="s">
        <v>167</v>
      </c>
      <c r="D76" s="3" t="s">
        <v>75</v>
      </c>
    </row>
    <row r="77" spans="2:4" x14ac:dyDescent="0.3">
      <c r="B77" t="s">
        <v>168</v>
      </c>
      <c r="D77" s="3" t="s">
        <v>169</v>
      </c>
    </row>
    <row r="78" spans="2:4" x14ac:dyDescent="0.3">
      <c r="B78" t="s">
        <v>170</v>
      </c>
      <c r="D78" s="3" t="s">
        <v>171</v>
      </c>
    </row>
    <row r="79" spans="2:4" x14ac:dyDescent="0.3">
      <c r="B79" t="s">
        <v>172</v>
      </c>
      <c r="D79" s="3" t="s">
        <v>173</v>
      </c>
    </row>
    <row r="80" spans="2:4" x14ac:dyDescent="0.3">
      <c r="B80" t="s">
        <v>174</v>
      </c>
      <c r="D80" s="3" t="s">
        <v>175</v>
      </c>
    </row>
    <row r="81" spans="2:4" x14ac:dyDescent="0.3">
      <c r="B81" t="s">
        <v>176</v>
      </c>
      <c r="D81" s="3" t="s">
        <v>177</v>
      </c>
    </row>
    <row r="82" spans="2:4" x14ac:dyDescent="0.3">
      <c r="B82" t="s">
        <v>178</v>
      </c>
      <c r="D82" s="3" t="s">
        <v>179</v>
      </c>
    </row>
    <row r="83" spans="2:4" x14ac:dyDescent="0.3">
      <c r="B83" t="s">
        <v>180</v>
      </c>
      <c r="D83" s="3" t="s">
        <v>181</v>
      </c>
    </row>
    <row r="84" spans="2:4" x14ac:dyDescent="0.3">
      <c r="B84" t="s">
        <v>182</v>
      </c>
      <c r="D84" s="3" t="s">
        <v>183</v>
      </c>
    </row>
    <row r="85" spans="2:4" x14ac:dyDescent="0.3">
      <c r="B85" t="s">
        <v>184</v>
      </c>
      <c r="D85" s="3" t="s">
        <v>185</v>
      </c>
    </row>
    <row r="86" spans="2:4" x14ac:dyDescent="0.3">
      <c r="B86" t="s">
        <v>186</v>
      </c>
      <c r="D86" s="3" t="s">
        <v>220</v>
      </c>
    </row>
    <row r="87" spans="2:4" x14ac:dyDescent="0.3">
      <c r="B87" t="s">
        <v>187</v>
      </c>
      <c r="D87" s="3" t="s">
        <v>188</v>
      </c>
    </row>
    <row r="88" spans="2:4" x14ac:dyDescent="0.3">
      <c r="B88" t="s">
        <v>189</v>
      </c>
      <c r="D88" s="3" t="s">
        <v>190</v>
      </c>
    </row>
    <row r="89" spans="2:4" x14ac:dyDescent="0.3">
      <c r="B89" t="s">
        <v>191</v>
      </c>
      <c r="D89" s="3" t="s">
        <v>192</v>
      </c>
    </row>
    <row r="90" spans="2:4" x14ac:dyDescent="0.3">
      <c r="B90" t="s">
        <v>193</v>
      </c>
      <c r="D90" s="3" t="s">
        <v>194</v>
      </c>
    </row>
    <row r="91" spans="2:4" x14ac:dyDescent="0.3">
      <c r="B91" t="s">
        <v>195</v>
      </c>
      <c r="D91" s="3" t="s">
        <v>196</v>
      </c>
    </row>
    <row r="92" spans="2:4" x14ac:dyDescent="0.3">
      <c r="B92" t="s">
        <v>197</v>
      </c>
      <c r="D92" s="3" t="s">
        <v>198</v>
      </c>
    </row>
    <row r="93" spans="2:4" x14ac:dyDescent="0.3">
      <c r="B93" t="s">
        <v>199</v>
      </c>
      <c r="D93" s="3" t="s">
        <v>200</v>
      </c>
    </row>
    <row r="94" spans="2:4" x14ac:dyDescent="0.3">
      <c r="B94" t="s">
        <v>201</v>
      </c>
      <c r="D94" s="3" t="s">
        <v>202</v>
      </c>
    </row>
    <row r="95" spans="2:4" x14ac:dyDescent="0.3">
      <c r="B95" t="s">
        <v>203</v>
      </c>
      <c r="D95" s="3" t="s">
        <v>204</v>
      </c>
    </row>
    <row r="96" spans="2:4" x14ac:dyDescent="0.3">
      <c r="B96" t="s">
        <v>205</v>
      </c>
      <c r="D96" s="3" t="s">
        <v>206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51"/>
  <sheetViews>
    <sheetView workbookViewId="0">
      <pane ySplit="1" topLeftCell="A32" activePane="bottomLeft" state="frozen"/>
      <selection pane="bottomLeft" activeCell="H41" sqref="H41"/>
    </sheetView>
  </sheetViews>
  <sheetFormatPr defaultColWidth="9.109375" defaultRowHeight="14.4" x14ac:dyDescent="0.3"/>
  <cols>
    <col min="1" max="3" width="6.6640625" style="6" customWidth="1"/>
    <col min="4" max="6" width="9.5546875" style="5" customWidth="1"/>
    <col min="7" max="7" width="10.6640625" style="5" customWidth="1"/>
    <col min="8" max="8" width="9.5546875" style="5" customWidth="1"/>
    <col min="9" max="9" width="9.44140625" style="5" customWidth="1"/>
    <col min="10" max="10" width="17.88671875" style="5" customWidth="1"/>
  </cols>
  <sheetData>
    <row r="1" spans="1:20" s="1" customFormat="1" x14ac:dyDescent="0.3">
      <c r="A1" s="4" t="s">
        <v>113</v>
      </c>
      <c r="B1" s="4" t="s">
        <v>114</v>
      </c>
      <c r="C1" s="4" t="s">
        <v>115</v>
      </c>
      <c r="D1" s="4" t="s">
        <v>117</v>
      </c>
      <c r="E1" s="4" t="s">
        <v>116</v>
      </c>
      <c r="F1" s="4" t="s">
        <v>118</v>
      </c>
      <c r="G1" s="4" t="s">
        <v>8</v>
      </c>
      <c r="H1" s="4" t="s">
        <v>119</v>
      </c>
      <c r="I1" s="4" t="s">
        <v>120</v>
      </c>
      <c r="J1" s="4" t="s">
        <v>121</v>
      </c>
    </row>
    <row r="2" spans="1:20" x14ac:dyDescent="0.3">
      <c r="A2" s="6" t="s">
        <v>82</v>
      </c>
      <c r="B2" s="6">
        <v>1</v>
      </c>
      <c r="C2" s="6" t="s">
        <v>65</v>
      </c>
      <c r="D2" s="5" t="s">
        <v>96</v>
      </c>
      <c r="E2" s="5">
        <v>550</v>
      </c>
      <c r="F2" s="5">
        <v>4</v>
      </c>
      <c r="G2" s="5" t="str">
        <f t="shared" ref="G2:G33" si="0">"rf."&amp;A2&amp;"."&amp;B2&amp;"."&amp;C2</f>
        <v>rf.a.1.on</v>
      </c>
      <c r="H2" s="5" t="str">
        <f>LOWER(DEC2HEX(HEX2DEC(D2)+HEX2DEC(E2)+HEX2DEC(F2)))</f>
        <v>ffc554</v>
      </c>
      <c r="I2" s="5" t="str">
        <f>"0x"&amp;H2</f>
        <v>0xffc554</v>
      </c>
      <c r="J2" s="5" t="str">
        <f>"rf."&amp;A2&amp;"."&amp;B2&amp;"."&amp;C2&amp;"="&amp;H2</f>
        <v>rf.a.1.on=ffc554</v>
      </c>
      <c r="P2" t="s">
        <v>84</v>
      </c>
      <c r="T2" t="s">
        <v>96</v>
      </c>
    </row>
    <row r="3" spans="1:20" x14ac:dyDescent="0.3">
      <c r="A3" s="6" t="s">
        <v>82</v>
      </c>
      <c r="B3" s="6">
        <v>1</v>
      </c>
      <c r="C3" s="6" t="s">
        <v>66</v>
      </c>
      <c r="D3" s="5" t="s">
        <v>101</v>
      </c>
      <c r="E3" s="5">
        <v>550</v>
      </c>
      <c r="F3" s="5">
        <v>1</v>
      </c>
      <c r="G3" s="5" t="str">
        <f t="shared" si="0"/>
        <v>rf.a.1.off</v>
      </c>
      <c r="H3" s="5" t="str">
        <f t="shared" ref="H3:H51" si="1">LOWER(DEC2HEX(HEX2DEC(D3)+HEX2DEC(E3)+HEX2DEC(F3)))</f>
        <v>ffc552</v>
      </c>
      <c r="I3" s="5" t="str">
        <f t="shared" ref="I3:I51" si="2">"0x"&amp;H3</f>
        <v>0xffc552</v>
      </c>
      <c r="J3" s="5" t="str">
        <f t="shared" ref="J3:J51" si="3">"rf."&amp;A3&amp;"."&amp;B3&amp;"."&amp;C3&amp;"="&amp;H3</f>
        <v>rf.a.1.off=ffc552</v>
      </c>
      <c r="P3" t="s">
        <v>85</v>
      </c>
      <c r="T3" t="s">
        <v>97</v>
      </c>
    </row>
    <row r="4" spans="1:20" x14ac:dyDescent="0.3">
      <c r="A4" s="6" t="s">
        <v>82</v>
      </c>
      <c r="B4" s="6">
        <v>2</v>
      </c>
      <c r="C4" s="6" t="s">
        <v>65</v>
      </c>
      <c r="D4" s="5" t="s">
        <v>102</v>
      </c>
      <c r="E4" s="5">
        <v>1150</v>
      </c>
      <c r="F4" s="5">
        <v>4</v>
      </c>
      <c r="G4" s="5" t="str">
        <f t="shared" si="0"/>
        <v>rf.a.2.on</v>
      </c>
      <c r="H4" s="5" t="str">
        <f t="shared" si="1"/>
        <v>ffd156</v>
      </c>
      <c r="I4" s="5" t="str">
        <f t="shared" si="2"/>
        <v>0xffd156</v>
      </c>
      <c r="J4" s="5" t="str">
        <f t="shared" si="3"/>
        <v>rf.a.2.on=ffd156</v>
      </c>
      <c r="P4" t="s">
        <v>86</v>
      </c>
      <c r="T4" t="s">
        <v>98</v>
      </c>
    </row>
    <row r="5" spans="1:20" x14ac:dyDescent="0.3">
      <c r="A5" s="6" t="s">
        <v>82</v>
      </c>
      <c r="B5" s="6">
        <v>2</v>
      </c>
      <c r="C5" s="6" t="s">
        <v>66</v>
      </c>
      <c r="D5" s="5" t="s">
        <v>103</v>
      </c>
      <c r="E5" s="5">
        <v>1150</v>
      </c>
      <c r="F5" s="5">
        <v>1</v>
      </c>
      <c r="G5" s="5" t="str">
        <f t="shared" si="0"/>
        <v>rf.a.2.off</v>
      </c>
      <c r="H5" s="5" t="str">
        <f t="shared" si="1"/>
        <v>ffd154</v>
      </c>
      <c r="I5" s="5" t="str">
        <f t="shared" si="2"/>
        <v>0xffd154</v>
      </c>
      <c r="J5" s="5" t="str">
        <f t="shared" si="3"/>
        <v>rf.a.2.off=ffd154</v>
      </c>
      <c r="P5" t="s">
        <v>87</v>
      </c>
      <c r="T5" t="s">
        <v>99</v>
      </c>
    </row>
    <row r="6" spans="1:20" x14ac:dyDescent="0.3">
      <c r="A6" s="6" t="s">
        <v>82</v>
      </c>
      <c r="B6" s="6">
        <v>3</v>
      </c>
      <c r="C6" s="6" t="s">
        <v>65</v>
      </c>
      <c r="D6" s="5" t="s">
        <v>104</v>
      </c>
      <c r="E6" s="5">
        <v>1450</v>
      </c>
      <c r="F6" s="5">
        <v>4</v>
      </c>
      <c r="G6" s="5" t="str">
        <f t="shared" si="0"/>
        <v>rf.a.3.on</v>
      </c>
      <c r="H6" s="5" t="str">
        <f t="shared" si="1"/>
        <v>ffd458</v>
      </c>
      <c r="I6" s="5" t="str">
        <f t="shared" si="2"/>
        <v>0xffd458</v>
      </c>
      <c r="J6" s="5" t="str">
        <f t="shared" si="3"/>
        <v>rf.a.3.on=ffd458</v>
      </c>
      <c r="P6" t="s">
        <v>88</v>
      </c>
      <c r="T6" t="s">
        <v>100</v>
      </c>
    </row>
    <row r="7" spans="1:20" x14ac:dyDescent="0.3">
      <c r="A7" s="6" t="s">
        <v>82</v>
      </c>
      <c r="B7" s="6">
        <v>3</v>
      </c>
      <c r="C7" s="6" t="s">
        <v>66</v>
      </c>
      <c r="D7" s="5" t="s">
        <v>105</v>
      </c>
      <c r="E7" s="5">
        <v>1450</v>
      </c>
      <c r="F7" s="5">
        <v>1</v>
      </c>
      <c r="G7" s="5" t="str">
        <f t="shared" si="0"/>
        <v>rf.a.3.off</v>
      </c>
      <c r="H7" s="5" t="str">
        <f t="shared" si="1"/>
        <v>ffd456</v>
      </c>
      <c r="I7" s="5" t="str">
        <f t="shared" si="2"/>
        <v>0xffd456</v>
      </c>
      <c r="J7" s="5" t="str">
        <f t="shared" si="3"/>
        <v>rf.a.3.off=ffd456</v>
      </c>
    </row>
    <row r="8" spans="1:20" x14ac:dyDescent="0.3">
      <c r="A8" s="6" t="s">
        <v>82</v>
      </c>
      <c r="B8" s="6">
        <v>4</v>
      </c>
      <c r="C8" s="6" t="s">
        <v>65</v>
      </c>
      <c r="D8" s="5" t="s">
        <v>106</v>
      </c>
      <c r="E8" s="5">
        <v>1510</v>
      </c>
      <c r="F8" s="5">
        <v>4</v>
      </c>
      <c r="G8" s="5" t="str">
        <f t="shared" si="0"/>
        <v>rf.a.4.on</v>
      </c>
      <c r="H8" s="5" t="str">
        <f t="shared" si="1"/>
        <v>ffd51a</v>
      </c>
      <c r="I8" s="5" t="str">
        <f t="shared" si="2"/>
        <v>0xffd51a</v>
      </c>
      <c r="J8" s="5" t="str">
        <f t="shared" si="3"/>
        <v>rf.a.4.on=ffd51a</v>
      </c>
      <c r="P8" t="s">
        <v>89</v>
      </c>
      <c r="T8">
        <v>550</v>
      </c>
    </row>
    <row r="9" spans="1:20" x14ac:dyDescent="0.3">
      <c r="A9" s="6" t="s">
        <v>82</v>
      </c>
      <c r="B9" s="6">
        <v>4</v>
      </c>
      <c r="C9" s="6" t="s">
        <v>66</v>
      </c>
      <c r="D9" s="5" t="s">
        <v>107</v>
      </c>
      <c r="E9" s="5">
        <v>1510</v>
      </c>
      <c r="F9" s="5">
        <v>1</v>
      </c>
      <c r="G9" s="5" t="str">
        <f t="shared" si="0"/>
        <v>rf.a.4.off</v>
      </c>
      <c r="H9" s="5" t="str">
        <f t="shared" si="1"/>
        <v>ffd518</v>
      </c>
      <c r="I9" s="5" t="str">
        <f t="shared" si="2"/>
        <v>0xffd518</v>
      </c>
      <c r="J9" s="5" t="str">
        <f t="shared" si="3"/>
        <v>rf.a.4.off=ffd518</v>
      </c>
      <c r="P9" t="s">
        <v>90</v>
      </c>
      <c r="T9">
        <v>1150</v>
      </c>
    </row>
    <row r="10" spans="1:20" x14ac:dyDescent="0.3">
      <c r="A10" s="6" t="s">
        <v>82</v>
      </c>
      <c r="B10" s="6">
        <v>5</v>
      </c>
      <c r="C10" s="6" t="s">
        <v>65</v>
      </c>
      <c r="D10" s="5" t="s">
        <v>108</v>
      </c>
      <c r="E10" s="5">
        <v>1540</v>
      </c>
      <c r="F10" s="5">
        <v>4</v>
      </c>
      <c r="G10" s="5" t="str">
        <f t="shared" si="0"/>
        <v>rf.a.5.on</v>
      </c>
      <c r="H10" s="5" t="str">
        <f t="shared" si="1"/>
        <v>ffd54c</v>
      </c>
      <c r="I10" s="5" t="str">
        <f t="shared" si="2"/>
        <v>0xffd54c</v>
      </c>
      <c r="J10" s="5" t="str">
        <f t="shared" si="3"/>
        <v>rf.a.5.on=ffd54c</v>
      </c>
      <c r="P10" t="s">
        <v>91</v>
      </c>
      <c r="T10">
        <v>1450</v>
      </c>
    </row>
    <row r="11" spans="1:20" x14ac:dyDescent="0.3">
      <c r="A11" s="6" t="s">
        <v>82</v>
      </c>
      <c r="B11" s="6">
        <v>5</v>
      </c>
      <c r="C11" s="6" t="s">
        <v>66</v>
      </c>
      <c r="D11" s="5" t="s">
        <v>109</v>
      </c>
      <c r="E11" s="5">
        <v>1540</v>
      </c>
      <c r="F11" s="5">
        <v>1</v>
      </c>
      <c r="G11" s="5" t="str">
        <f t="shared" si="0"/>
        <v>rf.a.5.off</v>
      </c>
      <c r="H11" s="5" t="str">
        <f t="shared" si="1"/>
        <v>ffd54a</v>
      </c>
      <c r="I11" s="5" t="str">
        <f t="shared" si="2"/>
        <v>0xffd54a</v>
      </c>
      <c r="J11" s="5" t="str">
        <f t="shared" si="3"/>
        <v>rf.a.5.off=ffd54a</v>
      </c>
      <c r="P11" t="s">
        <v>92</v>
      </c>
      <c r="T11">
        <v>1510</v>
      </c>
    </row>
    <row r="12" spans="1:20" x14ac:dyDescent="0.3">
      <c r="A12" s="6" t="s">
        <v>83</v>
      </c>
      <c r="B12" s="6">
        <v>1</v>
      </c>
      <c r="C12" s="6" t="s">
        <v>65</v>
      </c>
      <c r="D12" s="5" t="s">
        <v>97</v>
      </c>
      <c r="E12" s="5">
        <v>550</v>
      </c>
      <c r="F12" s="5">
        <v>4</v>
      </c>
      <c r="G12" s="5" t="str">
        <f t="shared" si="0"/>
        <v>rf.b.1.on</v>
      </c>
      <c r="H12" s="5" t="str">
        <f t="shared" si="1"/>
        <v>7fc554</v>
      </c>
      <c r="I12" s="5" t="str">
        <f t="shared" si="2"/>
        <v>0x7fc554</v>
      </c>
      <c r="J12" s="5" t="str">
        <f t="shared" si="3"/>
        <v>rf.b.1.on=7fc554</v>
      </c>
      <c r="P12" t="s">
        <v>93</v>
      </c>
      <c r="T12">
        <v>1540</v>
      </c>
    </row>
    <row r="13" spans="1:20" x14ac:dyDescent="0.3">
      <c r="A13" s="6" t="s">
        <v>83</v>
      </c>
      <c r="B13" s="6">
        <v>1</v>
      </c>
      <c r="C13" s="6" t="s">
        <v>66</v>
      </c>
      <c r="D13" s="5" t="s">
        <v>97</v>
      </c>
      <c r="E13" s="5">
        <v>550</v>
      </c>
      <c r="F13" s="5">
        <v>1</v>
      </c>
      <c r="G13" s="5" t="str">
        <f t="shared" si="0"/>
        <v>rf.b.1.off</v>
      </c>
      <c r="H13" s="5" t="str">
        <f t="shared" si="1"/>
        <v>7fc551</v>
      </c>
      <c r="I13" s="5" t="str">
        <f t="shared" si="2"/>
        <v>0x7fc551</v>
      </c>
      <c r="J13" s="5" t="str">
        <f t="shared" si="3"/>
        <v>rf.b.1.off=7fc551</v>
      </c>
    </row>
    <row r="14" spans="1:20" x14ac:dyDescent="0.3">
      <c r="A14" s="6" t="s">
        <v>83</v>
      </c>
      <c r="B14" s="6">
        <v>2</v>
      </c>
      <c r="C14" s="6" t="s">
        <v>65</v>
      </c>
      <c r="D14" s="5" t="s">
        <v>97</v>
      </c>
      <c r="E14" s="5">
        <v>1150</v>
      </c>
      <c r="F14" s="5">
        <v>4</v>
      </c>
      <c r="G14" s="5" t="str">
        <f t="shared" si="0"/>
        <v>rf.b.2.on</v>
      </c>
      <c r="H14" s="5" t="str">
        <f t="shared" si="1"/>
        <v>7fd154</v>
      </c>
      <c r="I14" s="5" t="str">
        <f t="shared" si="2"/>
        <v>0x7fd154</v>
      </c>
      <c r="J14" s="5" t="str">
        <f t="shared" si="3"/>
        <v>rf.b.2.on=7fd154</v>
      </c>
      <c r="P14" t="s">
        <v>94</v>
      </c>
      <c r="T14">
        <v>4</v>
      </c>
    </row>
    <row r="15" spans="1:20" x14ac:dyDescent="0.3">
      <c r="A15" s="6" t="s">
        <v>83</v>
      </c>
      <c r="B15" s="6">
        <v>2</v>
      </c>
      <c r="C15" s="6" t="s">
        <v>66</v>
      </c>
      <c r="D15" s="5" t="s">
        <v>97</v>
      </c>
      <c r="E15" s="5">
        <v>1150</v>
      </c>
      <c r="F15" s="5">
        <v>1</v>
      </c>
      <c r="G15" s="5" t="str">
        <f t="shared" si="0"/>
        <v>rf.b.2.off</v>
      </c>
      <c r="H15" s="5" t="str">
        <f t="shared" si="1"/>
        <v>7fd151</v>
      </c>
      <c r="I15" s="5" t="str">
        <f t="shared" si="2"/>
        <v>0x7fd151</v>
      </c>
      <c r="J15" s="5" t="str">
        <f t="shared" si="3"/>
        <v>rf.b.2.off=7fd151</v>
      </c>
      <c r="P15" t="s">
        <v>95</v>
      </c>
      <c r="T15">
        <v>1</v>
      </c>
    </row>
    <row r="16" spans="1:20" x14ac:dyDescent="0.3">
      <c r="A16" s="6" t="s">
        <v>83</v>
      </c>
      <c r="B16" s="6">
        <v>3</v>
      </c>
      <c r="C16" s="6" t="s">
        <v>65</v>
      </c>
      <c r="D16" s="5" t="s">
        <v>97</v>
      </c>
      <c r="E16" s="5">
        <v>1450</v>
      </c>
      <c r="F16" s="5">
        <v>4</v>
      </c>
      <c r="G16" s="5" t="str">
        <f t="shared" si="0"/>
        <v>rf.b.3.on</v>
      </c>
      <c r="H16" s="5" t="str">
        <f t="shared" si="1"/>
        <v>7fd454</v>
      </c>
      <c r="I16" s="5" t="str">
        <f t="shared" si="2"/>
        <v>0x7fd454</v>
      </c>
      <c r="J16" s="5" t="str">
        <f t="shared" si="3"/>
        <v>rf.b.3.on=7fd454</v>
      </c>
    </row>
    <row r="17" spans="1:10" x14ac:dyDescent="0.3">
      <c r="A17" s="6" t="s">
        <v>83</v>
      </c>
      <c r="B17" s="6">
        <v>3</v>
      </c>
      <c r="C17" s="6" t="s">
        <v>66</v>
      </c>
      <c r="D17" s="5" t="s">
        <v>97</v>
      </c>
      <c r="E17" s="5">
        <v>1450</v>
      </c>
      <c r="F17" s="5">
        <v>1</v>
      </c>
      <c r="G17" s="5" t="str">
        <f t="shared" si="0"/>
        <v>rf.b.3.off</v>
      </c>
      <c r="H17" s="5" t="str">
        <f t="shared" si="1"/>
        <v>7fd451</v>
      </c>
      <c r="I17" s="5" t="str">
        <f t="shared" si="2"/>
        <v>0x7fd451</v>
      </c>
      <c r="J17" s="5" t="str">
        <f t="shared" si="3"/>
        <v>rf.b.3.off=7fd451</v>
      </c>
    </row>
    <row r="18" spans="1:10" x14ac:dyDescent="0.3">
      <c r="A18" s="6" t="s">
        <v>83</v>
      </c>
      <c r="B18" s="6">
        <v>4</v>
      </c>
      <c r="C18" s="6" t="s">
        <v>65</v>
      </c>
      <c r="D18" s="5" t="s">
        <v>97</v>
      </c>
      <c r="E18" s="5">
        <v>1510</v>
      </c>
      <c r="F18" s="5">
        <v>4</v>
      </c>
      <c r="G18" s="5" t="str">
        <f t="shared" si="0"/>
        <v>rf.b.4.on</v>
      </c>
      <c r="H18" s="5" t="str">
        <f t="shared" si="1"/>
        <v>7fd514</v>
      </c>
      <c r="I18" s="5" t="str">
        <f t="shared" si="2"/>
        <v>0x7fd514</v>
      </c>
      <c r="J18" s="5" t="str">
        <f t="shared" si="3"/>
        <v>rf.b.4.on=7fd514</v>
      </c>
    </row>
    <row r="19" spans="1:10" x14ac:dyDescent="0.3">
      <c r="A19" s="6" t="s">
        <v>83</v>
      </c>
      <c r="B19" s="6">
        <v>4</v>
      </c>
      <c r="C19" s="6" t="s">
        <v>66</v>
      </c>
      <c r="D19" s="5" t="s">
        <v>97</v>
      </c>
      <c r="E19" s="5">
        <v>1510</v>
      </c>
      <c r="F19" s="5">
        <v>1</v>
      </c>
      <c r="G19" s="5" t="str">
        <f t="shared" si="0"/>
        <v>rf.b.4.off</v>
      </c>
      <c r="H19" s="5" t="str">
        <f t="shared" si="1"/>
        <v>7fd511</v>
      </c>
      <c r="I19" s="5" t="str">
        <f t="shared" si="2"/>
        <v>0x7fd511</v>
      </c>
      <c r="J19" s="5" t="str">
        <f t="shared" si="3"/>
        <v>rf.b.4.off=7fd511</v>
      </c>
    </row>
    <row r="20" spans="1:10" x14ac:dyDescent="0.3">
      <c r="A20" s="6" t="s">
        <v>83</v>
      </c>
      <c r="B20" s="6">
        <v>5</v>
      </c>
      <c r="C20" s="6" t="s">
        <v>65</v>
      </c>
      <c r="D20" s="5" t="s">
        <v>97</v>
      </c>
      <c r="E20" s="5">
        <v>1540</v>
      </c>
      <c r="F20" s="5">
        <v>4</v>
      </c>
      <c r="G20" s="5" t="str">
        <f t="shared" si="0"/>
        <v>rf.b.5.on</v>
      </c>
      <c r="H20" s="5" t="str">
        <f t="shared" si="1"/>
        <v>7fd544</v>
      </c>
      <c r="I20" s="5" t="str">
        <f t="shared" si="2"/>
        <v>0x7fd544</v>
      </c>
      <c r="J20" s="5" t="str">
        <f t="shared" si="3"/>
        <v>rf.b.5.on=7fd544</v>
      </c>
    </row>
    <row r="21" spans="1:10" x14ac:dyDescent="0.3">
      <c r="A21" s="6" t="s">
        <v>83</v>
      </c>
      <c r="B21" s="6">
        <v>5</v>
      </c>
      <c r="C21" s="6" t="s">
        <v>66</v>
      </c>
      <c r="D21" s="5" t="s">
        <v>97</v>
      </c>
      <c r="E21" s="5">
        <v>1540</v>
      </c>
      <c r="F21" s="5">
        <v>1</v>
      </c>
      <c r="G21" s="5" t="str">
        <f t="shared" si="0"/>
        <v>rf.b.5.off</v>
      </c>
      <c r="H21" s="5" t="str">
        <f t="shared" si="1"/>
        <v>7fd541</v>
      </c>
      <c r="I21" s="5" t="str">
        <f t="shared" si="2"/>
        <v>0x7fd541</v>
      </c>
      <c r="J21" s="5" t="str">
        <f t="shared" si="3"/>
        <v>rf.b.5.off=7fd541</v>
      </c>
    </row>
    <row r="22" spans="1:10" x14ac:dyDescent="0.3">
      <c r="A22" s="6" t="s">
        <v>110</v>
      </c>
      <c r="B22" s="6">
        <v>1</v>
      </c>
      <c r="C22" s="6" t="s">
        <v>65</v>
      </c>
      <c r="D22" s="5" t="s">
        <v>98</v>
      </c>
      <c r="E22" s="5">
        <v>550</v>
      </c>
      <c r="F22" s="5">
        <v>4</v>
      </c>
      <c r="G22" s="5" t="str">
        <f t="shared" si="0"/>
        <v>rf.c.1.on</v>
      </c>
      <c r="H22" s="5" t="str">
        <f t="shared" si="1"/>
        <v>bfc554</v>
      </c>
      <c r="I22" s="5" t="str">
        <f t="shared" si="2"/>
        <v>0xbfc554</v>
      </c>
      <c r="J22" s="5" t="str">
        <f t="shared" si="3"/>
        <v>rf.c.1.on=bfc554</v>
      </c>
    </row>
    <row r="23" spans="1:10" x14ac:dyDescent="0.3">
      <c r="A23" s="6" t="s">
        <v>110</v>
      </c>
      <c r="B23" s="6">
        <v>1</v>
      </c>
      <c r="C23" s="6" t="s">
        <v>66</v>
      </c>
      <c r="D23" s="5" t="s">
        <v>98</v>
      </c>
      <c r="E23" s="5">
        <v>550</v>
      </c>
      <c r="F23" s="5">
        <v>1</v>
      </c>
      <c r="G23" s="5" t="str">
        <f t="shared" si="0"/>
        <v>rf.c.1.off</v>
      </c>
      <c r="H23" s="5" t="str">
        <f t="shared" si="1"/>
        <v>bfc551</v>
      </c>
      <c r="I23" s="5" t="str">
        <f t="shared" si="2"/>
        <v>0xbfc551</v>
      </c>
      <c r="J23" s="5" t="str">
        <f t="shared" si="3"/>
        <v>rf.c.1.off=bfc551</v>
      </c>
    </row>
    <row r="24" spans="1:10" x14ac:dyDescent="0.3">
      <c r="A24" s="6" t="s">
        <v>110</v>
      </c>
      <c r="B24" s="6">
        <v>2</v>
      </c>
      <c r="C24" s="6" t="s">
        <v>65</v>
      </c>
      <c r="D24" s="5" t="s">
        <v>98</v>
      </c>
      <c r="E24" s="5">
        <v>1150</v>
      </c>
      <c r="F24" s="5">
        <v>4</v>
      </c>
      <c r="G24" s="5" t="str">
        <f t="shared" si="0"/>
        <v>rf.c.2.on</v>
      </c>
      <c r="H24" s="5" t="str">
        <f t="shared" si="1"/>
        <v>bfd154</v>
      </c>
      <c r="I24" s="5" t="str">
        <f t="shared" si="2"/>
        <v>0xbfd154</v>
      </c>
      <c r="J24" s="5" t="str">
        <f t="shared" si="3"/>
        <v>rf.c.2.on=bfd154</v>
      </c>
    </row>
    <row r="25" spans="1:10" x14ac:dyDescent="0.3">
      <c r="A25" s="6" t="s">
        <v>110</v>
      </c>
      <c r="B25" s="6">
        <v>2</v>
      </c>
      <c r="C25" s="6" t="s">
        <v>66</v>
      </c>
      <c r="D25" s="5" t="s">
        <v>98</v>
      </c>
      <c r="E25" s="5">
        <v>1150</v>
      </c>
      <c r="F25" s="5">
        <v>1</v>
      </c>
      <c r="G25" s="5" t="str">
        <f t="shared" si="0"/>
        <v>rf.c.2.off</v>
      </c>
      <c r="H25" s="5" t="str">
        <f t="shared" si="1"/>
        <v>bfd151</v>
      </c>
      <c r="I25" s="5" t="str">
        <f t="shared" si="2"/>
        <v>0xbfd151</v>
      </c>
      <c r="J25" s="5" t="str">
        <f t="shared" si="3"/>
        <v>rf.c.2.off=bfd151</v>
      </c>
    </row>
    <row r="26" spans="1:10" x14ac:dyDescent="0.3">
      <c r="A26" s="6" t="s">
        <v>110</v>
      </c>
      <c r="B26" s="6">
        <v>3</v>
      </c>
      <c r="C26" s="6" t="s">
        <v>65</v>
      </c>
      <c r="D26" s="5" t="s">
        <v>98</v>
      </c>
      <c r="E26" s="5">
        <v>1450</v>
      </c>
      <c r="F26" s="5">
        <v>4</v>
      </c>
      <c r="G26" s="5" t="str">
        <f t="shared" si="0"/>
        <v>rf.c.3.on</v>
      </c>
      <c r="H26" s="5" t="str">
        <f t="shared" si="1"/>
        <v>bfd454</v>
      </c>
      <c r="I26" s="5" t="str">
        <f t="shared" si="2"/>
        <v>0xbfd454</v>
      </c>
      <c r="J26" s="5" t="str">
        <f t="shared" si="3"/>
        <v>rf.c.3.on=bfd454</v>
      </c>
    </row>
    <row r="27" spans="1:10" x14ac:dyDescent="0.3">
      <c r="A27" s="6" t="s">
        <v>110</v>
      </c>
      <c r="B27" s="6">
        <v>3</v>
      </c>
      <c r="C27" s="6" t="s">
        <v>66</v>
      </c>
      <c r="D27" s="5" t="s">
        <v>98</v>
      </c>
      <c r="E27" s="5">
        <v>1450</v>
      </c>
      <c r="F27" s="5">
        <v>1</v>
      </c>
      <c r="G27" s="5" t="str">
        <f t="shared" si="0"/>
        <v>rf.c.3.off</v>
      </c>
      <c r="H27" s="5" t="str">
        <f t="shared" si="1"/>
        <v>bfd451</v>
      </c>
      <c r="I27" s="5" t="str">
        <f t="shared" si="2"/>
        <v>0xbfd451</v>
      </c>
      <c r="J27" s="5" t="str">
        <f t="shared" si="3"/>
        <v>rf.c.3.off=bfd451</v>
      </c>
    </row>
    <row r="28" spans="1:10" x14ac:dyDescent="0.3">
      <c r="A28" s="6" t="s">
        <v>110</v>
      </c>
      <c r="B28" s="6">
        <v>4</v>
      </c>
      <c r="C28" s="6" t="s">
        <v>65</v>
      </c>
      <c r="D28" s="5" t="s">
        <v>98</v>
      </c>
      <c r="E28" s="5">
        <v>1510</v>
      </c>
      <c r="F28" s="5">
        <v>4</v>
      </c>
      <c r="G28" s="5" t="str">
        <f t="shared" si="0"/>
        <v>rf.c.4.on</v>
      </c>
      <c r="H28" s="5" t="str">
        <f t="shared" si="1"/>
        <v>bfd514</v>
      </c>
      <c r="I28" s="5" t="str">
        <f t="shared" si="2"/>
        <v>0xbfd514</v>
      </c>
      <c r="J28" s="5" t="str">
        <f t="shared" si="3"/>
        <v>rf.c.4.on=bfd514</v>
      </c>
    </row>
    <row r="29" spans="1:10" x14ac:dyDescent="0.3">
      <c r="A29" s="6" t="s">
        <v>110</v>
      </c>
      <c r="B29" s="6">
        <v>4</v>
      </c>
      <c r="C29" s="6" t="s">
        <v>66</v>
      </c>
      <c r="D29" s="5" t="s">
        <v>98</v>
      </c>
      <c r="E29" s="5">
        <v>1510</v>
      </c>
      <c r="F29" s="5">
        <v>1</v>
      </c>
      <c r="G29" s="5" t="str">
        <f t="shared" si="0"/>
        <v>rf.c.4.off</v>
      </c>
      <c r="H29" s="5" t="str">
        <f t="shared" si="1"/>
        <v>bfd511</v>
      </c>
      <c r="I29" s="5" t="str">
        <f t="shared" si="2"/>
        <v>0xbfd511</v>
      </c>
      <c r="J29" s="5" t="str">
        <f t="shared" si="3"/>
        <v>rf.c.4.off=bfd511</v>
      </c>
    </row>
    <row r="30" spans="1:10" x14ac:dyDescent="0.3">
      <c r="A30" s="6" t="s">
        <v>110</v>
      </c>
      <c r="B30" s="6">
        <v>5</v>
      </c>
      <c r="C30" s="6" t="s">
        <v>65</v>
      </c>
      <c r="D30" s="5" t="s">
        <v>98</v>
      </c>
      <c r="E30" s="5">
        <v>1540</v>
      </c>
      <c r="F30" s="5">
        <v>4</v>
      </c>
      <c r="G30" s="5" t="str">
        <f t="shared" si="0"/>
        <v>rf.c.5.on</v>
      </c>
      <c r="H30" s="5" t="str">
        <f t="shared" si="1"/>
        <v>bfd544</v>
      </c>
      <c r="I30" s="5" t="str">
        <f t="shared" si="2"/>
        <v>0xbfd544</v>
      </c>
      <c r="J30" s="5" t="str">
        <f t="shared" si="3"/>
        <v>rf.c.5.on=bfd544</v>
      </c>
    </row>
    <row r="31" spans="1:10" x14ac:dyDescent="0.3">
      <c r="A31" s="6" t="s">
        <v>110</v>
      </c>
      <c r="B31" s="6">
        <v>5</v>
      </c>
      <c r="C31" s="6" t="s">
        <v>66</v>
      </c>
      <c r="D31" s="5" t="s">
        <v>98</v>
      </c>
      <c r="E31" s="5">
        <v>1540</v>
      </c>
      <c r="F31" s="5">
        <v>1</v>
      </c>
      <c r="G31" s="5" t="str">
        <f t="shared" si="0"/>
        <v>rf.c.5.off</v>
      </c>
      <c r="H31" s="5" t="str">
        <f t="shared" si="1"/>
        <v>bfd541</v>
      </c>
      <c r="I31" s="5" t="str">
        <f t="shared" si="2"/>
        <v>0xbfd541</v>
      </c>
      <c r="J31" s="5" t="str">
        <f t="shared" si="3"/>
        <v>rf.c.5.off=bfd541</v>
      </c>
    </row>
    <row r="32" spans="1:10" x14ac:dyDescent="0.3">
      <c r="A32" s="6" t="s">
        <v>111</v>
      </c>
      <c r="B32" s="6">
        <v>1</v>
      </c>
      <c r="C32" s="6" t="s">
        <v>65</v>
      </c>
      <c r="D32" s="5" t="s">
        <v>99</v>
      </c>
      <c r="E32" s="5">
        <v>550</v>
      </c>
      <c r="F32" s="5">
        <v>4</v>
      </c>
      <c r="G32" s="5" t="str">
        <f t="shared" si="0"/>
        <v>rf.d.1.on</v>
      </c>
      <c r="H32" s="5" t="str">
        <f t="shared" si="1"/>
        <v>dfc554</v>
      </c>
      <c r="I32" s="5" t="str">
        <f t="shared" si="2"/>
        <v>0xdfc554</v>
      </c>
      <c r="J32" s="5" t="str">
        <f t="shared" si="3"/>
        <v>rf.d.1.on=dfc554</v>
      </c>
    </row>
    <row r="33" spans="1:10" x14ac:dyDescent="0.3">
      <c r="A33" s="6" t="s">
        <v>111</v>
      </c>
      <c r="B33" s="6">
        <v>1</v>
      </c>
      <c r="C33" s="6" t="s">
        <v>66</v>
      </c>
      <c r="D33" s="5" t="s">
        <v>99</v>
      </c>
      <c r="E33" s="5">
        <v>550</v>
      </c>
      <c r="F33" s="5">
        <v>1</v>
      </c>
      <c r="G33" s="5" t="str">
        <f t="shared" si="0"/>
        <v>rf.d.1.off</v>
      </c>
      <c r="H33" s="5" t="str">
        <f t="shared" si="1"/>
        <v>dfc551</v>
      </c>
      <c r="I33" s="5" t="str">
        <f t="shared" si="2"/>
        <v>0xdfc551</v>
      </c>
      <c r="J33" s="5" t="str">
        <f t="shared" si="3"/>
        <v>rf.d.1.off=dfc551</v>
      </c>
    </row>
    <row r="34" spans="1:10" x14ac:dyDescent="0.3">
      <c r="A34" s="6" t="s">
        <v>111</v>
      </c>
      <c r="B34" s="6">
        <v>2</v>
      </c>
      <c r="C34" s="6" t="s">
        <v>65</v>
      </c>
      <c r="D34" s="5" t="s">
        <v>99</v>
      </c>
      <c r="E34" s="5">
        <v>1150</v>
      </c>
      <c r="F34" s="5">
        <v>4</v>
      </c>
      <c r="G34" s="5" t="str">
        <f t="shared" ref="G34:G51" si="4">"rf."&amp;A34&amp;"."&amp;B34&amp;"."&amp;C34</f>
        <v>rf.d.2.on</v>
      </c>
      <c r="H34" s="5" t="str">
        <f t="shared" si="1"/>
        <v>dfd154</v>
      </c>
      <c r="I34" s="5" t="str">
        <f t="shared" si="2"/>
        <v>0xdfd154</v>
      </c>
      <c r="J34" s="5" t="str">
        <f t="shared" si="3"/>
        <v>rf.d.2.on=dfd154</v>
      </c>
    </row>
    <row r="35" spans="1:10" x14ac:dyDescent="0.3">
      <c r="A35" s="6" t="s">
        <v>111</v>
      </c>
      <c r="B35" s="6">
        <v>2</v>
      </c>
      <c r="C35" s="6" t="s">
        <v>66</v>
      </c>
      <c r="D35" s="5" t="s">
        <v>99</v>
      </c>
      <c r="E35" s="5">
        <v>1150</v>
      </c>
      <c r="F35" s="5">
        <v>1</v>
      </c>
      <c r="G35" s="5" t="str">
        <f t="shared" si="4"/>
        <v>rf.d.2.off</v>
      </c>
      <c r="H35" s="5" t="str">
        <f t="shared" si="1"/>
        <v>dfd151</v>
      </c>
      <c r="I35" s="5" t="str">
        <f t="shared" si="2"/>
        <v>0xdfd151</v>
      </c>
      <c r="J35" s="5" t="str">
        <f t="shared" si="3"/>
        <v>rf.d.2.off=dfd151</v>
      </c>
    </row>
    <row r="36" spans="1:10" x14ac:dyDescent="0.3">
      <c r="A36" s="6" t="s">
        <v>111</v>
      </c>
      <c r="B36" s="6">
        <v>3</v>
      </c>
      <c r="C36" s="6" t="s">
        <v>65</v>
      </c>
      <c r="D36" s="5" t="s">
        <v>99</v>
      </c>
      <c r="E36" s="5">
        <v>1450</v>
      </c>
      <c r="F36" s="5">
        <v>4</v>
      </c>
      <c r="G36" s="5" t="str">
        <f t="shared" si="4"/>
        <v>rf.d.3.on</v>
      </c>
      <c r="H36" s="5" t="str">
        <f t="shared" si="1"/>
        <v>dfd454</v>
      </c>
      <c r="I36" s="5" t="str">
        <f t="shared" si="2"/>
        <v>0xdfd454</v>
      </c>
      <c r="J36" s="5" t="str">
        <f t="shared" si="3"/>
        <v>rf.d.3.on=dfd454</v>
      </c>
    </row>
    <row r="37" spans="1:10" x14ac:dyDescent="0.3">
      <c r="A37" s="6" t="s">
        <v>111</v>
      </c>
      <c r="B37" s="6">
        <v>3</v>
      </c>
      <c r="C37" s="6" t="s">
        <v>66</v>
      </c>
      <c r="D37" s="5" t="s">
        <v>99</v>
      </c>
      <c r="E37" s="5">
        <v>1450</v>
      </c>
      <c r="F37" s="5">
        <v>1</v>
      </c>
      <c r="G37" s="5" t="str">
        <f t="shared" si="4"/>
        <v>rf.d.3.off</v>
      </c>
      <c r="H37" s="5" t="str">
        <f t="shared" si="1"/>
        <v>dfd451</v>
      </c>
      <c r="I37" s="5" t="str">
        <f t="shared" si="2"/>
        <v>0xdfd451</v>
      </c>
      <c r="J37" s="5" t="str">
        <f t="shared" si="3"/>
        <v>rf.d.3.off=dfd451</v>
      </c>
    </row>
    <row r="38" spans="1:10" x14ac:dyDescent="0.3">
      <c r="A38" s="6" t="s">
        <v>111</v>
      </c>
      <c r="B38" s="6">
        <v>4</v>
      </c>
      <c r="C38" s="6" t="s">
        <v>65</v>
      </c>
      <c r="D38" s="5" t="s">
        <v>99</v>
      </c>
      <c r="E38" s="5">
        <v>1510</v>
      </c>
      <c r="F38" s="5">
        <v>4</v>
      </c>
      <c r="G38" s="5" t="str">
        <f t="shared" si="4"/>
        <v>rf.d.4.on</v>
      </c>
      <c r="H38" s="5" t="str">
        <f t="shared" si="1"/>
        <v>dfd514</v>
      </c>
      <c r="I38" s="5" t="str">
        <f t="shared" si="2"/>
        <v>0xdfd514</v>
      </c>
      <c r="J38" s="5" t="str">
        <f t="shared" si="3"/>
        <v>rf.d.4.on=dfd514</v>
      </c>
    </row>
    <row r="39" spans="1:10" x14ac:dyDescent="0.3">
      <c r="A39" s="6" t="s">
        <v>111</v>
      </c>
      <c r="B39" s="6">
        <v>4</v>
      </c>
      <c r="C39" s="6" t="s">
        <v>66</v>
      </c>
      <c r="D39" s="5" t="s">
        <v>99</v>
      </c>
      <c r="E39" s="5">
        <v>1510</v>
      </c>
      <c r="F39" s="5">
        <v>1</v>
      </c>
      <c r="G39" s="5" t="str">
        <f t="shared" si="4"/>
        <v>rf.d.4.off</v>
      </c>
      <c r="H39" s="5" t="str">
        <f t="shared" si="1"/>
        <v>dfd511</v>
      </c>
      <c r="I39" s="5" t="str">
        <f t="shared" si="2"/>
        <v>0xdfd511</v>
      </c>
      <c r="J39" s="5" t="str">
        <f t="shared" si="3"/>
        <v>rf.d.4.off=dfd511</v>
      </c>
    </row>
    <row r="40" spans="1:10" x14ac:dyDescent="0.3">
      <c r="A40" s="6" t="s">
        <v>111</v>
      </c>
      <c r="B40" s="6">
        <v>5</v>
      </c>
      <c r="C40" s="6" t="s">
        <v>65</v>
      </c>
      <c r="D40" s="5" t="s">
        <v>99</v>
      </c>
      <c r="E40" s="5">
        <v>1540</v>
      </c>
      <c r="F40" s="5">
        <v>4</v>
      </c>
      <c r="G40" s="5" t="str">
        <f t="shared" si="4"/>
        <v>rf.d.5.on</v>
      </c>
      <c r="H40" s="5" t="str">
        <f t="shared" si="1"/>
        <v>dfd544</v>
      </c>
      <c r="I40" s="5" t="str">
        <f t="shared" si="2"/>
        <v>0xdfd544</v>
      </c>
      <c r="J40" s="5" t="str">
        <f t="shared" si="3"/>
        <v>rf.d.5.on=dfd544</v>
      </c>
    </row>
    <row r="41" spans="1:10" x14ac:dyDescent="0.3">
      <c r="A41" s="6" t="s">
        <v>111</v>
      </c>
      <c r="B41" s="6">
        <v>5</v>
      </c>
      <c r="C41" s="6" t="s">
        <v>66</v>
      </c>
      <c r="D41" s="5" t="s">
        <v>99</v>
      </c>
      <c r="E41" s="5">
        <v>1540</v>
      </c>
      <c r="F41" s="5">
        <v>1</v>
      </c>
      <c r="G41" s="5" t="str">
        <f t="shared" si="4"/>
        <v>rf.d.5.off</v>
      </c>
      <c r="H41" s="5" t="str">
        <f t="shared" si="1"/>
        <v>dfd541</v>
      </c>
      <c r="I41" s="5" t="str">
        <f t="shared" si="2"/>
        <v>0xdfd541</v>
      </c>
      <c r="J41" s="5" t="str">
        <f t="shared" si="3"/>
        <v>rf.d.5.off=dfd541</v>
      </c>
    </row>
    <row r="42" spans="1:10" x14ac:dyDescent="0.3">
      <c r="A42" s="6" t="s">
        <v>112</v>
      </c>
      <c r="B42" s="6">
        <v>1</v>
      </c>
      <c r="C42" s="6" t="s">
        <v>65</v>
      </c>
      <c r="D42" s="5" t="s">
        <v>100</v>
      </c>
      <c r="E42" s="5">
        <v>550</v>
      </c>
      <c r="F42" s="5">
        <v>4</v>
      </c>
      <c r="G42" s="5" t="str">
        <f t="shared" si="4"/>
        <v>rf.e.1.on</v>
      </c>
      <c r="H42" s="5" t="str">
        <f t="shared" si="1"/>
        <v>efc554</v>
      </c>
      <c r="I42" s="5" t="str">
        <f t="shared" si="2"/>
        <v>0xefc554</v>
      </c>
      <c r="J42" s="5" t="str">
        <f t="shared" si="3"/>
        <v>rf.e.1.on=efc554</v>
      </c>
    </row>
    <row r="43" spans="1:10" x14ac:dyDescent="0.3">
      <c r="A43" s="6" t="s">
        <v>112</v>
      </c>
      <c r="B43" s="6">
        <v>1</v>
      </c>
      <c r="C43" s="6" t="s">
        <v>66</v>
      </c>
      <c r="D43" s="5" t="s">
        <v>100</v>
      </c>
      <c r="E43" s="5">
        <v>550</v>
      </c>
      <c r="F43" s="5">
        <v>1</v>
      </c>
      <c r="G43" s="5" t="str">
        <f t="shared" si="4"/>
        <v>rf.e.1.off</v>
      </c>
      <c r="H43" s="5" t="str">
        <f t="shared" si="1"/>
        <v>efc551</v>
      </c>
      <c r="I43" s="5" t="str">
        <f t="shared" si="2"/>
        <v>0xefc551</v>
      </c>
      <c r="J43" s="5" t="str">
        <f t="shared" si="3"/>
        <v>rf.e.1.off=efc551</v>
      </c>
    </row>
    <row r="44" spans="1:10" x14ac:dyDescent="0.3">
      <c r="A44" s="6" t="s">
        <v>112</v>
      </c>
      <c r="B44" s="6">
        <v>2</v>
      </c>
      <c r="C44" s="6" t="s">
        <v>65</v>
      </c>
      <c r="D44" s="5" t="s">
        <v>100</v>
      </c>
      <c r="E44" s="5">
        <v>1150</v>
      </c>
      <c r="F44" s="5">
        <v>4</v>
      </c>
      <c r="G44" s="5" t="str">
        <f t="shared" si="4"/>
        <v>rf.e.2.on</v>
      </c>
      <c r="H44" s="5" t="str">
        <f t="shared" si="1"/>
        <v>efd154</v>
      </c>
      <c r="I44" s="5" t="str">
        <f t="shared" si="2"/>
        <v>0xefd154</v>
      </c>
      <c r="J44" s="5" t="str">
        <f t="shared" si="3"/>
        <v>rf.e.2.on=efd154</v>
      </c>
    </row>
    <row r="45" spans="1:10" x14ac:dyDescent="0.3">
      <c r="A45" s="6" t="s">
        <v>112</v>
      </c>
      <c r="B45" s="6">
        <v>2</v>
      </c>
      <c r="C45" s="6" t="s">
        <v>66</v>
      </c>
      <c r="D45" s="5" t="s">
        <v>100</v>
      </c>
      <c r="E45" s="5">
        <v>1150</v>
      </c>
      <c r="F45" s="5">
        <v>1</v>
      </c>
      <c r="G45" s="5" t="str">
        <f t="shared" si="4"/>
        <v>rf.e.2.off</v>
      </c>
      <c r="H45" s="5" t="str">
        <f t="shared" si="1"/>
        <v>efd151</v>
      </c>
      <c r="I45" s="5" t="str">
        <f t="shared" si="2"/>
        <v>0xefd151</v>
      </c>
      <c r="J45" s="5" t="str">
        <f t="shared" si="3"/>
        <v>rf.e.2.off=efd151</v>
      </c>
    </row>
    <row r="46" spans="1:10" x14ac:dyDescent="0.3">
      <c r="A46" s="6" t="s">
        <v>112</v>
      </c>
      <c r="B46" s="6">
        <v>3</v>
      </c>
      <c r="C46" s="6" t="s">
        <v>65</v>
      </c>
      <c r="D46" s="5" t="s">
        <v>100</v>
      </c>
      <c r="E46" s="5">
        <v>1450</v>
      </c>
      <c r="F46" s="5">
        <v>4</v>
      </c>
      <c r="G46" s="5" t="str">
        <f t="shared" si="4"/>
        <v>rf.e.3.on</v>
      </c>
      <c r="H46" s="5" t="str">
        <f t="shared" si="1"/>
        <v>efd454</v>
      </c>
      <c r="I46" s="5" t="str">
        <f t="shared" si="2"/>
        <v>0xefd454</v>
      </c>
      <c r="J46" s="5" t="str">
        <f t="shared" si="3"/>
        <v>rf.e.3.on=efd454</v>
      </c>
    </row>
    <row r="47" spans="1:10" x14ac:dyDescent="0.3">
      <c r="A47" s="6" t="s">
        <v>112</v>
      </c>
      <c r="B47" s="6">
        <v>3</v>
      </c>
      <c r="C47" s="6" t="s">
        <v>66</v>
      </c>
      <c r="D47" s="5" t="s">
        <v>100</v>
      </c>
      <c r="E47" s="5">
        <v>1450</v>
      </c>
      <c r="F47" s="5">
        <v>1</v>
      </c>
      <c r="G47" s="5" t="str">
        <f t="shared" si="4"/>
        <v>rf.e.3.off</v>
      </c>
      <c r="H47" s="5" t="str">
        <f t="shared" si="1"/>
        <v>efd451</v>
      </c>
      <c r="I47" s="5" t="str">
        <f t="shared" si="2"/>
        <v>0xefd451</v>
      </c>
      <c r="J47" s="5" t="str">
        <f t="shared" si="3"/>
        <v>rf.e.3.off=efd451</v>
      </c>
    </row>
    <row r="48" spans="1:10" x14ac:dyDescent="0.3">
      <c r="A48" s="6" t="s">
        <v>112</v>
      </c>
      <c r="B48" s="6">
        <v>4</v>
      </c>
      <c r="C48" s="6" t="s">
        <v>65</v>
      </c>
      <c r="D48" s="5" t="s">
        <v>100</v>
      </c>
      <c r="E48" s="5">
        <v>1510</v>
      </c>
      <c r="F48" s="5">
        <v>4</v>
      </c>
      <c r="G48" s="5" t="str">
        <f t="shared" si="4"/>
        <v>rf.e.4.on</v>
      </c>
      <c r="H48" s="5" t="str">
        <f t="shared" si="1"/>
        <v>efd514</v>
      </c>
      <c r="I48" s="5" t="str">
        <f t="shared" si="2"/>
        <v>0xefd514</v>
      </c>
      <c r="J48" s="5" t="str">
        <f t="shared" si="3"/>
        <v>rf.e.4.on=efd514</v>
      </c>
    </row>
    <row r="49" spans="1:10" x14ac:dyDescent="0.3">
      <c r="A49" s="6" t="s">
        <v>112</v>
      </c>
      <c r="B49" s="6">
        <v>4</v>
      </c>
      <c r="C49" s="6" t="s">
        <v>66</v>
      </c>
      <c r="D49" s="5" t="s">
        <v>100</v>
      </c>
      <c r="E49" s="5">
        <v>1510</v>
      </c>
      <c r="F49" s="5">
        <v>1</v>
      </c>
      <c r="G49" s="5" t="str">
        <f t="shared" si="4"/>
        <v>rf.e.4.off</v>
      </c>
      <c r="H49" s="5" t="str">
        <f t="shared" si="1"/>
        <v>efd511</v>
      </c>
      <c r="I49" s="5" t="str">
        <f t="shared" si="2"/>
        <v>0xefd511</v>
      </c>
      <c r="J49" s="5" t="str">
        <f t="shared" si="3"/>
        <v>rf.e.4.off=efd511</v>
      </c>
    </row>
    <row r="50" spans="1:10" x14ac:dyDescent="0.3">
      <c r="A50" s="6" t="s">
        <v>112</v>
      </c>
      <c r="B50" s="6">
        <v>5</v>
      </c>
      <c r="C50" s="6" t="s">
        <v>65</v>
      </c>
      <c r="D50" s="5" t="s">
        <v>100</v>
      </c>
      <c r="E50" s="5">
        <v>1540</v>
      </c>
      <c r="F50" s="5">
        <v>4</v>
      </c>
      <c r="G50" s="5" t="str">
        <f t="shared" si="4"/>
        <v>rf.e.5.on</v>
      </c>
      <c r="H50" s="5" t="str">
        <f t="shared" si="1"/>
        <v>efd544</v>
      </c>
      <c r="I50" s="5" t="str">
        <f t="shared" si="2"/>
        <v>0xefd544</v>
      </c>
      <c r="J50" s="5" t="str">
        <f t="shared" si="3"/>
        <v>rf.e.5.on=efd544</v>
      </c>
    </row>
    <row r="51" spans="1:10" x14ac:dyDescent="0.3">
      <c r="A51" s="6" t="s">
        <v>112</v>
      </c>
      <c r="B51" s="6">
        <v>5</v>
      </c>
      <c r="C51" s="6" t="s">
        <v>66</v>
      </c>
      <c r="D51" s="5" t="s">
        <v>100</v>
      </c>
      <c r="E51" s="5">
        <v>1540</v>
      </c>
      <c r="F51" s="5">
        <v>1</v>
      </c>
      <c r="G51" s="5" t="str">
        <f t="shared" si="4"/>
        <v>rf.e.5.off</v>
      </c>
      <c r="H51" s="5" t="str">
        <f t="shared" si="1"/>
        <v>efd541</v>
      </c>
      <c r="I51" s="5" t="str">
        <f t="shared" si="2"/>
        <v>0xefd541</v>
      </c>
      <c r="J51" s="5" t="str">
        <f t="shared" si="3"/>
        <v>rf.e.5.off=efd541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Menus</vt:lpstr>
      <vt:lpstr>Components</vt:lpstr>
      <vt:lpstr>Webcams</vt:lpstr>
      <vt:lpstr>Commands</vt:lpstr>
      <vt:lpstr>Triggers</vt:lpstr>
      <vt:lpstr>Action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2018-01-24T14:48:33Z</dcterms:modified>
</cp:coreProperties>
</file>